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la\Downloads\Batch 15\Master Project\"/>
    </mc:Choice>
  </mc:AlternateContent>
  <xr:revisionPtr revIDLastSave="0" documentId="13_ncr:1_{4DCF79D5-D0C1-42B1-A6D6-1AF080F380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_Data" sheetId="2" r:id="rId1"/>
    <sheet name="Dashboard" sheetId="3" r:id="rId2"/>
    <sheet name="Data_Dictionary" sheetId="4" r:id="rId3"/>
  </sheets>
  <definedNames>
    <definedName name="_xlnm._FilterDatabase" localSheetId="0" hidden="1">Customer_Data!$A$1:$AE$2051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D25" i="3"/>
  <c r="C25" i="3"/>
  <c r="B25" i="3"/>
  <c r="F24" i="3"/>
  <c r="D24" i="3"/>
  <c r="C24" i="3"/>
  <c r="B24" i="3"/>
  <c r="F23" i="3"/>
  <c r="D23" i="3"/>
  <c r="C23" i="3"/>
  <c r="B23" i="3"/>
  <c r="F22" i="3"/>
  <c r="D22" i="3"/>
  <c r="C22" i="3"/>
  <c r="B22" i="3"/>
  <c r="B10" i="3"/>
  <c r="B9" i="3"/>
  <c r="B6" i="3"/>
  <c r="B5" i="3"/>
  <c r="B4" i="3"/>
  <c r="AA2051" i="2"/>
  <c r="Z2051" i="2"/>
  <c r="AA2050" i="2"/>
  <c r="Z2050" i="2"/>
  <c r="AA2049" i="2"/>
  <c r="Z2049" i="2"/>
  <c r="AA2048" i="2"/>
  <c r="Z2048" i="2"/>
  <c r="AA2047" i="2"/>
  <c r="Z2047" i="2"/>
  <c r="AA2046" i="2"/>
  <c r="Z2046" i="2"/>
  <c r="AA2045" i="2"/>
  <c r="Z2045" i="2"/>
  <c r="AA2044" i="2"/>
  <c r="Z2044" i="2"/>
  <c r="AA2043" i="2"/>
  <c r="Z2043" i="2"/>
  <c r="AA2042" i="2"/>
  <c r="Z2042" i="2"/>
  <c r="AA2041" i="2"/>
  <c r="Z2041" i="2"/>
  <c r="AA2040" i="2"/>
  <c r="Z2040" i="2"/>
  <c r="AA2039" i="2"/>
  <c r="Z2039" i="2"/>
  <c r="AA2038" i="2"/>
  <c r="Z2038" i="2"/>
  <c r="AA2037" i="2"/>
  <c r="Z2037" i="2"/>
  <c r="AA2036" i="2"/>
  <c r="Z2036" i="2"/>
  <c r="AA2035" i="2"/>
  <c r="Z2035" i="2"/>
  <c r="AA2034" i="2"/>
  <c r="Z2034" i="2"/>
  <c r="AA2033" i="2"/>
  <c r="Z2033" i="2"/>
  <c r="AA2032" i="2"/>
  <c r="Z2032" i="2"/>
  <c r="AA2031" i="2"/>
  <c r="Z2031" i="2"/>
  <c r="AA2030" i="2"/>
  <c r="Z2030" i="2"/>
  <c r="AA2029" i="2"/>
  <c r="Z2029" i="2"/>
  <c r="AA2028" i="2"/>
  <c r="Z2028" i="2"/>
  <c r="AA2027" i="2"/>
  <c r="Z2027" i="2"/>
  <c r="AA2026" i="2"/>
  <c r="Z2026" i="2"/>
  <c r="AA2025" i="2"/>
  <c r="Z2025" i="2"/>
  <c r="AA2024" i="2"/>
  <c r="Z2024" i="2"/>
  <c r="AA2023" i="2"/>
  <c r="Z2023" i="2"/>
  <c r="AA2022" i="2"/>
  <c r="Z2022" i="2"/>
  <c r="AA2021" i="2"/>
  <c r="Z2021" i="2"/>
  <c r="AA2020" i="2"/>
  <c r="Z2020" i="2"/>
  <c r="AA2019" i="2"/>
  <c r="Z2019" i="2"/>
  <c r="AA2018" i="2"/>
  <c r="Z2018" i="2"/>
  <c r="AA2017" i="2"/>
  <c r="Z2017" i="2"/>
  <c r="AA2016" i="2"/>
  <c r="Z2016" i="2"/>
  <c r="AA2015" i="2"/>
  <c r="Z2015" i="2"/>
  <c r="AA2014" i="2"/>
  <c r="Z2014" i="2"/>
  <c r="AA2013" i="2"/>
  <c r="Z2013" i="2"/>
  <c r="AA2012" i="2"/>
  <c r="Z2012" i="2"/>
  <c r="AA2011" i="2"/>
  <c r="Z2011" i="2"/>
  <c r="AA2010" i="2"/>
  <c r="Z2010" i="2"/>
  <c r="AA2009" i="2"/>
  <c r="Z2009" i="2"/>
  <c r="AA2008" i="2"/>
  <c r="Z2008" i="2"/>
  <c r="AA2007" i="2"/>
  <c r="Z2007" i="2"/>
  <c r="AA2006" i="2"/>
  <c r="Z2006" i="2"/>
  <c r="AA2005" i="2"/>
  <c r="Z2005" i="2"/>
  <c r="AA2004" i="2"/>
  <c r="Z2004" i="2"/>
  <c r="AA2003" i="2"/>
  <c r="Z2003" i="2"/>
  <c r="AA2002" i="2"/>
  <c r="Z2002" i="2"/>
  <c r="AA2001" i="2"/>
  <c r="Z2001" i="2"/>
  <c r="AA2000" i="2"/>
  <c r="Z2000" i="2"/>
  <c r="AA1999" i="2"/>
  <c r="Z1999" i="2"/>
  <c r="AA1998" i="2"/>
  <c r="Z1998" i="2"/>
  <c r="AA1997" i="2"/>
  <c r="Z1997" i="2"/>
  <c r="AA1996" i="2"/>
  <c r="Z1996" i="2"/>
  <c r="AA1995" i="2"/>
  <c r="Z1995" i="2"/>
  <c r="AA1994" i="2"/>
  <c r="Z1994" i="2"/>
  <c r="AA1993" i="2"/>
  <c r="Z1993" i="2"/>
  <c r="AA1992" i="2"/>
  <c r="Z1992" i="2"/>
  <c r="AA1991" i="2"/>
  <c r="Z1991" i="2"/>
  <c r="AA1990" i="2"/>
  <c r="Z1990" i="2"/>
  <c r="AA1989" i="2"/>
  <c r="Z1989" i="2"/>
  <c r="AA1988" i="2"/>
  <c r="Z1988" i="2"/>
  <c r="AA1987" i="2"/>
  <c r="Z1987" i="2"/>
  <c r="AA1986" i="2"/>
  <c r="Z1986" i="2"/>
  <c r="AA1985" i="2"/>
  <c r="Z1985" i="2"/>
  <c r="AA1984" i="2"/>
  <c r="Z1984" i="2"/>
  <c r="AA1983" i="2"/>
  <c r="Z1983" i="2"/>
  <c r="AA1982" i="2"/>
  <c r="Z1982" i="2"/>
  <c r="AA1981" i="2"/>
  <c r="Z1981" i="2"/>
  <c r="AA1980" i="2"/>
  <c r="Z1980" i="2"/>
  <c r="AA1979" i="2"/>
  <c r="Z1979" i="2"/>
  <c r="AA1978" i="2"/>
  <c r="Z1978" i="2"/>
  <c r="AA1977" i="2"/>
  <c r="Z1977" i="2"/>
  <c r="AA1976" i="2"/>
  <c r="Z1976" i="2"/>
  <c r="AA1975" i="2"/>
  <c r="Z1975" i="2"/>
  <c r="AA1974" i="2"/>
  <c r="Z1974" i="2"/>
  <c r="AA1973" i="2"/>
  <c r="Z1973" i="2"/>
  <c r="AA1972" i="2"/>
  <c r="Z1972" i="2"/>
  <c r="AA1971" i="2"/>
  <c r="Z1971" i="2"/>
  <c r="AA1970" i="2"/>
  <c r="Z1970" i="2"/>
  <c r="AA1969" i="2"/>
  <c r="Z1969" i="2"/>
  <c r="AA1968" i="2"/>
  <c r="Z1968" i="2"/>
  <c r="AA1967" i="2"/>
  <c r="Z1967" i="2"/>
  <c r="AA1966" i="2"/>
  <c r="Z1966" i="2"/>
  <c r="AA1965" i="2"/>
  <c r="Z1965" i="2"/>
  <c r="AA1964" i="2"/>
  <c r="Z1964" i="2"/>
  <c r="AA1963" i="2"/>
  <c r="Z1963" i="2"/>
  <c r="AA1962" i="2"/>
  <c r="Z1962" i="2"/>
  <c r="AA1961" i="2"/>
  <c r="Z1961" i="2"/>
  <c r="AA1960" i="2"/>
  <c r="Z1960" i="2"/>
  <c r="AA1959" i="2"/>
  <c r="Z1959" i="2"/>
  <c r="AA1958" i="2"/>
  <c r="Z1958" i="2"/>
  <c r="AA1957" i="2"/>
  <c r="Z1957" i="2"/>
  <c r="AA1956" i="2"/>
  <c r="Z1956" i="2"/>
  <c r="AA1955" i="2"/>
  <c r="Z1955" i="2"/>
  <c r="AA1954" i="2"/>
  <c r="Z1954" i="2"/>
  <c r="AA1953" i="2"/>
  <c r="Z1953" i="2"/>
  <c r="AA1952" i="2"/>
  <c r="Z1952" i="2"/>
  <c r="AA1951" i="2"/>
  <c r="Z1951" i="2"/>
  <c r="AA1950" i="2"/>
  <c r="Z1950" i="2"/>
  <c r="AA1949" i="2"/>
  <c r="Z1949" i="2"/>
  <c r="AA1948" i="2"/>
  <c r="Z1948" i="2"/>
  <c r="AA1947" i="2"/>
  <c r="Z1947" i="2"/>
  <c r="AA1946" i="2"/>
  <c r="Z1946" i="2"/>
  <c r="AA1945" i="2"/>
  <c r="Z1945" i="2"/>
  <c r="AA1944" i="2"/>
  <c r="Z1944" i="2"/>
  <c r="AA1943" i="2"/>
  <c r="Z1943" i="2"/>
  <c r="AA1942" i="2"/>
  <c r="Z1942" i="2"/>
  <c r="AA1941" i="2"/>
  <c r="Z1941" i="2"/>
  <c r="AA1940" i="2"/>
  <c r="Z1940" i="2"/>
  <c r="AA1939" i="2"/>
  <c r="Z1939" i="2"/>
  <c r="AA1938" i="2"/>
  <c r="Z1938" i="2"/>
  <c r="AA1937" i="2"/>
  <c r="Z1937" i="2"/>
  <c r="AA1936" i="2"/>
  <c r="Z1936" i="2"/>
  <c r="AA1935" i="2"/>
  <c r="Z1935" i="2"/>
  <c r="AA1934" i="2"/>
  <c r="Z1934" i="2"/>
  <c r="AA1933" i="2"/>
  <c r="Z1933" i="2"/>
  <c r="AA1932" i="2"/>
  <c r="Z1932" i="2"/>
  <c r="AA1931" i="2"/>
  <c r="Z1931" i="2"/>
  <c r="AA1930" i="2"/>
  <c r="Z1930" i="2"/>
  <c r="AA1929" i="2"/>
  <c r="Z1929" i="2"/>
  <c r="AA1928" i="2"/>
  <c r="Z1928" i="2"/>
  <c r="AA1927" i="2"/>
  <c r="Z1927" i="2"/>
  <c r="AA1926" i="2"/>
  <c r="Z1926" i="2"/>
  <c r="AA1925" i="2"/>
  <c r="Z1925" i="2"/>
  <c r="AA1924" i="2"/>
  <c r="Z1924" i="2"/>
  <c r="AA1923" i="2"/>
  <c r="Z1923" i="2"/>
  <c r="AA1922" i="2"/>
  <c r="Z1922" i="2"/>
  <c r="AA1921" i="2"/>
  <c r="Z1921" i="2"/>
  <c r="AA1920" i="2"/>
  <c r="Z1920" i="2"/>
  <c r="AA1919" i="2"/>
  <c r="Z1919" i="2"/>
  <c r="AA1918" i="2"/>
  <c r="Z1918" i="2"/>
  <c r="AA1917" i="2"/>
  <c r="Z1917" i="2"/>
  <c r="AA1916" i="2"/>
  <c r="Z1916" i="2"/>
  <c r="AA1915" i="2"/>
  <c r="Z1915" i="2"/>
  <c r="AA1914" i="2"/>
  <c r="Z1914" i="2"/>
  <c r="AA1913" i="2"/>
  <c r="Z1913" i="2"/>
  <c r="AA1912" i="2"/>
  <c r="Z1912" i="2"/>
  <c r="AA1911" i="2"/>
  <c r="Z1911" i="2"/>
  <c r="AA1910" i="2"/>
  <c r="Z1910" i="2"/>
  <c r="AA1909" i="2"/>
  <c r="Z1909" i="2"/>
  <c r="AA1908" i="2"/>
  <c r="Z1908" i="2"/>
  <c r="AA1907" i="2"/>
  <c r="Z1907" i="2"/>
  <c r="AA1906" i="2"/>
  <c r="Z1906" i="2"/>
  <c r="AA1905" i="2"/>
  <c r="Z1905" i="2"/>
  <c r="AA1904" i="2"/>
  <c r="Z1904" i="2"/>
  <c r="AA1903" i="2"/>
  <c r="Z1903" i="2"/>
  <c r="AA1902" i="2"/>
  <c r="Z1902" i="2"/>
  <c r="AA1901" i="2"/>
  <c r="Z1901" i="2"/>
  <c r="AA1900" i="2"/>
  <c r="Z1900" i="2"/>
  <c r="AA1899" i="2"/>
  <c r="Z1899" i="2"/>
  <c r="AA1898" i="2"/>
  <c r="Z1898" i="2"/>
  <c r="AA1897" i="2"/>
  <c r="Z1897" i="2"/>
  <c r="AA1896" i="2"/>
  <c r="Z1896" i="2"/>
  <c r="AA1895" i="2"/>
  <c r="Z1895" i="2"/>
  <c r="AA1894" i="2"/>
  <c r="Z1894" i="2"/>
  <c r="AA1893" i="2"/>
  <c r="Z1893" i="2"/>
  <c r="AA1892" i="2"/>
  <c r="Z1892" i="2"/>
  <c r="AA1891" i="2"/>
  <c r="Z1891" i="2"/>
  <c r="AA1890" i="2"/>
  <c r="Z1890" i="2"/>
  <c r="AA1889" i="2"/>
  <c r="Z1889" i="2"/>
  <c r="AA1888" i="2"/>
  <c r="Z1888" i="2"/>
  <c r="AA1887" i="2"/>
  <c r="Z1887" i="2"/>
  <c r="AA1886" i="2"/>
  <c r="Z1886" i="2"/>
  <c r="AA1885" i="2"/>
  <c r="Z1885" i="2"/>
  <c r="AA1884" i="2"/>
  <c r="Z1884" i="2"/>
  <c r="AA1883" i="2"/>
  <c r="Z1883" i="2"/>
  <c r="AA1882" i="2"/>
  <c r="Z1882" i="2"/>
  <c r="AB1881" i="2"/>
  <c r="AC1881" i="2" s="1"/>
  <c r="AD1881" i="2" s="1"/>
  <c r="AA1881" i="2"/>
  <c r="Z1881" i="2"/>
  <c r="AE1881" i="2" s="1"/>
  <c r="AA1880" i="2"/>
  <c r="Z1880" i="2"/>
  <c r="AA1879" i="2"/>
  <c r="Z1879" i="2"/>
  <c r="AA1878" i="2"/>
  <c r="Z1878" i="2"/>
  <c r="AA1877" i="2"/>
  <c r="Z1877" i="2"/>
  <c r="AA1876" i="2"/>
  <c r="Z1876" i="2"/>
  <c r="AA1875" i="2"/>
  <c r="Z1875" i="2"/>
  <c r="AA1874" i="2"/>
  <c r="Z1874" i="2"/>
  <c r="AA1873" i="2"/>
  <c r="Z1873" i="2"/>
  <c r="AA1872" i="2"/>
  <c r="Z1872" i="2"/>
  <c r="AA1871" i="2"/>
  <c r="Z1871" i="2"/>
  <c r="AA1870" i="2"/>
  <c r="Z1870" i="2"/>
  <c r="AA1869" i="2"/>
  <c r="Z1869" i="2"/>
  <c r="AA1868" i="2"/>
  <c r="Z1868" i="2"/>
  <c r="AA1867" i="2"/>
  <c r="Z1867" i="2"/>
  <c r="AA1866" i="2"/>
  <c r="Z1866" i="2"/>
  <c r="AA1865" i="2"/>
  <c r="Z1865" i="2"/>
  <c r="AA1864" i="2"/>
  <c r="Z1864" i="2"/>
  <c r="AA1863" i="2"/>
  <c r="Z1863" i="2"/>
  <c r="AA1862" i="2"/>
  <c r="Z1862" i="2"/>
  <c r="AA1861" i="2"/>
  <c r="Z1861" i="2"/>
  <c r="AA1860" i="2"/>
  <c r="Z1860" i="2"/>
  <c r="AA1859" i="2"/>
  <c r="Z1859" i="2"/>
  <c r="AA1858" i="2"/>
  <c r="Z1858" i="2"/>
  <c r="AA1857" i="2"/>
  <c r="Z1857" i="2"/>
  <c r="AA1856" i="2"/>
  <c r="Z1856" i="2"/>
  <c r="AA1855" i="2"/>
  <c r="Z1855" i="2"/>
  <c r="AA1854" i="2"/>
  <c r="Z1854" i="2"/>
  <c r="AA1853" i="2"/>
  <c r="Z1853" i="2"/>
  <c r="AA1852" i="2"/>
  <c r="Z1852" i="2"/>
  <c r="AA1851" i="2"/>
  <c r="Z1851" i="2"/>
  <c r="AA1850" i="2"/>
  <c r="Z1850" i="2"/>
  <c r="AA1849" i="2"/>
  <c r="Z1849" i="2"/>
  <c r="AA1848" i="2"/>
  <c r="Z1848" i="2"/>
  <c r="AA1847" i="2"/>
  <c r="Z1847" i="2"/>
  <c r="AA1846" i="2"/>
  <c r="Z1846" i="2"/>
  <c r="AA1845" i="2"/>
  <c r="Z1845" i="2"/>
  <c r="AA1844" i="2"/>
  <c r="Z1844" i="2"/>
  <c r="AA1843" i="2"/>
  <c r="Z1843" i="2"/>
  <c r="AA1842" i="2"/>
  <c r="Z1842" i="2"/>
  <c r="AA1841" i="2"/>
  <c r="Z1841" i="2"/>
  <c r="AA1840" i="2"/>
  <c r="Z1840" i="2"/>
  <c r="AA1839" i="2"/>
  <c r="Z1839" i="2"/>
  <c r="AA1838" i="2"/>
  <c r="Z1838" i="2"/>
  <c r="AA1837" i="2"/>
  <c r="Z1837" i="2"/>
  <c r="AA1836" i="2"/>
  <c r="Z1836" i="2"/>
  <c r="AA1835" i="2"/>
  <c r="Z1835" i="2"/>
  <c r="AA1834" i="2"/>
  <c r="Z1834" i="2"/>
  <c r="AA1833" i="2"/>
  <c r="Z1833" i="2"/>
  <c r="AA1832" i="2"/>
  <c r="Z1832" i="2"/>
  <c r="AA1831" i="2"/>
  <c r="Z1831" i="2"/>
  <c r="AA1830" i="2"/>
  <c r="Z1830" i="2"/>
  <c r="AA1829" i="2"/>
  <c r="Z1829" i="2"/>
  <c r="AA1828" i="2"/>
  <c r="Z1828" i="2"/>
  <c r="AA1827" i="2"/>
  <c r="Z1827" i="2"/>
  <c r="AA1826" i="2"/>
  <c r="Z1826" i="2"/>
  <c r="AA1825" i="2"/>
  <c r="Z1825" i="2"/>
  <c r="AA1824" i="2"/>
  <c r="Z1824" i="2"/>
  <c r="AA1823" i="2"/>
  <c r="Z1823" i="2"/>
  <c r="AA1822" i="2"/>
  <c r="Z1822" i="2"/>
  <c r="AA1821" i="2"/>
  <c r="Z1821" i="2"/>
  <c r="AA1820" i="2"/>
  <c r="Z1820" i="2"/>
  <c r="AA1819" i="2"/>
  <c r="Z1819" i="2"/>
  <c r="AA1818" i="2"/>
  <c r="Z1818" i="2"/>
  <c r="AA1817" i="2"/>
  <c r="Z1817" i="2"/>
  <c r="AA1816" i="2"/>
  <c r="Z1816" i="2"/>
  <c r="AA1815" i="2"/>
  <c r="Z1815" i="2"/>
  <c r="AA1814" i="2"/>
  <c r="Z1814" i="2"/>
  <c r="AA1813" i="2"/>
  <c r="Z1813" i="2"/>
  <c r="AA1812" i="2"/>
  <c r="Z1812" i="2"/>
  <c r="AA1811" i="2"/>
  <c r="Z1811" i="2"/>
  <c r="AA1810" i="2"/>
  <c r="Z1810" i="2"/>
  <c r="AA1809" i="2"/>
  <c r="Z1809" i="2"/>
  <c r="AA1808" i="2"/>
  <c r="Z1808" i="2"/>
  <c r="AA1807" i="2"/>
  <c r="Z1807" i="2"/>
  <c r="AA1806" i="2"/>
  <c r="Z1806" i="2"/>
  <c r="AA1805" i="2"/>
  <c r="Z1805" i="2"/>
  <c r="AA1804" i="2"/>
  <c r="Z1804" i="2"/>
  <c r="AA1803" i="2"/>
  <c r="Z1803" i="2"/>
  <c r="AA1802" i="2"/>
  <c r="Z1802" i="2"/>
  <c r="AE1801" i="2"/>
  <c r="AA1801" i="2"/>
  <c r="Z1801" i="2"/>
  <c r="AB1801" i="2" s="1"/>
  <c r="AC1801" i="2" s="1"/>
  <c r="AD1801" i="2" s="1"/>
  <c r="AA1800" i="2"/>
  <c r="Z1800" i="2"/>
  <c r="AA1799" i="2"/>
  <c r="Z1799" i="2"/>
  <c r="AA1798" i="2"/>
  <c r="Z1798" i="2"/>
  <c r="AA1797" i="2"/>
  <c r="Z1797" i="2"/>
  <c r="AA1796" i="2"/>
  <c r="Z1796" i="2"/>
  <c r="AA1795" i="2"/>
  <c r="Z1795" i="2"/>
  <c r="AA1794" i="2"/>
  <c r="Z1794" i="2"/>
  <c r="AA1793" i="2"/>
  <c r="Z1793" i="2"/>
  <c r="AA1792" i="2"/>
  <c r="Z1792" i="2"/>
  <c r="AA1791" i="2"/>
  <c r="Z1791" i="2"/>
  <c r="AA1790" i="2"/>
  <c r="Z1790" i="2"/>
  <c r="AA1789" i="2"/>
  <c r="Z1789" i="2"/>
  <c r="AA1788" i="2"/>
  <c r="Z1788" i="2"/>
  <c r="AA1787" i="2"/>
  <c r="Z1787" i="2"/>
  <c r="AA1786" i="2"/>
  <c r="Z1786" i="2"/>
  <c r="AA1785" i="2"/>
  <c r="Z1785" i="2"/>
  <c r="AA1784" i="2"/>
  <c r="Z1784" i="2"/>
  <c r="AA1783" i="2"/>
  <c r="Z1783" i="2"/>
  <c r="AA1782" i="2"/>
  <c r="Z1782" i="2"/>
  <c r="AA1781" i="2"/>
  <c r="Z1781" i="2"/>
  <c r="AA1780" i="2"/>
  <c r="Z1780" i="2"/>
  <c r="AA1779" i="2"/>
  <c r="Z1779" i="2"/>
  <c r="AA1778" i="2"/>
  <c r="Z1778" i="2"/>
  <c r="AA1777" i="2"/>
  <c r="Z1777" i="2"/>
  <c r="AA1776" i="2"/>
  <c r="Z1776" i="2"/>
  <c r="AA1775" i="2"/>
  <c r="Z1775" i="2"/>
  <c r="AA1774" i="2"/>
  <c r="Z1774" i="2"/>
  <c r="AA1773" i="2"/>
  <c r="Z1773" i="2"/>
  <c r="AA1772" i="2"/>
  <c r="Z1772" i="2"/>
  <c r="AA1771" i="2"/>
  <c r="Z1771" i="2"/>
  <c r="AA1770" i="2"/>
  <c r="Z1770" i="2"/>
  <c r="AA1769" i="2"/>
  <c r="Z1769" i="2"/>
  <c r="AA1768" i="2"/>
  <c r="Z1768" i="2"/>
  <c r="AA1767" i="2"/>
  <c r="Z1767" i="2"/>
  <c r="AA1766" i="2"/>
  <c r="Z1766" i="2"/>
  <c r="AA1765" i="2"/>
  <c r="Z1765" i="2"/>
  <c r="AA1764" i="2"/>
  <c r="Z1764" i="2"/>
  <c r="AA1763" i="2"/>
  <c r="Z1763" i="2"/>
  <c r="AA1762" i="2"/>
  <c r="Z1762" i="2"/>
  <c r="AA1761" i="2"/>
  <c r="Z1761" i="2"/>
  <c r="AA1760" i="2"/>
  <c r="Z1760" i="2"/>
  <c r="AA1759" i="2"/>
  <c r="Z1759" i="2"/>
  <c r="AA1758" i="2"/>
  <c r="Z1758" i="2"/>
  <c r="AA1757" i="2"/>
  <c r="Z1757" i="2"/>
  <c r="AA1756" i="2"/>
  <c r="Z1756" i="2"/>
  <c r="AA1755" i="2"/>
  <c r="Z1755" i="2"/>
  <c r="AA1754" i="2"/>
  <c r="Z1754" i="2"/>
  <c r="AA1753" i="2"/>
  <c r="Z1753" i="2"/>
  <c r="AA1752" i="2"/>
  <c r="Z1752" i="2"/>
  <c r="AA1751" i="2"/>
  <c r="Z1751" i="2"/>
  <c r="AA1750" i="2"/>
  <c r="Z1750" i="2"/>
  <c r="AA1749" i="2"/>
  <c r="Z1749" i="2"/>
  <c r="AA1748" i="2"/>
  <c r="Z1748" i="2"/>
  <c r="AA1747" i="2"/>
  <c r="Z1747" i="2"/>
  <c r="AA1746" i="2"/>
  <c r="Z1746" i="2"/>
  <c r="AA1745" i="2"/>
  <c r="Z1745" i="2"/>
  <c r="AA1744" i="2"/>
  <c r="Z1744" i="2"/>
  <c r="AA1743" i="2"/>
  <c r="Z1743" i="2"/>
  <c r="AA1742" i="2"/>
  <c r="Z1742" i="2"/>
  <c r="AA1741" i="2"/>
  <c r="Z1741" i="2"/>
  <c r="AA1740" i="2"/>
  <c r="Z1740" i="2"/>
  <c r="AA1739" i="2"/>
  <c r="Z1739" i="2"/>
  <c r="AA1738" i="2"/>
  <c r="Z1738" i="2"/>
  <c r="AA1737" i="2"/>
  <c r="Z1737" i="2"/>
  <c r="AA1736" i="2"/>
  <c r="Z1736" i="2"/>
  <c r="AA1735" i="2"/>
  <c r="Z1735" i="2"/>
  <c r="AA1734" i="2"/>
  <c r="Z1734" i="2"/>
  <c r="AA1733" i="2"/>
  <c r="Z1733" i="2"/>
  <c r="AA1732" i="2"/>
  <c r="Z1732" i="2"/>
  <c r="AA1731" i="2"/>
  <c r="Z1731" i="2"/>
  <c r="AA1730" i="2"/>
  <c r="Z1730" i="2"/>
  <c r="AA1729" i="2"/>
  <c r="Z1729" i="2"/>
  <c r="AA1728" i="2"/>
  <c r="Z1728" i="2"/>
  <c r="AA1727" i="2"/>
  <c r="Z1727" i="2"/>
  <c r="AA1726" i="2"/>
  <c r="Z1726" i="2"/>
  <c r="AA1725" i="2"/>
  <c r="Z1725" i="2"/>
  <c r="AA1724" i="2"/>
  <c r="Z1724" i="2"/>
  <c r="AA1723" i="2"/>
  <c r="Z1723" i="2"/>
  <c r="AA1722" i="2"/>
  <c r="Z1722" i="2"/>
  <c r="AA1721" i="2"/>
  <c r="Z1721" i="2"/>
  <c r="AA1720" i="2"/>
  <c r="Z1720" i="2"/>
  <c r="AA1719" i="2"/>
  <c r="Z1719" i="2"/>
  <c r="AA1718" i="2"/>
  <c r="Z1718" i="2"/>
  <c r="AA1717" i="2"/>
  <c r="Z1717" i="2"/>
  <c r="AA1716" i="2"/>
  <c r="Z1716" i="2"/>
  <c r="AA1715" i="2"/>
  <c r="Z1715" i="2"/>
  <c r="AA1714" i="2"/>
  <c r="Z1714" i="2"/>
  <c r="AA1713" i="2"/>
  <c r="Z1713" i="2"/>
  <c r="AA1712" i="2"/>
  <c r="Z1712" i="2"/>
  <c r="AA1711" i="2"/>
  <c r="Z1711" i="2"/>
  <c r="AA1710" i="2"/>
  <c r="Z1710" i="2"/>
  <c r="AA1709" i="2"/>
  <c r="Z1709" i="2"/>
  <c r="AA1708" i="2"/>
  <c r="Z1708" i="2"/>
  <c r="AA1707" i="2"/>
  <c r="Z1707" i="2"/>
  <c r="AA1706" i="2"/>
  <c r="Z1706" i="2"/>
  <c r="AA1705" i="2"/>
  <c r="Z1705" i="2"/>
  <c r="AA1704" i="2"/>
  <c r="Z1704" i="2"/>
  <c r="AA1703" i="2"/>
  <c r="Z1703" i="2"/>
  <c r="AA1702" i="2"/>
  <c r="Z1702" i="2"/>
  <c r="AA1701" i="2"/>
  <c r="Z1701" i="2"/>
  <c r="AA1700" i="2"/>
  <c r="Z1700" i="2"/>
  <c r="AA1699" i="2"/>
  <c r="Z1699" i="2"/>
  <c r="AA1698" i="2"/>
  <c r="Z1698" i="2"/>
  <c r="AA1697" i="2"/>
  <c r="Z1697" i="2"/>
  <c r="AA1696" i="2"/>
  <c r="Z1696" i="2"/>
  <c r="AA1695" i="2"/>
  <c r="Z1695" i="2"/>
  <c r="AA1694" i="2"/>
  <c r="Z1694" i="2"/>
  <c r="AA1693" i="2"/>
  <c r="Z1693" i="2"/>
  <c r="AA1692" i="2"/>
  <c r="Z1692" i="2"/>
  <c r="AA1691" i="2"/>
  <c r="Z1691" i="2"/>
  <c r="AA1690" i="2"/>
  <c r="Z1690" i="2"/>
  <c r="AA1689" i="2"/>
  <c r="Z1689" i="2"/>
  <c r="AA1688" i="2"/>
  <c r="Z1688" i="2"/>
  <c r="AA1687" i="2"/>
  <c r="Z1687" i="2"/>
  <c r="AA1686" i="2"/>
  <c r="Z1686" i="2"/>
  <c r="AA1685" i="2"/>
  <c r="Z1685" i="2"/>
  <c r="AA1684" i="2"/>
  <c r="Z1684" i="2"/>
  <c r="AA1683" i="2"/>
  <c r="Z1683" i="2"/>
  <c r="AA1682" i="2"/>
  <c r="Z1682" i="2"/>
  <c r="AA1681" i="2"/>
  <c r="Z1681" i="2"/>
  <c r="AA1680" i="2"/>
  <c r="Z1680" i="2"/>
  <c r="AA1679" i="2"/>
  <c r="Z1679" i="2"/>
  <c r="AA1678" i="2"/>
  <c r="Z1678" i="2"/>
  <c r="AA1677" i="2"/>
  <c r="Z1677" i="2"/>
  <c r="AA1676" i="2"/>
  <c r="Z1676" i="2"/>
  <c r="AA1675" i="2"/>
  <c r="Z1675" i="2"/>
  <c r="AA1674" i="2"/>
  <c r="Z1674" i="2"/>
  <c r="AA1673" i="2"/>
  <c r="Z1673" i="2"/>
  <c r="AA1672" i="2"/>
  <c r="Z1672" i="2"/>
  <c r="AA1671" i="2"/>
  <c r="Z1671" i="2"/>
  <c r="AA1670" i="2"/>
  <c r="Z1670" i="2"/>
  <c r="AA1669" i="2"/>
  <c r="Z1669" i="2"/>
  <c r="AA1668" i="2"/>
  <c r="Z1668" i="2"/>
  <c r="AA1667" i="2"/>
  <c r="Z1667" i="2"/>
  <c r="AA1666" i="2"/>
  <c r="Z1666" i="2"/>
  <c r="AA1665" i="2"/>
  <c r="Z1665" i="2"/>
  <c r="AA1664" i="2"/>
  <c r="Z1664" i="2"/>
  <c r="AA1663" i="2"/>
  <c r="Z1663" i="2"/>
  <c r="AA1662" i="2"/>
  <c r="Z1662" i="2"/>
  <c r="AA1661" i="2"/>
  <c r="Z1661" i="2"/>
  <c r="AA1660" i="2"/>
  <c r="Z1660" i="2"/>
  <c r="AA1659" i="2"/>
  <c r="Z1659" i="2"/>
  <c r="AA1658" i="2"/>
  <c r="Z1658" i="2"/>
  <c r="AA1657" i="2"/>
  <c r="Z1657" i="2"/>
  <c r="AA1656" i="2"/>
  <c r="Z1656" i="2"/>
  <c r="AA1655" i="2"/>
  <c r="Z1655" i="2"/>
  <c r="AA1654" i="2"/>
  <c r="Z1654" i="2"/>
  <c r="AA1653" i="2"/>
  <c r="Z1653" i="2"/>
  <c r="AA1652" i="2"/>
  <c r="Z1652" i="2"/>
  <c r="AA1651" i="2"/>
  <c r="Z1651" i="2"/>
  <c r="AA1650" i="2"/>
  <c r="Z1650" i="2"/>
  <c r="AA1649" i="2"/>
  <c r="Z1649" i="2"/>
  <c r="AA1648" i="2"/>
  <c r="Z1648" i="2"/>
  <c r="AA1647" i="2"/>
  <c r="Z1647" i="2"/>
  <c r="AA1646" i="2"/>
  <c r="Z1646" i="2"/>
  <c r="AA1645" i="2"/>
  <c r="Z1645" i="2"/>
  <c r="AA1644" i="2"/>
  <c r="Z1644" i="2"/>
  <c r="AA1643" i="2"/>
  <c r="Z1643" i="2"/>
  <c r="AA1642" i="2"/>
  <c r="Z1642" i="2"/>
  <c r="AA1641" i="2"/>
  <c r="Z1641" i="2"/>
  <c r="AA1640" i="2"/>
  <c r="Z1640" i="2"/>
  <c r="AA1639" i="2"/>
  <c r="Z1639" i="2"/>
  <c r="AA1638" i="2"/>
  <c r="Z1638" i="2"/>
  <c r="AA1637" i="2"/>
  <c r="Z1637" i="2"/>
  <c r="AA1636" i="2"/>
  <c r="Z1636" i="2"/>
  <c r="AA1635" i="2"/>
  <c r="Z1635" i="2"/>
  <c r="AA1634" i="2"/>
  <c r="Z1634" i="2"/>
  <c r="AA1633" i="2"/>
  <c r="Z1633" i="2"/>
  <c r="AA1632" i="2"/>
  <c r="Z1632" i="2"/>
  <c r="AA1631" i="2"/>
  <c r="Z1631" i="2"/>
  <c r="AA1630" i="2"/>
  <c r="Z1630" i="2"/>
  <c r="AA1629" i="2"/>
  <c r="Z1629" i="2"/>
  <c r="AA1628" i="2"/>
  <c r="Z1628" i="2"/>
  <c r="AA1627" i="2"/>
  <c r="Z1627" i="2"/>
  <c r="AA1626" i="2"/>
  <c r="Z1626" i="2"/>
  <c r="AA1625" i="2"/>
  <c r="Z1625" i="2"/>
  <c r="AA1624" i="2"/>
  <c r="Z1624" i="2"/>
  <c r="AA1623" i="2"/>
  <c r="Z1623" i="2"/>
  <c r="AA1622" i="2"/>
  <c r="Z1622" i="2"/>
  <c r="AA1621" i="2"/>
  <c r="Z1621" i="2"/>
  <c r="AA1620" i="2"/>
  <c r="Z1620" i="2"/>
  <c r="AA1619" i="2"/>
  <c r="Z1619" i="2"/>
  <c r="AA1618" i="2"/>
  <c r="Z1618" i="2"/>
  <c r="AA1617" i="2"/>
  <c r="Z1617" i="2"/>
  <c r="AA1616" i="2"/>
  <c r="Z1616" i="2"/>
  <c r="AA1615" i="2"/>
  <c r="Z1615" i="2"/>
  <c r="AA1614" i="2"/>
  <c r="Z1614" i="2"/>
  <c r="AA1613" i="2"/>
  <c r="Z1613" i="2"/>
  <c r="AA1612" i="2"/>
  <c r="Z1612" i="2"/>
  <c r="AA1611" i="2"/>
  <c r="Z1611" i="2"/>
  <c r="AA1610" i="2"/>
  <c r="Z1610" i="2"/>
  <c r="AA1609" i="2"/>
  <c r="Z1609" i="2"/>
  <c r="AA1608" i="2"/>
  <c r="Z1608" i="2"/>
  <c r="AA1607" i="2"/>
  <c r="Z1607" i="2"/>
  <c r="AA1606" i="2"/>
  <c r="Z1606" i="2"/>
  <c r="AA1605" i="2"/>
  <c r="Z1605" i="2"/>
  <c r="AA1604" i="2"/>
  <c r="Z1604" i="2"/>
  <c r="AA1603" i="2"/>
  <c r="Z1603" i="2"/>
  <c r="AA1602" i="2"/>
  <c r="Z1602" i="2"/>
  <c r="AA1601" i="2"/>
  <c r="Z1601" i="2"/>
  <c r="AA1600" i="2"/>
  <c r="Z1600" i="2"/>
  <c r="AA1599" i="2"/>
  <c r="Z1599" i="2"/>
  <c r="AA1598" i="2"/>
  <c r="Z1598" i="2"/>
  <c r="AA1597" i="2"/>
  <c r="Z1597" i="2"/>
  <c r="AA1596" i="2"/>
  <c r="Z1596" i="2"/>
  <c r="AA1595" i="2"/>
  <c r="Z1595" i="2"/>
  <c r="AA1594" i="2"/>
  <c r="Z1594" i="2"/>
  <c r="AA1593" i="2"/>
  <c r="Z1593" i="2"/>
  <c r="AA1592" i="2"/>
  <c r="Z1592" i="2"/>
  <c r="AA1591" i="2"/>
  <c r="Z1591" i="2"/>
  <c r="AA1590" i="2"/>
  <c r="Z1590" i="2"/>
  <c r="AA1589" i="2"/>
  <c r="Z1589" i="2"/>
  <c r="AA1588" i="2"/>
  <c r="Z1588" i="2"/>
  <c r="AA1587" i="2"/>
  <c r="Z1587" i="2"/>
  <c r="AA1586" i="2"/>
  <c r="Z1586" i="2"/>
  <c r="AA1585" i="2"/>
  <c r="Z1585" i="2"/>
  <c r="AA1584" i="2"/>
  <c r="Z1584" i="2"/>
  <c r="AA1583" i="2"/>
  <c r="Z1583" i="2"/>
  <c r="AA1582" i="2"/>
  <c r="Z1582" i="2"/>
  <c r="AA1581" i="2"/>
  <c r="Z1581" i="2"/>
  <c r="AA1580" i="2"/>
  <c r="Z1580" i="2"/>
  <c r="AA1579" i="2"/>
  <c r="Z1579" i="2"/>
  <c r="AA1578" i="2"/>
  <c r="Z1578" i="2"/>
  <c r="AA1577" i="2"/>
  <c r="Z1577" i="2"/>
  <c r="AA1576" i="2"/>
  <c r="Z1576" i="2"/>
  <c r="AA1575" i="2"/>
  <c r="Z1575" i="2"/>
  <c r="AA1574" i="2"/>
  <c r="Z1574" i="2"/>
  <c r="AA1573" i="2"/>
  <c r="Z1573" i="2"/>
  <c r="AA1572" i="2"/>
  <c r="Z1572" i="2"/>
  <c r="AA1571" i="2"/>
  <c r="Z1571" i="2"/>
  <c r="AA1570" i="2"/>
  <c r="Z1570" i="2"/>
  <c r="AA1569" i="2"/>
  <c r="Z1569" i="2"/>
  <c r="AA1568" i="2"/>
  <c r="Z1568" i="2"/>
  <c r="AA1567" i="2"/>
  <c r="Z1567" i="2"/>
  <c r="AA1566" i="2"/>
  <c r="Z1566" i="2"/>
  <c r="AA1565" i="2"/>
  <c r="Z1565" i="2"/>
  <c r="AA1564" i="2"/>
  <c r="Z1564" i="2"/>
  <c r="AA1563" i="2"/>
  <c r="Z1563" i="2"/>
  <c r="AA1562" i="2"/>
  <c r="Z1562" i="2"/>
  <c r="AA1561" i="2"/>
  <c r="Z1561" i="2"/>
  <c r="AA1560" i="2"/>
  <c r="Z1560" i="2"/>
  <c r="AA1559" i="2"/>
  <c r="Z1559" i="2"/>
  <c r="AA1558" i="2"/>
  <c r="Z1558" i="2"/>
  <c r="AA1557" i="2"/>
  <c r="Z1557" i="2"/>
  <c r="AA1556" i="2"/>
  <c r="Z1556" i="2"/>
  <c r="AA1555" i="2"/>
  <c r="Z1555" i="2"/>
  <c r="AA1554" i="2"/>
  <c r="Z1554" i="2"/>
  <c r="AA1553" i="2"/>
  <c r="Z1553" i="2"/>
  <c r="AA1552" i="2"/>
  <c r="Z1552" i="2"/>
  <c r="AA1551" i="2"/>
  <c r="Z1551" i="2"/>
  <c r="AA1550" i="2"/>
  <c r="Z1550" i="2"/>
  <c r="AA1549" i="2"/>
  <c r="Z1549" i="2"/>
  <c r="AA1548" i="2"/>
  <c r="Z1548" i="2"/>
  <c r="AA1547" i="2"/>
  <c r="Z1547" i="2"/>
  <c r="AA1546" i="2"/>
  <c r="Z1546" i="2"/>
  <c r="AA1545" i="2"/>
  <c r="Z1545" i="2"/>
  <c r="AE1544" i="2"/>
  <c r="AA1544" i="2"/>
  <c r="Z1544" i="2"/>
  <c r="AB1544" i="2" s="1"/>
  <c r="AC1544" i="2" s="1"/>
  <c r="AD1544" i="2" s="1"/>
  <c r="AA1543" i="2"/>
  <c r="Z1543" i="2"/>
  <c r="AA1542" i="2"/>
  <c r="Z1542" i="2"/>
  <c r="AA1541" i="2"/>
  <c r="Z1541" i="2"/>
  <c r="AA1540" i="2"/>
  <c r="Z1540" i="2"/>
  <c r="AA1539" i="2"/>
  <c r="Z1539" i="2"/>
  <c r="AA1538" i="2"/>
  <c r="Z1538" i="2"/>
  <c r="AA1537" i="2"/>
  <c r="Z1537" i="2"/>
  <c r="AA1536" i="2"/>
  <c r="Z1536" i="2"/>
  <c r="AA1535" i="2"/>
  <c r="Z1535" i="2"/>
  <c r="AA1534" i="2"/>
  <c r="Z1534" i="2"/>
  <c r="AA1533" i="2"/>
  <c r="Z1533" i="2"/>
  <c r="AA1532" i="2"/>
  <c r="Z1532" i="2"/>
  <c r="AA1531" i="2"/>
  <c r="Z1531" i="2"/>
  <c r="AA1530" i="2"/>
  <c r="Z1530" i="2"/>
  <c r="AA1529" i="2"/>
  <c r="Z1529" i="2"/>
  <c r="AA1528" i="2"/>
  <c r="Z1528" i="2"/>
  <c r="AA1527" i="2"/>
  <c r="Z1527" i="2"/>
  <c r="AA1526" i="2"/>
  <c r="Z1526" i="2"/>
  <c r="AA1525" i="2"/>
  <c r="Z1525" i="2"/>
  <c r="AA1524" i="2"/>
  <c r="Z1524" i="2"/>
  <c r="AA1523" i="2"/>
  <c r="Z1523" i="2"/>
  <c r="AA1522" i="2"/>
  <c r="Z1522" i="2"/>
  <c r="AA1521" i="2"/>
  <c r="Z1521" i="2"/>
  <c r="AA1520" i="2"/>
  <c r="Z1520" i="2"/>
  <c r="AA1519" i="2"/>
  <c r="Z1519" i="2"/>
  <c r="AA1518" i="2"/>
  <c r="Z1518" i="2"/>
  <c r="AA1517" i="2"/>
  <c r="Z1517" i="2"/>
  <c r="AA1516" i="2"/>
  <c r="Z1516" i="2"/>
  <c r="AA1515" i="2"/>
  <c r="Z1515" i="2"/>
  <c r="AA1514" i="2"/>
  <c r="Z1514" i="2"/>
  <c r="AA1513" i="2"/>
  <c r="Z1513" i="2"/>
  <c r="AA1512" i="2"/>
  <c r="Z1512" i="2"/>
  <c r="AA1511" i="2"/>
  <c r="Z1511" i="2"/>
  <c r="AA1510" i="2"/>
  <c r="Z1510" i="2"/>
  <c r="AA1509" i="2"/>
  <c r="Z1509" i="2"/>
  <c r="AA1508" i="2"/>
  <c r="Z1508" i="2"/>
  <c r="AA1507" i="2"/>
  <c r="Z1507" i="2"/>
  <c r="AA1506" i="2"/>
  <c r="Z1506" i="2"/>
  <c r="AA1505" i="2"/>
  <c r="Z1505" i="2"/>
  <c r="AA1504" i="2"/>
  <c r="Z1504" i="2"/>
  <c r="AA1503" i="2"/>
  <c r="Z1503" i="2"/>
  <c r="AA1502" i="2"/>
  <c r="Z1502" i="2"/>
  <c r="AA1501" i="2"/>
  <c r="Z1501" i="2"/>
  <c r="AA1500" i="2"/>
  <c r="Z1500" i="2"/>
  <c r="AA1499" i="2"/>
  <c r="Z1499" i="2"/>
  <c r="AA1498" i="2"/>
  <c r="Z1498" i="2"/>
  <c r="AA1497" i="2"/>
  <c r="Z1497" i="2"/>
  <c r="AA1496" i="2"/>
  <c r="Z1496" i="2"/>
  <c r="AA1495" i="2"/>
  <c r="Z1495" i="2"/>
  <c r="AA1494" i="2"/>
  <c r="Z1494" i="2"/>
  <c r="AA1493" i="2"/>
  <c r="Z1493" i="2"/>
  <c r="AA1492" i="2"/>
  <c r="Z1492" i="2"/>
  <c r="AA1491" i="2"/>
  <c r="Z1491" i="2"/>
  <c r="AA1490" i="2"/>
  <c r="Z1490" i="2"/>
  <c r="AA1489" i="2"/>
  <c r="Z1489" i="2"/>
  <c r="AA1488" i="2"/>
  <c r="Z1488" i="2"/>
  <c r="AA1487" i="2"/>
  <c r="Z1487" i="2"/>
  <c r="AA1486" i="2"/>
  <c r="Z1486" i="2"/>
  <c r="AA1485" i="2"/>
  <c r="Z1485" i="2"/>
  <c r="AA1484" i="2"/>
  <c r="Z1484" i="2"/>
  <c r="AA1483" i="2"/>
  <c r="Z1483" i="2"/>
  <c r="AA1482" i="2"/>
  <c r="Z1482" i="2"/>
  <c r="AA1481" i="2"/>
  <c r="Z1481" i="2"/>
  <c r="AA1480" i="2"/>
  <c r="Z1480" i="2"/>
  <c r="AA1479" i="2"/>
  <c r="Z1479" i="2"/>
  <c r="AA1478" i="2"/>
  <c r="Z1478" i="2"/>
  <c r="AA1477" i="2"/>
  <c r="Z1477" i="2"/>
  <c r="AA1476" i="2"/>
  <c r="Z1476" i="2"/>
  <c r="AA1475" i="2"/>
  <c r="Z1475" i="2"/>
  <c r="AA1474" i="2"/>
  <c r="Z1474" i="2"/>
  <c r="AA1473" i="2"/>
  <c r="Z1473" i="2"/>
  <c r="AA1472" i="2"/>
  <c r="Z1472" i="2"/>
  <c r="AA1471" i="2"/>
  <c r="Z1471" i="2"/>
  <c r="AA1470" i="2"/>
  <c r="Z1470" i="2"/>
  <c r="AA1469" i="2"/>
  <c r="Z1469" i="2"/>
  <c r="AA1468" i="2"/>
  <c r="Z1468" i="2"/>
  <c r="AA1467" i="2"/>
  <c r="Z1467" i="2"/>
  <c r="AA1466" i="2"/>
  <c r="Z1466" i="2"/>
  <c r="AA1465" i="2"/>
  <c r="Z1465" i="2"/>
  <c r="AA1464" i="2"/>
  <c r="Z1464" i="2"/>
  <c r="AA1463" i="2"/>
  <c r="Z1463" i="2"/>
  <c r="AA1462" i="2"/>
  <c r="Z1462" i="2"/>
  <c r="AA1461" i="2"/>
  <c r="Z1461" i="2"/>
  <c r="AA1460" i="2"/>
  <c r="Z1460" i="2"/>
  <c r="AA1459" i="2"/>
  <c r="Z1459" i="2"/>
  <c r="AA1458" i="2"/>
  <c r="Z1458" i="2"/>
  <c r="AA1457" i="2"/>
  <c r="Z1457" i="2"/>
  <c r="AA1456" i="2"/>
  <c r="Z1456" i="2"/>
  <c r="AA1455" i="2"/>
  <c r="Z1455" i="2"/>
  <c r="AA1454" i="2"/>
  <c r="Z1454" i="2"/>
  <c r="AA1453" i="2"/>
  <c r="Z1453" i="2"/>
  <c r="AA1452" i="2"/>
  <c r="Z1452" i="2"/>
  <c r="AA1451" i="2"/>
  <c r="Z1451" i="2"/>
  <c r="AA1450" i="2"/>
  <c r="Z1450" i="2"/>
  <c r="AA1449" i="2"/>
  <c r="Z1449" i="2"/>
  <c r="AA1448" i="2"/>
  <c r="Z1448" i="2"/>
  <c r="AA1447" i="2"/>
  <c r="Z1447" i="2"/>
  <c r="AA1446" i="2"/>
  <c r="Z1446" i="2"/>
  <c r="AA1445" i="2"/>
  <c r="Z1445" i="2"/>
  <c r="AA1444" i="2"/>
  <c r="Z1444" i="2"/>
  <c r="AA1443" i="2"/>
  <c r="Z1443" i="2"/>
  <c r="AA1442" i="2"/>
  <c r="Z1442" i="2"/>
  <c r="AA1441" i="2"/>
  <c r="Z1441" i="2"/>
  <c r="AA1440" i="2"/>
  <c r="Z1440" i="2"/>
  <c r="AA1439" i="2"/>
  <c r="Z1439" i="2"/>
  <c r="AA1438" i="2"/>
  <c r="Z1438" i="2"/>
  <c r="AA1437" i="2"/>
  <c r="Z1437" i="2"/>
  <c r="AA1436" i="2"/>
  <c r="Z1436" i="2"/>
  <c r="AA1435" i="2"/>
  <c r="Z1435" i="2"/>
  <c r="AA1434" i="2"/>
  <c r="Z1434" i="2"/>
  <c r="AA1433" i="2"/>
  <c r="Z1433" i="2"/>
  <c r="AA1432" i="2"/>
  <c r="Z1432" i="2"/>
  <c r="AA1431" i="2"/>
  <c r="Z1431" i="2"/>
  <c r="AA1430" i="2"/>
  <c r="Z1430" i="2"/>
  <c r="AA1429" i="2"/>
  <c r="Z1429" i="2"/>
  <c r="AA1428" i="2"/>
  <c r="Z1428" i="2"/>
  <c r="AA1427" i="2"/>
  <c r="Z1427" i="2"/>
  <c r="AA1426" i="2"/>
  <c r="Z1426" i="2"/>
  <c r="AA1425" i="2"/>
  <c r="Z1425" i="2"/>
  <c r="AA1424" i="2"/>
  <c r="Z1424" i="2"/>
  <c r="AA1423" i="2"/>
  <c r="Z1423" i="2"/>
  <c r="AA1422" i="2"/>
  <c r="Z1422" i="2"/>
  <c r="AA1421" i="2"/>
  <c r="Z1421" i="2"/>
  <c r="AA1420" i="2"/>
  <c r="Z1420" i="2"/>
  <c r="AA1419" i="2"/>
  <c r="Z1419" i="2"/>
  <c r="AA1418" i="2"/>
  <c r="Z1418" i="2"/>
  <c r="AA1417" i="2"/>
  <c r="Z1417" i="2"/>
  <c r="AA1416" i="2"/>
  <c r="Z1416" i="2"/>
  <c r="AA1415" i="2"/>
  <c r="Z1415" i="2"/>
  <c r="AA1414" i="2"/>
  <c r="Z1414" i="2"/>
  <c r="AA1413" i="2"/>
  <c r="Z1413" i="2"/>
  <c r="AA1412" i="2"/>
  <c r="Z1412" i="2"/>
  <c r="AA1411" i="2"/>
  <c r="Z1411" i="2"/>
  <c r="AA1410" i="2"/>
  <c r="Z1410" i="2"/>
  <c r="AA1409" i="2"/>
  <c r="Z1409" i="2"/>
  <c r="AA1408" i="2"/>
  <c r="Z1408" i="2"/>
  <c r="AA1407" i="2"/>
  <c r="Z1407" i="2"/>
  <c r="AA1406" i="2"/>
  <c r="Z1406" i="2"/>
  <c r="AA1405" i="2"/>
  <c r="Z1405" i="2"/>
  <c r="AA1404" i="2"/>
  <c r="Z1404" i="2"/>
  <c r="AA1403" i="2"/>
  <c r="Z1403" i="2"/>
  <c r="AA1402" i="2"/>
  <c r="Z1402" i="2"/>
  <c r="AA1401" i="2"/>
  <c r="Z1401" i="2"/>
  <c r="AA1400" i="2"/>
  <c r="Z1400" i="2"/>
  <c r="AA1399" i="2"/>
  <c r="Z1399" i="2"/>
  <c r="AA1398" i="2"/>
  <c r="Z1398" i="2"/>
  <c r="AA1397" i="2"/>
  <c r="Z1397" i="2"/>
  <c r="AA1396" i="2"/>
  <c r="Z1396" i="2"/>
  <c r="AA1395" i="2"/>
  <c r="Z1395" i="2"/>
  <c r="AA1394" i="2"/>
  <c r="Z1394" i="2"/>
  <c r="AA1393" i="2"/>
  <c r="Z1393" i="2"/>
  <c r="AA1392" i="2"/>
  <c r="Z1392" i="2"/>
  <c r="AA1391" i="2"/>
  <c r="Z1391" i="2"/>
  <c r="AA1390" i="2"/>
  <c r="Z1390" i="2"/>
  <c r="AA1389" i="2"/>
  <c r="Z1389" i="2"/>
  <c r="AA1388" i="2"/>
  <c r="Z1388" i="2"/>
  <c r="AA1387" i="2"/>
  <c r="Z1387" i="2"/>
  <c r="AA1386" i="2"/>
  <c r="Z1386" i="2"/>
  <c r="AA1385" i="2"/>
  <c r="Z1385" i="2"/>
  <c r="AA1384" i="2"/>
  <c r="Z1384" i="2"/>
  <c r="AA1383" i="2"/>
  <c r="Z1383" i="2"/>
  <c r="AA1382" i="2"/>
  <c r="Z1382" i="2"/>
  <c r="AA1381" i="2"/>
  <c r="Z1381" i="2"/>
  <c r="AA1380" i="2"/>
  <c r="Z1380" i="2"/>
  <c r="AA1379" i="2"/>
  <c r="Z1379" i="2"/>
  <c r="AA1378" i="2"/>
  <c r="Z1378" i="2"/>
  <c r="AA1377" i="2"/>
  <c r="Z1377" i="2"/>
  <c r="AA1376" i="2"/>
  <c r="Z1376" i="2"/>
  <c r="AA1375" i="2"/>
  <c r="Z1375" i="2"/>
  <c r="AA1374" i="2"/>
  <c r="Z1374" i="2"/>
  <c r="AA1373" i="2"/>
  <c r="Z1373" i="2"/>
  <c r="AA1372" i="2"/>
  <c r="Z1372" i="2"/>
  <c r="AA1371" i="2"/>
  <c r="Z1371" i="2"/>
  <c r="AA1370" i="2"/>
  <c r="Z1370" i="2"/>
  <c r="AA1369" i="2"/>
  <c r="Z1369" i="2"/>
  <c r="AA1368" i="2"/>
  <c r="Z1368" i="2"/>
  <c r="AA1367" i="2"/>
  <c r="Z1367" i="2"/>
  <c r="AA1366" i="2"/>
  <c r="Z1366" i="2"/>
  <c r="AA1365" i="2"/>
  <c r="Z1365" i="2"/>
  <c r="AA1364" i="2"/>
  <c r="Z1364" i="2"/>
  <c r="AA1363" i="2"/>
  <c r="Z1363" i="2"/>
  <c r="AA1362" i="2"/>
  <c r="Z1362" i="2"/>
  <c r="AA1361" i="2"/>
  <c r="Z1361" i="2"/>
  <c r="AA1360" i="2"/>
  <c r="Z1360" i="2"/>
  <c r="AA1359" i="2"/>
  <c r="Z1359" i="2"/>
  <c r="AA1358" i="2"/>
  <c r="Z1358" i="2"/>
  <c r="AA1357" i="2"/>
  <c r="Z1357" i="2"/>
  <c r="AA1356" i="2"/>
  <c r="Z1356" i="2"/>
  <c r="AA1355" i="2"/>
  <c r="Z1355" i="2"/>
  <c r="AA1354" i="2"/>
  <c r="Z1354" i="2"/>
  <c r="AA1353" i="2"/>
  <c r="Z1353" i="2"/>
  <c r="AA1352" i="2"/>
  <c r="Z1352" i="2"/>
  <c r="AA1351" i="2"/>
  <c r="Z1351" i="2"/>
  <c r="AA1350" i="2"/>
  <c r="Z1350" i="2"/>
  <c r="AA1349" i="2"/>
  <c r="Z1349" i="2"/>
  <c r="AA1348" i="2"/>
  <c r="Z1348" i="2"/>
  <c r="AA1347" i="2"/>
  <c r="Z1347" i="2"/>
  <c r="AA1346" i="2"/>
  <c r="Z1346" i="2"/>
  <c r="AA1345" i="2"/>
  <c r="Z1345" i="2"/>
  <c r="AA1344" i="2"/>
  <c r="Z1344" i="2"/>
  <c r="AA1343" i="2"/>
  <c r="Z1343" i="2"/>
  <c r="AA1342" i="2"/>
  <c r="Z1342" i="2"/>
  <c r="AA1341" i="2"/>
  <c r="Z1341" i="2"/>
  <c r="AA1340" i="2"/>
  <c r="Z1340" i="2"/>
  <c r="AA1339" i="2"/>
  <c r="Z1339" i="2"/>
  <c r="AA1338" i="2"/>
  <c r="Z1338" i="2"/>
  <c r="AA1337" i="2"/>
  <c r="Z1337" i="2"/>
  <c r="AA1336" i="2"/>
  <c r="Z1336" i="2"/>
  <c r="AA1335" i="2"/>
  <c r="Z1335" i="2"/>
  <c r="AA1334" i="2"/>
  <c r="Z1334" i="2"/>
  <c r="AA1333" i="2"/>
  <c r="Z1333" i="2"/>
  <c r="AA1332" i="2"/>
  <c r="Z1332" i="2"/>
  <c r="AA1331" i="2"/>
  <c r="Z1331" i="2"/>
  <c r="AA1330" i="2"/>
  <c r="Z1330" i="2"/>
  <c r="AA1329" i="2"/>
  <c r="Z1329" i="2"/>
  <c r="AA1328" i="2"/>
  <c r="Z1328" i="2"/>
  <c r="AA1327" i="2"/>
  <c r="Z1327" i="2"/>
  <c r="AA1326" i="2"/>
  <c r="Z1326" i="2"/>
  <c r="AA1325" i="2"/>
  <c r="Z1325" i="2"/>
  <c r="AA1324" i="2"/>
  <c r="Z1324" i="2"/>
  <c r="AA1323" i="2"/>
  <c r="Z1323" i="2"/>
  <c r="AA1322" i="2"/>
  <c r="Z1322" i="2"/>
  <c r="AA1321" i="2"/>
  <c r="Z1321" i="2"/>
  <c r="AA1320" i="2"/>
  <c r="Z1320" i="2"/>
  <c r="AA1319" i="2"/>
  <c r="Z1319" i="2"/>
  <c r="AA1318" i="2"/>
  <c r="Z1318" i="2"/>
  <c r="AA1317" i="2"/>
  <c r="Z1317" i="2"/>
  <c r="AA1316" i="2"/>
  <c r="Z1316" i="2"/>
  <c r="AA1315" i="2"/>
  <c r="Z1315" i="2"/>
  <c r="AA1314" i="2"/>
  <c r="Z1314" i="2"/>
  <c r="AA1313" i="2"/>
  <c r="Z1313" i="2"/>
  <c r="AA1312" i="2"/>
  <c r="Z1312" i="2"/>
  <c r="AA1311" i="2"/>
  <c r="Z1311" i="2"/>
  <c r="AA1310" i="2"/>
  <c r="Z1310" i="2"/>
  <c r="AA1309" i="2"/>
  <c r="Z1309" i="2"/>
  <c r="AA1308" i="2"/>
  <c r="Z1308" i="2"/>
  <c r="AA1307" i="2"/>
  <c r="Z1307" i="2"/>
  <c r="AA1306" i="2"/>
  <c r="Z1306" i="2"/>
  <c r="AA1305" i="2"/>
  <c r="Z1305" i="2"/>
  <c r="AA1304" i="2"/>
  <c r="Z1304" i="2"/>
  <c r="AA1303" i="2"/>
  <c r="Z1303" i="2"/>
  <c r="AA1302" i="2"/>
  <c r="Z1302" i="2"/>
  <c r="AA1301" i="2"/>
  <c r="Z1301" i="2"/>
  <c r="AA1300" i="2"/>
  <c r="Z1300" i="2"/>
  <c r="AA1299" i="2"/>
  <c r="Z1299" i="2"/>
  <c r="AA1298" i="2"/>
  <c r="Z1298" i="2"/>
  <c r="AA1297" i="2"/>
  <c r="Z1297" i="2"/>
  <c r="AA1296" i="2"/>
  <c r="Z1296" i="2"/>
  <c r="AA1295" i="2"/>
  <c r="Z1295" i="2"/>
  <c r="AA1294" i="2"/>
  <c r="Z1294" i="2"/>
  <c r="AA1293" i="2"/>
  <c r="Z1293" i="2"/>
  <c r="AA1292" i="2"/>
  <c r="Z1292" i="2"/>
  <c r="AA1291" i="2"/>
  <c r="Z1291" i="2"/>
  <c r="AA1290" i="2"/>
  <c r="Z1290" i="2"/>
  <c r="AA1289" i="2"/>
  <c r="Z1289" i="2"/>
  <c r="AA1288" i="2"/>
  <c r="Z1288" i="2"/>
  <c r="AE1287" i="2"/>
  <c r="AA1287" i="2"/>
  <c r="Z1287" i="2"/>
  <c r="AB1287" i="2" s="1"/>
  <c r="AC1287" i="2" s="1"/>
  <c r="AD1287" i="2" s="1"/>
  <c r="AA1286" i="2"/>
  <c r="Z1286" i="2"/>
  <c r="AA1285" i="2"/>
  <c r="Z1285" i="2"/>
  <c r="AA1284" i="2"/>
  <c r="Z1284" i="2"/>
  <c r="AA1283" i="2"/>
  <c r="Z1283" i="2"/>
  <c r="AA1282" i="2"/>
  <c r="Z1282" i="2"/>
  <c r="AA1281" i="2"/>
  <c r="Z1281" i="2"/>
  <c r="AA1280" i="2"/>
  <c r="Z1280" i="2"/>
  <c r="AA1279" i="2"/>
  <c r="Z1279" i="2"/>
  <c r="AA1278" i="2"/>
  <c r="Z1278" i="2"/>
  <c r="AA1277" i="2"/>
  <c r="Z1277" i="2"/>
  <c r="AA1276" i="2"/>
  <c r="Z1276" i="2"/>
  <c r="AA1275" i="2"/>
  <c r="Z1275" i="2"/>
  <c r="AA1274" i="2"/>
  <c r="Z1274" i="2"/>
  <c r="AA1273" i="2"/>
  <c r="Z1273" i="2"/>
  <c r="AA1272" i="2"/>
  <c r="Z1272" i="2"/>
  <c r="AA1271" i="2"/>
  <c r="Z1271" i="2"/>
  <c r="AA1270" i="2"/>
  <c r="Z1270" i="2"/>
  <c r="AA1269" i="2"/>
  <c r="Z1269" i="2"/>
  <c r="AA1268" i="2"/>
  <c r="Z1268" i="2"/>
  <c r="AA1267" i="2"/>
  <c r="Z1267" i="2"/>
  <c r="AA1266" i="2"/>
  <c r="Z1266" i="2"/>
  <c r="AA1265" i="2"/>
  <c r="Z1265" i="2"/>
  <c r="AA1264" i="2"/>
  <c r="Z1264" i="2"/>
  <c r="AA1263" i="2"/>
  <c r="Z1263" i="2"/>
  <c r="AA1262" i="2"/>
  <c r="Z1262" i="2"/>
  <c r="AA1261" i="2"/>
  <c r="Z1261" i="2"/>
  <c r="AA1260" i="2"/>
  <c r="Z1260" i="2"/>
  <c r="AA1259" i="2"/>
  <c r="Z1259" i="2"/>
  <c r="AA1258" i="2"/>
  <c r="Z1258" i="2"/>
  <c r="AA1257" i="2"/>
  <c r="Z1257" i="2"/>
  <c r="AA1256" i="2"/>
  <c r="Z1256" i="2"/>
  <c r="AA1255" i="2"/>
  <c r="Z1255" i="2"/>
  <c r="AA1254" i="2"/>
  <c r="Z1254" i="2"/>
  <c r="AA1253" i="2"/>
  <c r="Z1253" i="2"/>
  <c r="AA1252" i="2"/>
  <c r="Z1252" i="2"/>
  <c r="AA1251" i="2"/>
  <c r="Z1251" i="2"/>
  <c r="AA1250" i="2"/>
  <c r="Z1250" i="2"/>
  <c r="AA1249" i="2"/>
  <c r="Z1249" i="2"/>
  <c r="AA1248" i="2"/>
  <c r="Z1248" i="2"/>
  <c r="AA1247" i="2"/>
  <c r="Z1247" i="2"/>
  <c r="AA1246" i="2"/>
  <c r="Z1246" i="2"/>
  <c r="AA1245" i="2"/>
  <c r="Z1245" i="2"/>
  <c r="AA1244" i="2"/>
  <c r="Z1244" i="2"/>
  <c r="AA1243" i="2"/>
  <c r="Z1243" i="2"/>
  <c r="AA1242" i="2"/>
  <c r="Z1242" i="2"/>
  <c r="AA1241" i="2"/>
  <c r="Z1241" i="2"/>
  <c r="AA1240" i="2"/>
  <c r="Z1240" i="2"/>
  <c r="AA1239" i="2"/>
  <c r="Z1239" i="2"/>
  <c r="AA1238" i="2"/>
  <c r="Z1238" i="2"/>
  <c r="AA1237" i="2"/>
  <c r="Z1237" i="2"/>
  <c r="AA1236" i="2"/>
  <c r="Z1236" i="2"/>
  <c r="AA1235" i="2"/>
  <c r="Z1235" i="2"/>
  <c r="AA1234" i="2"/>
  <c r="Z1234" i="2"/>
  <c r="AA1233" i="2"/>
  <c r="Z1233" i="2"/>
  <c r="AA1232" i="2"/>
  <c r="Z1232" i="2"/>
  <c r="AA1231" i="2"/>
  <c r="Z1231" i="2"/>
  <c r="AA1230" i="2"/>
  <c r="Z1230" i="2"/>
  <c r="AA1229" i="2"/>
  <c r="Z1229" i="2"/>
  <c r="AA1228" i="2"/>
  <c r="Z1228" i="2"/>
  <c r="AA1227" i="2"/>
  <c r="Z1227" i="2"/>
  <c r="AA1226" i="2"/>
  <c r="Z1226" i="2"/>
  <c r="AA1225" i="2"/>
  <c r="Z1225" i="2"/>
  <c r="AA1224" i="2"/>
  <c r="Z1224" i="2"/>
  <c r="AA1223" i="2"/>
  <c r="Z1223" i="2"/>
  <c r="AA1222" i="2"/>
  <c r="Z1222" i="2"/>
  <c r="AA1221" i="2"/>
  <c r="Z1221" i="2"/>
  <c r="AA1220" i="2"/>
  <c r="Z1220" i="2"/>
  <c r="AA1219" i="2"/>
  <c r="Z1219" i="2"/>
  <c r="AA1218" i="2"/>
  <c r="Z1218" i="2"/>
  <c r="AA1217" i="2"/>
  <c r="Z1217" i="2"/>
  <c r="AA1216" i="2"/>
  <c r="Z1216" i="2"/>
  <c r="AA1215" i="2"/>
  <c r="Z1215" i="2"/>
  <c r="AA1214" i="2"/>
  <c r="Z1214" i="2"/>
  <c r="AA1213" i="2"/>
  <c r="Z1213" i="2"/>
  <c r="AA1212" i="2"/>
  <c r="Z1212" i="2"/>
  <c r="AA1211" i="2"/>
  <c r="Z1211" i="2"/>
  <c r="AA1210" i="2"/>
  <c r="Z1210" i="2"/>
  <c r="AA1209" i="2"/>
  <c r="Z1209" i="2"/>
  <c r="AA1208" i="2"/>
  <c r="Z1208" i="2"/>
  <c r="AA1207" i="2"/>
  <c r="Z1207" i="2"/>
  <c r="AA1206" i="2"/>
  <c r="Z1206" i="2"/>
  <c r="AA1205" i="2"/>
  <c r="Z1205" i="2"/>
  <c r="AA1204" i="2"/>
  <c r="Z1204" i="2"/>
  <c r="AA1203" i="2"/>
  <c r="Z1203" i="2"/>
  <c r="AA1202" i="2"/>
  <c r="Z1202" i="2"/>
  <c r="AA1201" i="2"/>
  <c r="Z1201" i="2"/>
  <c r="AA1200" i="2"/>
  <c r="Z1200" i="2"/>
  <c r="AA1199" i="2"/>
  <c r="Z1199" i="2"/>
  <c r="AA1198" i="2"/>
  <c r="Z1198" i="2"/>
  <c r="AA1197" i="2"/>
  <c r="Z1197" i="2"/>
  <c r="AA1196" i="2"/>
  <c r="Z1196" i="2"/>
  <c r="AA1195" i="2"/>
  <c r="Z1195" i="2"/>
  <c r="AA1194" i="2"/>
  <c r="Z1194" i="2"/>
  <c r="AA1193" i="2"/>
  <c r="Z1193" i="2"/>
  <c r="AA1192" i="2"/>
  <c r="Z1192" i="2"/>
  <c r="AA1191" i="2"/>
  <c r="Z1191" i="2"/>
  <c r="AA1190" i="2"/>
  <c r="Z1190" i="2"/>
  <c r="AA1189" i="2"/>
  <c r="Z1189" i="2"/>
  <c r="AA1188" i="2"/>
  <c r="Z1188" i="2"/>
  <c r="AA1187" i="2"/>
  <c r="Z1187" i="2"/>
  <c r="AA1186" i="2"/>
  <c r="Z1186" i="2"/>
  <c r="AA1185" i="2"/>
  <c r="Z1185" i="2"/>
  <c r="AA1184" i="2"/>
  <c r="Z1184" i="2"/>
  <c r="AA1183" i="2"/>
  <c r="Z1183" i="2"/>
  <c r="AA1182" i="2"/>
  <c r="Z1182" i="2"/>
  <c r="AA1181" i="2"/>
  <c r="Z1181" i="2"/>
  <c r="AA1180" i="2"/>
  <c r="Z1180" i="2"/>
  <c r="AA1179" i="2"/>
  <c r="Z1179" i="2"/>
  <c r="AA1178" i="2"/>
  <c r="Z1178" i="2"/>
  <c r="AA1177" i="2"/>
  <c r="Z1177" i="2"/>
  <c r="AA1176" i="2"/>
  <c r="Z1176" i="2"/>
  <c r="AA1175" i="2"/>
  <c r="Z1175" i="2"/>
  <c r="AA1174" i="2"/>
  <c r="Z1174" i="2"/>
  <c r="AA1173" i="2"/>
  <c r="Z1173" i="2"/>
  <c r="AA1172" i="2"/>
  <c r="Z1172" i="2"/>
  <c r="AA1171" i="2"/>
  <c r="Z1171" i="2"/>
  <c r="AA1170" i="2"/>
  <c r="Z1170" i="2"/>
  <c r="AA1169" i="2"/>
  <c r="Z1169" i="2"/>
  <c r="AA1168" i="2"/>
  <c r="Z1168" i="2"/>
  <c r="AA1167" i="2"/>
  <c r="Z1167" i="2"/>
  <c r="AA1166" i="2"/>
  <c r="Z1166" i="2"/>
  <c r="AA1165" i="2"/>
  <c r="Z1165" i="2"/>
  <c r="AA1164" i="2"/>
  <c r="Z1164" i="2"/>
  <c r="AA1163" i="2"/>
  <c r="Z1163" i="2"/>
  <c r="AA1162" i="2"/>
  <c r="Z1162" i="2"/>
  <c r="AA1161" i="2"/>
  <c r="Z1161" i="2"/>
  <c r="AA1160" i="2"/>
  <c r="Z1160" i="2"/>
  <c r="AA1159" i="2"/>
  <c r="Z1159" i="2"/>
  <c r="AA1158" i="2"/>
  <c r="Z1158" i="2"/>
  <c r="AA1157" i="2"/>
  <c r="Z1157" i="2"/>
  <c r="AA1156" i="2"/>
  <c r="Z1156" i="2"/>
  <c r="AA1155" i="2"/>
  <c r="Z1155" i="2"/>
  <c r="AA1154" i="2"/>
  <c r="Z1154" i="2"/>
  <c r="AA1153" i="2"/>
  <c r="Z1153" i="2"/>
  <c r="AA1152" i="2"/>
  <c r="Z1152" i="2"/>
  <c r="AA1151" i="2"/>
  <c r="Z1151" i="2"/>
  <c r="AA1150" i="2"/>
  <c r="Z1150" i="2"/>
  <c r="AA1149" i="2"/>
  <c r="Z1149" i="2"/>
  <c r="AA1148" i="2"/>
  <c r="Z1148" i="2"/>
  <c r="AA1147" i="2"/>
  <c r="Z1147" i="2"/>
  <c r="AA1146" i="2"/>
  <c r="Z1146" i="2"/>
  <c r="AA1145" i="2"/>
  <c r="Z1145" i="2"/>
  <c r="AA1144" i="2"/>
  <c r="Z1144" i="2"/>
  <c r="AA1143" i="2"/>
  <c r="Z1143" i="2"/>
  <c r="AA1142" i="2"/>
  <c r="Z1142" i="2"/>
  <c r="AA1141" i="2"/>
  <c r="Z1141" i="2"/>
  <c r="AA1140" i="2"/>
  <c r="Z1140" i="2"/>
  <c r="AA1139" i="2"/>
  <c r="Z1139" i="2"/>
  <c r="AA1138" i="2"/>
  <c r="Z1138" i="2"/>
  <c r="AA1137" i="2"/>
  <c r="Z1137" i="2"/>
  <c r="AA1136" i="2"/>
  <c r="Z1136" i="2"/>
  <c r="AA1135" i="2"/>
  <c r="Z1135" i="2"/>
  <c r="AA1134" i="2"/>
  <c r="Z1134" i="2"/>
  <c r="AA1133" i="2"/>
  <c r="Z1133" i="2"/>
  <c r="AA1132" i="2"/>
  <c r="Z1132" i="2"/>
  <c r="AA1131" i="2"/>
  <c r="Z1131" i="2"/>
  <c r="AA1130" i="2"/>
  <c r="Z1130" i="2"/>
  <c r="AA1129" i="2"/>
  <c r="Z1129" i="2"/>
  <c r="AA1128" i="2"/>
  <c r="Z1128" i="2"/>
  <c r="AA1127" i="2"/>
  <c r="Z1127" i="2"/>
  <c r="AA1126" i="2"/>
  <c r="Z1126" i="2"/>
  <c r="AA1125" i="2"/>
  <c r="Z1125" i="2"/>
  <c r="AA1124" i="2"/>
  <c r="Z1124" i="2"/>
  <c r="AA1123" i="2"/>
  <c r="Z1123" i="2"/>
  <c r="AA1122" i="2"/>
  <c r="Z1122" i="2"/>
  <c r="AA1121" i="2"/>
  <c r="Z1121" i="2"/>
  <c r="AA1120" i="2"/>
  <c r="Z1120" i="2"/>
  <c r="AA1119" i="2"/>
  <c r="Z1119" i="2"/>
  <c r="AA1118" i="2"/>
  <c r="Z1118" i="2"/>
  <c r="AA1117" i="2"/>
  <c r="Z1117" i="2"/>
  <c r="AA1116" i="2"/>
  <c r="Z1116" i="2"/>
  <c r="AA1115" i="2"/>
  <c r="Z1115" i="2"/>
  <c r="AA1114" i="2"/>
  <c r="Z1114" i="2"/>
  <c r="AA1113" i="2"/>
  <c r="Z1113" i="2"/>
  <c r="AA1112" i="2"/>
  <c r="Z1112" i="2"/>
  <c r="AA1111" i="2"/>
  <c r="Z1111" i="2"/>
  <c r="AA1110" i="2"/>
  <c r="Z1110" i="2"/>
  <c r="AA1109" i="2"/>
  <c r="Z1109" i="2"/>
  <c r="AA1108" i="2"/>
  <c r="Z1108" i="2"/>
  <c r="AA1107" i="2"/>
  <c r="Z1107" i="2"/>
  <c r="AA1106" i="2"/>
  <c r="Z1106" i="2"/>
  <c r="AA1105" i="2"/>
  <c r="Z1105" i="2"/>
  <c r="AA1104" i="2"/>
  <c r="Z1104" i="2"/>
  <c r="AA1103" i="2"/>
  <c r="Z1103" i="2"/>
  <c r="AA1102" i="2"/>
  <c r="Z1102" i="2"/>
  <c r="AA1101" i="2"/>
  <c r="Z1101" i="2"/>
  <c r="AA1100" i="2"/>
  <c r="Z1100" i="2"/>
  <c r="AA1099" i="2"/>
  <c r="Z1099" i="2"/>
  <c r="AA1098" i="2"/>
  <c r="Z1098" i="2"/>
  <c r="AA1097" i="2"/>
  <c r="Z1097" i="2"/>
  <c r="AA1096" i="2"/>
  <c r="Z1096" i="2"/>
  <c r="AA1095" i="2"/>
  <c r="Z1095" i="2"/>
  <c r="AA1094" i="2"/>
  <c r="Z1094" i="2"/>
  <c r="AA1093" i="2"/>
  <c r="Z1093" i="2"/>
  <c r="AA1092" i="2"/>
  <c r="Z1092" i="2"/>
  <c r="AA1091" i="2"/>
  <c r="Z1091" i="2"/>
  <c r="AA1090" i="2"/>
  <c r="Z1090" i="2"/>
  <c r="AA1089" i="2"/>
  <c r="Z1089" i="2"/>
  <c r="AA1088" i="2"/>
  <c r="Z1088" i="2"/>
  <c r="AA1087" i="2"/>
  <c r="Z1087" i="2"/>
  <c r="AA1086" i="2"/>
  <c r="Z1086" i="2"/>
  <c r="AA1085" i="2"/>
  <c r="Z1085" i="2"/>
  <c r="AA1084" i="2"/>
  <c r="Z1084" i="2"/>
  <c r="AA1083" i="2"/>
  <c r="Z1083" i="2"/>
  <c r="AA1082" i="2"/>
  <c r="Z1082" i="2"/>
  <c r="AA1081" i="2"/>
  <c r="Z1081" i="2"/>
  <c r="AA1080" i="2"/>
  <c r="Z1080" i="2"/>
  <c r="AA1079" i="2"/>
  <c r="Z1079" i="2"/>
  <c r="AA1078" i="2"/>
  <c r="Z1078" i="2"/>
  <c r="AA1077" i="2"/>
  <c r="Z1077" i="2"/>
  <c r="AA1076" i="2"/>
  <c r="Z1076" i="2"/>
  <c r="AA1075" i="2"/>
  <c r="Z1075" i="2"/>
  <c r="AA1074" i="2"/>
  <c r="Z1074" i="2"/>
  <c r="AA1073" i="2"/>
  <c r="Z1073" i="2"/>
  <c r="AA1072" i="2"/>
  <c r="Z1072" i="2"/>
  <c r="AA1071" i="2"/>
  <c r="Z1071" i="2"/>
  <c r="AA1070" i="2"/>
  <c r="Z1070" i="2"/>
  <c r="AA1069" i="2"/>
  <c r="Z1069" i="2"/>
  <c r="AA1068" i="2"/>
  <c r="Z1068" i="2"/>
  <c r="AA1067" i="2"/>
  <c r="Z1067" i="2"/>
  <c r="AA1066" i="2"/>
  <c r="Z1066" i="2"/>
  <c r="AA1065" i="2"/>
  <c r="Z1065" i="2"/>
  <c r="AA1064" i="2"/>
  <c r="Z1064" i="2"/>
  <c r="AA1063" i="2"/>
  <c r="Z1063" i="2"/>
  <c r="AA1062" i="2"/>
  <c r="Z1062" i="2"/>
  <c r="AA1061" i="2"/>
  <c r="Z1061" i="2"/>
  <c r="AA1060" i="2"/>
  <c r="Z1060" i="2"/>
  <c r="AA1059" i="2"/>
  <c r="Z1059" i="2"/>
  <c r="AA1058" i="2"/>
  <c r="Z1058" i="2"/>
  <c r="AA1057" i="2"/>
  <c r="Z1057" i="2"/>
  <c r="AA1056" i="2"/>
  <c r="Z1056" i="2"/>
  <c r="AA1055" i="2"/>
  <c r="Z1055" i="2"/>
  <c r="AA1054" i="2"/>
  <c r="Z1054" i="2"/>
  <c r="AA1053" i="2"/>
  <c r="Z1053" i="2"/>
  <c r="AA1052" i="2"/>
  <c r="Z1052" i="2"/>
  <c r="AA1051" i="2"/>
  <c r="Z1051" i="2"/>
  <c r="AA1050" i="2"/>
  <c r="Z1050" i="2"/>
  <c r="AA1049" i="2"/>
  <c r="Z1049" i="2"/>
  <c r="AA1048" i="2"/>
  <c r="Z1048" i="2"/>
  <c r="AA1047" i="2"/>
  <c r="Z1047" i="2"/>
  <c r="AA1046" i="2"/>
  <c r="Z1046" i="2"/>
  <c r="AA1045" i="2"/>
  <c r="Z1045" i="2"/>
  <c r="AA1044" i="2"/>
  <c r="Z1044" i="2"/>
  <c r="AA1043" i="2"/>
  <c r="Z1043" i="2"/>
  <c r="AA1042" i="2"/>
  <c r="Z1042" i="2"/>
  <c r="AA1041" i="2"/>
  <c r="Z1041" i="2"/>
  <c r="AA1040" i="2"/>
  <c r="Z1040" i="2"/>
  <c r="AA1039" i="2"/>
  <c r="Z1039" i="2"/>
  <c r="AA1038" i="2"/>
  <c r="Z1038" i="2"/>
  <c r="AA1037" i="2"/>
  <c r="Z1037" i="2"/>
  <c r="AA1036" i="2"/>
  <c r="Z1036" i="2"/>
  <c r="AA1035" i="2"/>
  <c r="Z1035" i="2"/>
  <c r="AA1034" i="2"/>
  <c r="Z1034" i="2"/>
  <c r="AA1033" i="2"/>
  <c r="Z1033" i="2"/>
  <c r="AA1032" i="2"/>
  <c r="Z1032" i="2"/>
  <c r="AA1031" i="2"/>
  <c r="Z1031" i="2"/>
  <c r="AE1030" i="2"/>
  <c r="AB1030" i="2"/>
  <c r="AC1030" i="2" s="1"/>
  <c r="AD1030" i="2" s="1"/>
  <c r="AA1030" i="2"/>
  <c r="Z1030" i="2"/>
  <c r="AA1029" i="2"/>
  <c r="Z1029" i="2"/>
  <c r="AA1028" i="2"/>
  <c r="Z1028" i="2"/>
  <c r="AA1027" i="2"/>
  <c r="Z1027" i="2"/>
  <c r="AA1026" i="2"/>
  <c r="Z1026" i="2"/>
  <c r="AA1025" i="2"/>
  <c r="Z1025" i="2"/>
  <c r="AA1024" i="2"/>
  <c r="Z1024" i="2"/>
  <c r="AA1023" i="2"/>
  <c r="Z1023" i="2"/>
  <c r="AA1022" i="2"/>
  <c r="Z1022" i="2"/>
  <c r="AA1021" i="2"/>
  <c r="Z1021" i="2"/>
  <c r="AA1020" i="2"/>
  <c r="Z1020" i="2"/>
  <c r="AA1019" i="2"/>
  <c r="Z1019" i="2"/>
  <c r="AA1018" i="2"/>
  <c r="Z1018" i="2"/>
  <c r="AA1017" i="2"/>
  <c r="Z1017" i="2"/>
  <c r="AA1016" i="2"/>
  <c r="Z1016" i="2"/>
  <c r="AA1015" i="2"/>
  <c r="Z1015" i="2"/>
  <c r="AA1014" i="2"/>
  <c r="Z1014" i="2"/>
  <c r="AA1013" i="2"/>
  <c r="Z1013" i="2"/>
  <c r="AA1012" i="2"/>
  <c r="Z1012" i="2"/>
  <c r="AA1011" i="2"/>
  <c r="Z1011" i="2"/>
  <c r="AA1010" i="2"/>
  <c r="Z1010" i="2"/>
  <c r="AA1009" i="2"/>
  <c r="Z1009" i="2"/>
  <c r="AA1008" i="2"/>
  <c r="Z1008" i="2"/>
  <c r="AA1007" i="2"/>
  <c r="Z1007" i="2"/>
  <c r="AA1006" i="2"/>
  <c r="Z1006" i="2"/>
  <c r="AA1005" i="2"/>
  <c r="Z1005" i="2"/>
  <c r="AA1004" i="2"/>
  <c r="Z1004" i="2"/>
  <c r="AA1003" i="2"/>
  <c r="Z1003" i="2"/>
  <c r="AA1002" i="2"/>
  <c r="Z1002" i="2"/>
  <c r="AA1001" i="2"/>
  <c r="Z1001" i="2"/>
  <c r="AA1000" i="2"/>
  <c r="Z1000" i="2"/>
  <c r="AA999" i="2"/>
  <c r="Z999" i="2"/>
  <c r="AA998" i="2"/>
  <c r="Z998" i="2"/>
  <c r="AA997" i="2"/>
  <c r="Z997" i="2"/>
  <c r="AA996" i="2"/>
  <c r="Z996" i="2"/>
  <c r="AA995" i="2"/>
  <c r="Z995" i="2"/>
  <c r="AA994" i="2"/>
  <c r="Z994" i="2"/>
  <c r="AA993" i="2"/>
  <c r="Z993" i="2"/>
  <c r="AA992" i="2"/>
  <c r="Z992" i="2"/>
  <c r="AA991" i="2"/>
  <c r="Z991" i="2"/>
  <c r="AA990" i="2"/>
  <c r="Z990" i="2"/>
  <c r="AA989" i="2"/>
  <c r="Z989" i="2"/>
  <c r="AA988" i="2"/>
  <c r="Z988" i="2"/>
  <c r="AA987" i="2"/>
  <c r="Z987" i="2"/>
  <c r="AA986" i="2"/>
  <c r="Z986" i="2"/>
  <c r="AA985" i="2"/>
  <c r="Z985" i="2"/>
  <c r="AA984" i="2"/>
  <c r="Z984" i="2"/>
  <c r="AA983" i="2"/>
  <c r="Z983" i="2"/>
  <c r="AA982" i="2"/>
  <c r="Z982" i="2"/>
  <c r="AA981" i="2"/>
  <c r="Z981" i="2"/>
  <c r="AA980" i="2"/>
  <c r="Z980" i="2"/>
  <c r="AA979" i="2"/>
  <c r="Z979" i="2"/>
  <c r="AA978" i="2"/>
  <c r="Z978" i="2"/>
  <c r="AA977" i="2"/>
  <c r="Z977" i="2"/>
  <c r="AA976" i="2"/>
  <c r="Z976" i="2"/>
  <c r="AA975" i="2"/>
  <c r="Z975" i="2"/>
  <c r="AA974" i="2"/>
  <c r="Z974" i="2"/>
  <c r="AA973" i="2"/>
  <c r="Z973" i="2"/>
  <c r="AA972" i="2"/>
  <c r="Z972" i="2"/>
  <c r="AA971" i="2"/>
  <c r="Z971" i="2"/>
  <c r="AA970" i="2"/>
  <c r="Z970" i="2"/>
  <c r="AA969" i="2"/>
  <c r="Z969" i="2"/>
  <c r="AA968" i="2"/>
  <c r="Z968" i="2"/>
  <c r="AA967" i="2"/>
  <c r="Z967" i="2"/>
  <c r="AA966" i="2"/>
  <c r="Z966" i="2"/>
  <c r="AA965" i="2"/>
  <c r="Z965" i="2"/>
  <c r="AA964" i="2"/>
  <c r="Z964" i="2"/>
  <c r="AA963" i="2"/>
  <c r="Z963" i="2"/>
  <c r="AA962" i="2"/>
  <c r="Z962" i="2"/>
  <c r="AA961" i="2"/>
  <c r="Z961" i="2"/>
  <c r="AA960" i="2"/>
  <c r="Z960" i="2"/>
  <c r="AA959" i="2"/>
  <c r="Z959" i="2"/>
  <c r="AA958" i="2"/>
  <c r="Z958" i="2"/>
  <c r="AA957" i="2"/>
  <c r="Z957" i="2"/>
  <c r="AA956" i="2"/>
  <c r="Z956" i="2"/>
  <c r="AA955" i="2"/>
  <c r="Z955" i="2"/>
  <c r="AA954" i="2"/>
  <c r="Z954" i="2"/>
  <c r="AA953" i="2"/>
  <c r="Z953" i="2"/>
  <c r="AA952" i="2"/>
  <c r="Z952" i="2"/>
  <c r="AA951" i="2"/>
  <c r="Z951" i="2"/>
  <c r="AA950" i="2"/>
  <c r="Z950" i="2"/>
  <c r="AA949" i="2"/>
  <c r="Z949" i="2"/>
  <c r="AA948" i="2"/>
  <c r="Z948" i="2"/>
  <c r="AA947" i="2"/>
  <c r="Z947" i="2"/>
  <c r="AA946" i="2"/>
  <c r="Z946" i="2"/>
  <c r="AA945" i="2"/>
  <c r="Z945" i="2"/>
  <c r="AA944" i="2"/>
  <c r="Z944" i="2"/>
  <c r="AA943" i="2"/>
  <c r="Z943" i="2"/>
  <c r="AA942" i="2"/>
  <c r="Z942" i="2"/>
  <c r="AA941" i="2"/>
  <c r="Z941" i="2"/>
  <c r="AA940" i="2"/>
  <c r="Z940" i="2"/>
  <c r="AA939" i="2"/>
  <c r="Z939" i="2"/>
  <c r="AA938" i="2"/>
  <c r="Z938" i="2"/>
  <c r="AA937" i="2"/>
  <c r="Z937" i="2"/>
  <c r="AA936" i="2"/>
  <c r="Z936" i="2"/>
  <c r="AA935" i="2"/>
  <c r="Z935" i="2"/>
  <c r="AA934" i="2"/>
  <c r="Z934" i="2"/>
  <c r="AA933" i="2"/>
  <c r="Z933" i="2"/>
  <c r="AA932" i="2"/>
  <c r="Z932" i="2"/>
  <c r="AA931" i="2"/>
  <c r="Z931" i="2"/>
  <c r="AA930" i="2"/>
  <c r="Z930" i="2"/>
  <c r="AA929" i="2"/>
  <c r="Z929" i="2"/>
  <c r="AA928" i="2"/>
  <c r="Z928" i="2"/>
  <c r="AA927" i="2"/>
  <c r="Z927" i="2"/>
  <c r="AA926" i="2"/>
  <c r="Z926" i="2"/>
  <c r="AA925" i="2"/>
  <c r="Z925" i="2"/>
  <c r="AA924" i="2"/>
  <c r="Z924" i="2"/>
  <c r="AA923" i="2"/>
  <c r="Z923" i="2"/>
  <c r="AA922" i="2"/>
  <c r="Z922" i="2"/>
  <c r="AA921" i="2"/>
  <c r="Z921" i="2"/>
  <c r="AA920" i="2"/>
  <c r="Z920" i="2"/>
  <c r="AA919" i="2"/>
  <c r="Z919" i="2"/>
  <c r="AA918" i="2"/>
  <c r="Z918" i="2"/>
  <c r="AA917" i="2"/>
  <c r="Z917" i="2"/>
  <c r="AA916" i="2"/>
  <c r="Z916" i="2"/>
  <c r="AA915" i="2"/>
  <c r="Z915" i="2"/>
  <c r="AA914" i="2"/>
  <c r="Z914" i="2"/>
  <c r="AA913" i="2"/>
  <c r="Z913" i="2"/>
  <c r="AA912" i="2"/>
  <c r="Z912" i="2"/>
  <c r="AA911" i="2"/>
  <c r="Z911" i="2"/>
  <c r="AA910" i="2"/>
  <c r="Z910" i="2"/>
  <c r="AA909" i="2"/>
  <c r="Z909" i="2"/>
  <c r="AA908" i="2"/>
  <c r="Z908" i="2"/>
  <c r="AA907" i="2"/>
  <c r="Z907" i="2"/>
  <c r="AA906" i="2"/>
  <c r="Z906" i="2"/>
  <c r="AA905" i="2"/>
  <c r="Z905" i="2"/>
  <c r="AA904" i="2"/>
  <c r="Z904" i="2"/>
  <c r="AA903" i="2"/>
  <c r="Z903" i="2"/>
  <c r="AA902" i="2"/>
  <c r="Z902" i="2"/>
  <c r="AA901" i="2"/>
  <c r="Z901" i="2"/>
  <c r="AA900" i="2"/>
  <c r="Z900" i="2"/>
  <c r="AA899" i="2"/>
  <c r="Z899" i="2"/>
  <c r="AA898" i="2"/>
  <c r="Z898" i="2"/>
  <c r="AA897" i="2"/>
  <c r="Z897" i="2"/>
  <c r="AA896" i="2"/>
  <c r="Z896" i="2"/>
  <c r="AA895" i="2"/>
  <c r="Z895" i="2"/>
  <c r="AA894" i="2"/>
  <c r="Z894" i="2"/>
  <c r="AA893" i="2"/>
  <c r="Z893" i="2"/>
  <c r="AA892" i="2"/>
  <c r="Z892" i="2"/>
  <c r="AA891" i="2"/>
  <c r="Z891" i="2"/>
  <c r="AA890" i="2"/>
  <c r="Z890" i="2"/>
  <c r="AA889" i="2"/>
  <c r="Z889" i="2"/>
  <c r="AA888" i="2"/>
  <c r="Z888" i="2"/>
  <c r="AA887" i="2"/>
  <c r="Z887" i="2"/>
  <c r="AA886" i="2"/>
  <c r="Z886" i="2"/>
  <c r="AA885" i="2"/>
  <c r="Z885" i="2"/>
  <c r="AA884" i="2"/>
  <c r="Z884" i="2"/>
  <c r="AA883" i="2"/>
  <c r="Z883" i="2"/>
  <c r="AA882" i="2"/>
  <c r="Z882" i="2"/>
  <c r="AA881" i="2"/>
  <c r="Z881" i="2"/>
  <c r="AA880" i="2"/>
  <c r="Z880" i="2"/>
  <c r="AA879" i="2"/>
  <c r="Z879" i="2"/>
  <c r="AA878" i="2"/>
  <c r="Z878" i="2"/>
  <c r="AA877" i="2"/>
  <c r="Z877" i="2"/>
  <c r="AA876" i="2"/>
  <c r="Z876" i="2"/>
  <c r="AA875" i="2"/>
  <c r="Z875" i="2"/>
  <c r="AA874" i="2"/>
  <c r="Z874" i="2"/>
  <c r="AA873" i="2"/>
  <c r="Z873" i="2"/>
  <c r="AA872" i="2"/>
  <c r="Z872" i="2"/>
  <c r="AA871" i="2"/>
  <c r="Z871" i="2"/>
  <c r="AA870" i="2"/>
  <c r="Z870" i="2"/>
  <c r="AA869" i="2"/>
  <c r="Z869" i="2"/>
  <c r="AA868" i="2"/>
  <c r="Z868" i="2"/>
  <c r="AA867" i="2"/>
  <c r="Z867" i="2"/>
  <c r="AA866" i="2"/>
  <c r="Z866" i="2"/>
  <c r="AA865" i="2"/>
  <c r="Z865" i="2"/>
  <c r="AA864" i="2"/>
  <c r="Z864" i="2"/>
  <c r="AA863" i="2"/>
  <c r="Z863" i="2"/>
  <c r="AA862" i="2"/>
  <c r="Z862" i="2"/>
  <c r="AA861" i="2"/>
  <c r="Z861" i="2"/>
  <c r="AA860" i="2"/>
  <c r="Z860" i="2"/>
  <c r="AA859" i="2"/>
  <c r="Z859" i="2"/>
  <c r="AA858" i="2"/>
  <c r="Z858" i="2"/>
  <c r="AA857" i="2"/>
  <c r="Z857" i="2"/>
  <c r="AA856" i="2"/>
  <c r="Z856" i="2"/>
  <c r="AA855" i="2"/>
  <c r="Z855" i="2"/>
  <c r="AA854" i="2"/>
  <c r="Z854" i="2"/>
  <c r="AA853" i="2"/>
  <c r="Z853" i="2"/>
  <c r="AA852" i="2"/>
  <c r="Z852" i="2"/>
  <c r="AA851" i="2"/>
  <c r="Z851" i="2"/>
  <c r="AA850" i="2"/>
  <c r="Z850" i="2"/>
  <c r="AA849" i="2"/>
  <c r="Z849" i="2"/>
  <c r="AA848" i="2"/>
  <c r="Z848" i="2"/>
  <c r="AA847" i="2"/>
  <c r="Z847" i="2"/>
  <c r="AA846" i="2"/>
  <c r="Z846" i="2"/>
  <c r="AA845" i="2"/>
  <c r="Z845" i="2"/>
  <c r="AA844" i="2"/>
  <c r="Z844" i="2"/>
  <c r="AA843" i="2"/>
  <c r="Z843" i="2"/>
  <c r="AA842" i="2"/>
  <c r="Z842" i="2"/>
  <c r="AA841" i="2"/>
  <c r="Z841" i="2"/>
  <c r="AA840" i="2"/>
  <c r="Z840" i="2"/>
  <c r="AA839" i="2"/>
  <c r="Z839" i="2"/>
  <c r="AA838" i="2"/>
  <c r="Z838" i="2"/>
  <c r="AA837" i="2"/>
  <c r="Z837" i="2"/>
  <c r="AA836" i="2"/>
  <c r="Z836" i="2"/>
  <c r="AA835" i="2"/>
  <c r="Z835" i="2"/>
  <c r="AA834" i="2"/>
  <c r="Z834" i="2"/>
  <c r="AA833" i="2"/>
  <c r="Z833" i="2"/>
  <c r="AA832" i="2"/>
  <c r="Z832" i="2"/>
  <c r="AA831" i="2"/>
  <c r="Z831" i="2"/>
  <c r="AA830" i="2"/>
  <c r="Z830" i="2"/>
  <c r="AA829" i="2"/>
  <c r="Z829" i="2"/>
  <c r="AA828" i="2"/>
  <c r="Z828" i="2"/>
  <c r="AA827" i="2"/>
  <c r="Z827" i="2"/>
  <c r="AA826" i="2"/>
  <c r="Z826" i="2"/>
  <c r="AA825" i="2"/>
  <c r="Z825" i="2"/>
  <c r="AA824" i="2"/>
  <c r="Z824" i="2"/>
  <c r="AA823" i="2"/>
  <c r="Z823" i="2"/>
  <c r="AA822" i="2"/>
  <c r="Z822" i="2"/>
  <c r="AA821" i="2"/>
  <c r="Z821" i="2"/>
  <c r="AA820" i="2"/>
  <c r="Z820" i="2"/>
  <c r="AA819" i="2"/>
  <c r="Z819" i="2"/>
  <c r="AA818" i="2"/>
  <c r="Z818" i="2"/>
  <c r="AA817" i="2"/>
  <c r="Z817" i="2"/>
  <c r="AA816" i="2"/>
  <c r="Z816" i="2"/>
  <c r="AA815" i="2"/>
  <c r="Z815" i="2"/>
  <c r="AA814" i="2"/>
  <c r="Z814" i="2"/>
  <c r="AA813" i="2"/>
  <c r="Z813" i="2"/>
  <c r="AA812" i="2"/>
  <c r="Z812" i="2"/>
  <c r="AA811" i="2"/>
  <c r="Z811" i="2"/>
  <c r="AA810" i="2"/>
  <c r="Z810" i="2"/>
  <c r="AA809" i="2"/>
  <c r="Z809" i="2"/>
  <c r="AA808" i="2"/>
  <c r="Z808" i="2"/>
  <c r="AA807" i="2"/>
  <c r="Z807" i="2"/>
  <c r="AA806" i="2"/>
  <c r="Z806" i="2"/>
  <c r="AA805" i="2"/>
  <c r="Z805" i="2"/>
  <c r="AA804" i="2"/>
  <c r="Z804" i="2"/>
  <c r="AA803" i="2"/>
  <c r="Z803" i="2"/>
  <c r="AA802" i="2"/>
  <c r="Z802" i="2"/>
  <c r="AA801" i="2"/>
  <c r="Z801" i="2"/>
  <c r="AA800" i="2"/>
  <c r="Z800" i="2"/>
  <c r="AA799" i="2"/>
  <c r="Z799" i="2"/>
  <c r="AA798" i="2"/>
  <c r="Z798" i="2"/>
  <c r="AA797" i="2"/>
  <c r="Z797" i="2"/>
  <c r="AA796" i="2"/>
  <c r="Z796" i="2"/>
  <c r="AA795" i="2"/>
  <c r="Z795" i="2"/>
  <c r="AA794" i="2"/>
  <c r="Z794" i="2"/>
  <c r="AA793" i="2"/>
  <c r="Z793" i="2"/>
  <c r="AA792" i="2"/>
  <c r="Z792" i="2"/>
  <c r="AA791" i="2"/>
  <c r="Z791" i="2"/>
  <c r="AA790" i="2"/>
  <c r="Z790" i="2"/>
  <c r="AA789" i="2"/>
  <c r="Z789" i="2"/>
  <c r="AA788" i="2"/>
  <c r="Z788" i="2"/>
  <c r="AA787" i="2"/>
  <c r="Z787" i="2"/>
  <c r="AA786" i="2"/>
  <c r="Z786" i="2"/>
  <c r="AA785" i="2"/>
  <c r="Z785" i="2"/>
  <c r="AA784" i="2"/>
  <c r="Z784" i="2"/>
  <c r="AA783" i="2"/>
  <c r="Z783" i="2"/>
  <c r="AA782" i="2"/>
  <c r="Z782" i="2"/>
  <c r="AA781" i="2"/>
  <c r="Z781" i="2"/>
  <c r="AA780" i="2"/>
  <c r="Z780" i="2"/>
  <c r="AA779" i="2"/>
  <c r="Z779" i="2"/>
  <c r="AA778" i="2"/>
  <c r="Z778" i="2"/>
  <c r="AA777" i="2"/>
  <c r="Z777" i="2"/>
  <c r="AA776" i="2"/>
  <c r="Z776" i="2"/>
  <c r="AA775" i="2"/>
  <c r="Z775" i="2"/>
  <c r="AA774" i="2"/>
  <c r="Z774" i="2"/>
  <c r="AE773" i="2"/>
  <c r="AB773" i="2"/>
  <c r="AC773" i="2" s="1"/>
  <c r="AD773" i="2" s="1"/>
  <c r="AA773" i="2"/>
  <c r="Z773" i="2"/>
  <c r="AA772" i="2"/>
  <c r="Z772" i="2"/>
  <c r="AA771" i="2"/>
  <c r="Z771" i="2"/>
  <c r="AA770" i="2"/>
  <c r="Z770" i="2"/>
  <c r="AA769" i="2"/>
  <c r="Z769" i="2"/>
  <c r="AA768" i="2"/>
  <c r="Z768" i="2"/>
  <c r="AA767" i="2"/>
  <c r="Z767" i="2"/>
  <c r="AA766" i="2"/>
  <c r="Z766" i="2"/>
  <c r="AA765" i="2"/>
  <c r="Z765" i="2"/>
  <c r="AA764" i="2"/>
  <c r="Z764" i="2"/>
  <c r="AA763" i="2"/>
  <c r="Z763" i="2"/>
  <c r="AA762" i="2"/>
  <c r="Z762" i="2"/>
  <c r="AA761" i="2"/>
  <c r="Z761" i="2"/>
  <c r="AA760" i="2"/>
  <c r="Z760" i="2"/>
  <c r="AA759" i="2"/>
  <c r="Z759" i="2"/>
  <c r="AA758" i="2"/>
  <c r="Z758" i="2"/>
  <c r="AA757" i="2"/>
  <c r="Z757" i="2"/>
  <c r="AA756" i="2"/>
  <c r="Z756" i="2"/>
  <c r="AA755" i="2"/>
  <c r="Z755" i="2"/>
  <c r="AA754" i="2"/>
  <c r="Z754" i="2"/>
  <c r="AA753" i="2"/>
  <c r="Z753" i="2"/>
  <c r="AA752" i="2"/>
  <c r="Z752" i="2"/>
  <c r="AA751" i="2"/>
  <c r="Z751" i="2"/>
  <c r="AA750" i="2"/>
  <c r="Z750" i="2"/>
  <c r="AA749" i="2"/>
  <c r="Z749" i="2"/>
  <c r="AA748" i="2"/>
  <c r="Z748" i="2"/>
  <c r="AA747" i="2"/>
  <c r="Z747" i="2"/>
  <c r="AA746" i="2"/>
  <c r="Z746" i="2"/>
  <c r="AA745" i="2"/>
  <c r="Z745" i="2"/>
  <c r="AA744" i="2"/>
  <c r="Z744" i="2"/>
  <c r="AA743" i="2"/>
  <c r="Z743" i="2"/>
  <c r="AA742" i="2"/>
  <c r="Z742" i="2"/>
  <c r="AA741" i="2"/>
  <c r="Z741" i="2"/>
  <c r="AA740" i="2"/>
  <c r="Z740" i="2"/>
  <c r="AA739" i="2"/>
  <c r="Z739" i="2"/>
  <c r="AA738" i="2"/>
  <c r="Z738" i="2"/>
  <c r="AA737" i="2"/>
  <c r="Z737" i="2"/>
  <c r="AA736" i="2"/>
  <c r="Z736" i="2"/>
  <c r="AA735" i="2"/>
  <c r="Z735" i="2"/>
  <c r="AA734" i="2"/>
  <c r="Z734" i="2"/>
  <c r="AA733" i="2"/>
  <c r="Z733" i="2"/>
  <c r="AA732" i="2"/>
  <c r="Z732" i="2"/>
  <c r="AA731" i="2"/>
  <c r="Z731" i="2"/>
  <c r="AA730" i="2"/>
  <c r="Z730" i="2"/>
  <c r="AA729" i="2"/>
  <c r="Z729" i="2"/>
  <c r="AA728" i="2"/>
  <c r="Z728" i="2"/>
  <c r="AA727" i="2"/>
  <c r="Z727" i="2"/>
  <c r="AA726" i="2"/>
  <c r="Z726" i="2"/>
  <c r="AA725" i="2"/>
  <c r="Z725" i="2"/>
  <c r="AA724" i="2"/>
  <c r="Z724" i="2"/>
  <c r="AA723" i="2"/>
  <c r="Z723" i="2"/>
  <c r="AA722" i="2"/>
  <c r="Z722" i="2"/>
  <c r="AA721" i="2"/>
  <c r="Z721" i="2"/>
  <c r="AA720" i="2"/>
  <c r="Z720" i="2"/>
  <c r="AA719" i="2"/>
  <c r="Z719" i="2"/>
  <c r="AA718" i="2"/>
  <c r="Z718" i="2"/>
  <c r="AA717" i="2"/>
  <c r="Z717" i="2"/>
  <c r="AA716" i="2"/>
  <c r="Z716" i="2"/>
  <c r="AA715" i="2"/>
  <c r="Z715" i="2"/>
  <c r="AA714" i="2"/>
  <c r="Z714" i="2"/>
  <c r="AA713" i="2"/>
  <c r="Z713" i="2"/>
  <c r="AA712" i="2"/>
  <c r="Z712" i="2"/>
  <c r="AA711" i="2"/>
  <c r="Z711" i="2"/>
  <c r="AA710" i="2"/>
  <c r="Z710" i="2"/>
  <c r="AA709" i="2"/>
  <c r="Z709" i="2"/>
  <c r="AA708" i="2"/>
  <c r="Z708" i="2"/>
  <c r="AA707" i="2"/>
  <c r="Z707" i="2"/>
  <c r="AA706" i="2"/>
  <c r="Z706" i="2"/>
  <c r="AA705" i="2"/>
  <c r="Z705" i="2"/>
  <c r="AA704" i="2"/>
  <c r="Z704" i="2"/>
  <c r="AA703" i="2"/>
  <c r="Z703" i="2"/>
  <c r="AA702" i="2"/>
  <c r="Z702" i="2"/>
  <c r="AA701" i="2"/>
  <c r="Z701" i="2"/>
  <c r="AA700" i="2"/>
  <c r="Z700" i="2"/>
  <c r="AA699" i="2"/>
  <c r="Z699" i="2"/>
  <c r="AA698" i="2"/>
  <c r="Z698" i="2"/>
  <c r="AA697" i="2"/>
  <c r="Z697" i="2"/>
  <c r="AA696" i="2"/>
  <c r="Z696" i="2"/>
  <c r="AA695" i="2"/>
  <c r="Z695" i="2"/>
  <c r="AA694" i="2"/>
  <c r="Z694" i="2"/>
  <c r="AA693" i="2"/>
  <c r="Z693" i="2"/>
  <c r="AA692" i="2"/>
  <c r="Z692" i="2"/>
  <c r="AA691" i="2"/>
  <c r="Z691" i="2"/>
  <c r="AA690" i="2"/>
  <c r="Z690" i="2"/>
  <c r="AA689" i="2"/>
  <c r="Z689" i="2"/>
  <c r="AA688" i="2"/>
  <c r="Z688" i="2"/>
  <c r="AA687" i="2"/>
  <c r="Z687" i="2"/>
  <c r="AA686" i="2"/>
  <c r="Z686" i="2"/>
  <c r="AA685" i="2"/>
  <c r="Z685" i="2"/>
  <c r="AA684" i="2"/>
  <c r="Z684" i="2"/>
  <c r="AA683" i="2"/>
  <c r="Z683" i="2"/>
  <c r="AA682" i="2"/>
  <c r="Z682" i="2"/>
  <c r="AA681" i="2"/>
  <c r="Z681" i="2"/>
  <c r="AA680" i="2"/>
  <c r="Z680" i="2"/>
  <c r="AA679" i="2"/>
  <c r="Z679" i="2"/>
  <c r="AA678" i="2"/>
  <c r="Z678" i="2"/>
  <c r="AA677" i="2"/>
  <c r="Z677" i="2"/>
  <c r="AA676" i="2"/>
  <c r="Z676" i="2"/>
  <c r="AA675" i="2"/>
  <c r="Z675" i="2"/>
  <c r="AA674" i="2"/>
  <c r="Z674" i="2"/>
  <c r="AA673" i="2"/>
  <c r="Z673" i="2"/>
  <c r="AA672" i="2"/>
  <c r="Z672" i="2"/>
  <c r="AA671" i="2"/>
  <c r="Z671" i="2"/>
  <c r="AA670" i="2"/>
  <c r="Z670" i="2"/>
  <c r="AA669" i="2"/>
  <c r="Z669" i="2"/>
  <c r="AA668" i="2"/>
  <c r="Z668" i="2"/>
  <c r="AA667" i="2"/>
  <c r="Z667" i="2"/>
  <c r="AA666" i="2"/>
  <c r="Z666" i="2"/>
  <c r="AA665" i="2"/>
  <c r="Z665" i="2"/>
  <c r="AA664" i="2"/>
  <c r="Z664" i="2"/>
  <c r="AA663" i="2"/>
  <c r="Z663" i="2"/>
  <c r="AA662" i="2"/>
  <c r="Z662" i="2"/>
  <c r="AA661" i="2"/>
  <c r="Z661" i="2"/>
  <c r="AA660" i="2"/>
  <c r="Z660" i="2"/>
  <c r="AA659" i="2"/>
  <c r="Z659" i="2"/>
  <c r="AA658" i="2"/>
  <c r="Z658" i="2"/>
  <c r="AA657" i="2"/>
  <c r="Z657" i="2"/>
  <c r="AA656" i="2"/>
  <c r="Z656" i="2"/>
  <c r="AA655" i="2"/>
  <c r="Z655" i="2"/>
  <c r="AA654" i="2"/>
  <c r="Z654" i="2"/>
  <c r="AA653" i="2"/>
  <c r="Z653" i="2"/>
  <c r="AA652" i="2"/>
  <c r="Z652" i="2"/>
  <c r="AA651" i="2"/>
  <c r="Z651" i="2"/>
  <c r="AA650" i="2"/>
  <c r="Z650" i="2"/>
  <c r="AA649" i="2"/>
  <c r="Z649" i="2"/>
  <c r="AA648" i="2"/>
  <c r="Z648" i="2"/>
  <c r="AA647" i="2"/>
  <c r="Z647" i="2"/>
  <c r="AA646" i="2"/>
  <c r="Z646" i="2"/>
  <c r="AA645" i="2"/>
  <c r="Z645" i="2"/>
  <c r="AA644" i="2"/>
  <c r="Z644" i="2"/>
  <c r="AA643" i="2"/>
  <c r="Z643" i="2"/>
  <c r="AA642" i="2"/>
  <c r="Z642" i="2"/>
  <c r="AA641" i="2"/>
  <c r="Z641" i="2"/>
  <c r="AA640" i="2"/>
  <c r="Z640" i="2"/>
  <c r="AA639" i="2"/>
  <c r="Z639" i="2"/>
  <c r="AA638" i="2"/>
  <c r="Z638" i="2"/>
  <c r="AA637" i="2"/>
  <c r="Z637" i="2"/>
  <c r="AA636" i="2"/>
  <c r="Z636" i="2"/>
  <c r="AA635" i="2"/>
  <c r="Z635" i="2"/>
  <c r="AA634" i="2"/>
  <c r="Z634" i="2"/>
  <c r="AA633" i="2"/>
  <c r="Z633" i="2"/>
  <c r="AA632" i="2"/>
  <c r="Z632" i="2"/>
  <c r="AA631" i="2"/>
  <c r="Z631" i="2"/>
  <c r="AA630" i="2"/>
  <c r="Z630" i="2"/>
  <c r="AA629" i="2"/>
  <c r="Z629" i="2"/>
  <c r="AA628" i="2"/>
  <c r="Z628" i="2"/>
  <c r="AA627" i="2"/>
  <c r="Z627" i="2"/>
  <c r="AA626" i="2"/>
  <c r="Z626" i="2"/>
  <c r="AA625" i="2"/>
  <c r="Z625" i="2"/>
  <c r="AA624" i="2"/>
  <c r="Z624" i="2"/>
  <c r="AA623" i="2"/>
  <c r="Z623" i="2"/>
  <c r="AA622" i="2"/>
  <c r="Z622" i="2"/>
  <c r="AA621" i="2"/>
  <c r="Z621" i="2"/>
  <c r="AA620" i="2"/>
  <c r="Z620" i="2"/>
  <c r="AA619" i="2"/>
  <c r="Z619" i="2"/>
  <c r="AA618" i="2"/>
  <c r="Z618" i="2"/>
  <c r="AA617" i="2"/>
  <c r="Z617" i="2"/>
  <c r="AA616" i="2"/>
  <c r="Z616" i="2"/>
  <c r="AE615" i="2"/>
  <c r="AA615" i="2"/>
  <c r="Z615" i="2"/>
  <c r="AB615" i="2" s="1"/>
  <c r="AC615" i="2" s="1"/>
  <c r="AD615" i="2" s="1"/>
  <c r="AA614" i="2"/>
  <c r="Z614" i="2"/>
  <c r="AA613" i="2"/>
  <c r="Z613" i="2"/>
  <c r="AA612" i="2"/>
  <c r="Z612" i="2"/>
  <c r="AA611" i="2"/>
  <c r="Z611" i="2"/>
  <c r="AA610" i="2"/>
  <c r="Z610" i="2"/>
  <c r="AA609" i="2"/>
  <c r="Z609" i="2"/>
  <c r="AA608" i="2"/>
  <c r="Z608" i="2"/>
  <c r="AA607" i="2"/>
  <c r="Z607" i="2"/>
  <c r="AA606" i="2"/>
  <c r="Z606" i="2"/>
  <c r="AA605" i="2"/>
  <c r="Z605" i="2"/>
  <c r="AA604" i="2"/>
  <c r="Z604" i="2"/>
  <c r="AA603" i="2"/>
  <c r="Z603" i="2"/>
  <c r="AA602" i="2"/>
  <c r="Z602" i="2"/>
  <c r="AA601" i="2"/>
  <c r="Z601" i="2"/>
  <c r="AA600" i="2"/>
  <c r="Z600" i="2"/>
  <c r="AA599" i="2"/>
  <c r="Z599" i="2"/>
  <c r="AA598" i="2"/>
  <c r="Z598" i="2"/>
  <c r="AA597" i="2"/>
  <c r="Z597" i="2"/>
  <c r="AA596" i="2"/>
  <c r="Z596" i="2"/>
  <c r="AA595" i="2"/>
  <c r="Z595" i="2"/>
  <c r="AA594" i="2"/>
  <c r="Z594" i="2"/>
  <c r="AA593" i="2"/>
  <c r="Z593" i="2"/>
  <c r="AA592" i="2"/>
  <c r="Z592" i="2"/>
  <c r="AA591" i="2"/>
  <c r="Z591" i="2"/>
  <c r="AA590" i="2"/>
  <c r="Z590" i="2"/>
  <c r="AA589" i="2"/>
  <c r="Z589" i="2"/>
  <c r="AA588" i="2"/>
  <c r="Z588" i="2"/>
  <c r="AA587" i="2"/>
  <c r="Z587" i="2"/>
  <c r="AA586" i="2"/>
  <c r="Z586" i="2"/>
  <c r="AA585" i="2"/>
  <c r="Z585" i="2"/>
  <c r="AA584" i="2"/>
  <c r="Z584" i="2"/>
  <c r="AA583" i="2"/>
  <c r="Z583" i="2"/>
  <c r="AA582" i="2"/>
  <c r="Z582" i="2"/>
  <c r="AA581" i="2"/>
  <c r="Z581" i="2"/>
  <c r="AA580" i="2"/>
  <c r="Z580" i="2"/>
  <c r="AA579" i="2"/>
  <c r="Z579" i="2"/>
  <c r="AA578" i="2"/>
  <c r="Z578" i="2"/>
  <c r="AA577" i="2"/>
  <c r="Z577" i="2"/>
  <c r="AA576" i="2"/>
  <c r="Z576" i="2"/>
  <c r="AA575" i="2"/>
  <c r="Z575" i="2"/>
  <c r="AA574" i="2"/>
  <c r="Z574" i="2"/>
  <c r="AA573" i="2"/>
  <c r="Z573" i="2"/>
  <c r="AA572" i="2"/>
  <c r="Z572" i="2"/>
  <c r="AA571" i="2"/>
  <c r="Z571" i="2"/>
  <c r="AA570" i="2"/>
  <c r="Z570" i="2"/>
  <c r="AA569" i="2"/>
  <c r="Z569" i="2"/>
  <c r="AA568" i="2"/>
  <c r="Z568" i="2"/>
  <c r="AA567" i="2"/>
  <c r="Z567" i="2"/>
  <c r="AA566" i="2"/>
  <c r="Z566" i="2"/>
  <c r="AA565" i="2"/>
  <c r="Z565" i="2"/>
  <c r="AA564" i="2"/>
  <c r="Z564" i="2"/>
  <c r="AA563" i="2"/>
  <c r="Z563" i="2"/>
  <c r="AA562" i="2"/>
  <c r="Z562" i="2"/>
  <c r="AA561" i="2"/>
  <c r="Z561" i="2"/>
  <c r="AA560" i="2"/>
  <c r="Z560" i="2"/>
  <c r="AA559" i="2"/>
  <c r="Z559" i="2"/>
  <c r="AA558" i="2"/>
  <c r="Z558" i="2"/>
  <c r="AA557" i="2"/>
  <c r="Z557" i="2"/>
  <c r="AA556" i="2"/>
  <c r="Z556" i="2"/>
  <c r="AA555" i="2"/>
  <c r="Z555" i="2"/>
  <c r="AA554" i="2"/>
  <c r="Z554" i="2"/>
  <c r="AA553" i="2"/>
  <c r="Z553" i="2"/>
  <c r="AA552" i="2"/>
  <c r="Z552" i="2"/>
  <c r="AB551" i="2"/>
  <c r="AC551" i="2" s="1"/>
  <c r="AD551" i="2" s="1"/>
  <c r="AA551" i="2"/>
  <c r="Z551" i="2"/>
  <c r="AE551" i="2" s="1"/>
  <c r="AA550" i="2"/>
  <c r="Z550" i="2"/>
  <c r="AA549" i="2"/>
  <c r="Z549" i="2"/>
  <c r="AA548" i="2"/>
  <c r="Z548" i="2"/>
  <c r="AA547" i="2"/>
  <c r="Z547" i="2"/>
  <c r="AA546" i="2"/>
  <c r="Z546" i="2"/>
  <c r="AA545" i="2"/>
  <c r="Z545" i="2"/>
  <c r="AA544" i="2"/>
  <c r="Z544" i="2"/>
  <c r="AA543" i="2"/>
  <c r="Z543" i="2"/>
  <c r="AA542" i="2"/>
  <c r="Z542" i="2"/>
  <c r="AA541" i="2"/>
  <c r="Z541" i="2"/>
  <c r="AA540" i="2"/>
  <c r="Z540" i="2"/>
  <c r="AA539" i="2"/>
  <c r="Z539" i="2"/>
  <c r="AA538" i="2"/>
  <c r="Z538" i="2"/>
  <c r="AA537" i="2"/>
  <c r="Z537" i="2"/>
  <c r="AA536" i="2"/>
  <c r="Z536" i="2"/>
  <c r="AA535" i="2"/>
  <c r="Z535" i="2"/>
  <c r="AA534" i="2"/>
  <c r="Z534" i="2"/>
  <c r="AA533" i="2"/>
  <c r="Z533" i="2"/>
  <c r="AA532" i="2"/>
  <c r="Z532" i="2"/>
  <c r="AA531" i="2"/>
  <c r="Z531" i="2"/>
  <c r="AA530" i="2"/>
  <c r="Z530" i="2"/>
  <c r="AA529" i="2"/>
  <c r="Z529" i="2"/>
  <c r="AA528" i="2"/>
  <c r="Z528" i="2"/>
  <c r="AA527" i="2"/>
  <c r="Z527" i="2"/>
  <c r="AA526" i="2"/>
  <c r="Z526" i="2"/>
  <c r="AA525" i="2"/>
  <c r="Z525" i="2"/>
  <c r="AA524" i="2"/>
  <c r="Z524" i="2"/>
  <c r="AA523" i="2"/>
  <c r="Z523" i="2"/>
  <c r="AA522" i="2"/>
  <c r="Z522" i="2"/>
  <c r="AA521" i="2"/>
  <c r="Z521" i="2"/>
  <c r="AA520" i="2"/>
  <c r="Z520" i="2"/>
  <c r="AA519" i="2"/>
  <c r="Z519" i="2"/>
  <c r="AA518" i="2"/>
  <c r="Z518" i="2"/>
  <c r="AA517" i="2"/>
  <c r="Z517" i="2"/>
  <c r="AE516" i="2"/>
  <c r="AB516" i="2"/>
  <c r="AC516" i="2" s="1"/>
  <c r="AD516" i="2" s="1"/>
  <c r="AA516" i="2"/>
  <c r="Z516" i="2"/>
  <c r="AA515" i="2"/>
  <c r="Z515" i="2"/>
  <c r="AA514" i="2"/>
  <c r="Z514" i="2"/>
  <c r="AA513" i="2"/>
  <c r="Z513" i="2"/>
  <c r="AA512" i="2"/>
  <c r="Z512" i="2"/>
  <c r="AA511" i="2"/>
  <c r="Z511" i="2"/>
  <c r="AA510" i="2"/>
  <c r="Z510" i="2"/>
  <c r="AA509" i="2"/>
  <c r="Z509" i="2"/>
  <c r="AA508" i="2"/>
  <c r="Z508" i="2"/>
  <c r="AA507" i="2"/>
  <c r="Z507" i="2"/>
  <c r="AA506" i="2"/>
  <c r="Z506" i="2"/>
  <c r="AA505" i="2"/>
  <c r="Z505" i="2"/>
  <c r="AA504" i="2"/>
  <c r="Z504" i="2"/>
  <c r="AA503" i="2"/>
  <c r="Z503" i="2"/>
  <c r="AA502" i="2"/>
  <c r="Z502" i="2"/>
  <c r="AA501" i="2"/>
  <c r="Z501" i="2"/>
  <c r="AA500" i="2"/>
  <c r="Z500" i="2"/>
  <c r="AA499" i="2"/>
  <c r="Z499" i="2"/>
  <c r="AA498" i="2"/>
  <c r="Z498" i="2"/>
  <c r="AA497" i="2"/>
  <c r="Z497" i="2"/>
  <c r="AA496" i="2"/>
  <c r="Z496" i="2"/>
  <c r="AA495" i="2"/>
  <c r="Z495" i="2"/>
  <c r="AA494" i="2"/>
  <c r="Z494" i="2"/>
  <c r="AA493" i="2"/>
  <c r="Z493" i="2"/>
  <c r="AA492" i="2"/>
  <c r="Z492" i="2"/>
  <c r="AA491" i="2"/>
  <c r="Z491" i="2"/>
  <c r="AA490" i="2"/>
  <c r="Z490" i="2"/>
  <c r="AA489" i="2"/>
  <c r="Z489" i="2"/>
  <c r="AA488" i="2"/>
  <c r="Z488" i="2"/>
  <c r="AA487" i="2"/>
  <c r="Z487" i="2"/>
  <c r="AA486" i="2"/>
  <c r="Z486" i="2"/>
  <c r="AA485" i="2"/>
  <c r="Z485" i="2"/>
  <c r="AA484" i="2"/>
  <c r="Z484" i="2"/>
  <c r="AA483" i="2"/>
  <c r="Z483" i="2"/>
  <c r="AA482" i="2"/>
  <c r="Z482" i="2"/>
  <c r="AA481" i="2"/>
  <c r="Z481" i="2"/>
  <c r="AA480" i="2"/>
  <c r="Z480" i="2"/>
  <c r="AA479" i="2"/>
  <c r="Z479" i="2"/>
  <c r="AA478" i="2"/>
  <c r="Z478" i="2"/>
  <c r="AA477" i="2"/>
  <c r="Z477" i="2"/>
  <c r="AA476" i="2"/>
  <c r="Z476" i="2"/>
  <c r="AA475" i="2"/>
  <c r="Z475" i="2"/>
  <c r="AA474" i="2"/>
  <c r="Z474" i="2"/>
  <c r="AA473" i="2"/>
  <c r="Z473" i="2"/>
  <c r="AA472" i="2"/>
  <c r="Z472" i="2"/>
  <c r="AA471" i="2"/>
  <c r="Z471" i="2"/>
  <c r="AA470" i="2"/>
  <c r="Z470" i="2"/>
  <c r="AA469" i="2"/>
  <c r="Z469" i="2"/>
  <c r="AA468" i="2"/>
  <c r="Z468" i="2"/>
  <c r="AA467" i="2"/>
  <c r="Z467" i="2"/>
  <c r="AA466" i="2"/>
  <c r="Z466" i="2"/>
  <c r="AA465" i="2"/>
  <c r="Z465" i="2"/>
  <c r="AA464" i="2"/>
  <c r="Z464" i="2"/>
  <c r="AA463" i="2"/>
  <c r="Z463" i="2"/>
  <c r="AA462" i="2"/>
  <c r="Z462" i="2"/>
  <c r="AA461" i="2"/>
  <c r="Z461" i="2"/>
  <c r="AA460" i="2"/>
  <c r="Z460" i="2"/>
  <c r="AA459" i="2"/>
  <c r="Z459" i="2"/>
  <c r="AA458" i="2"/>
  <c r="Z458" i="2"/>
  <c r="AA457" i="2"/>
  <c r="Z457" i="2"/>
  <c r="AA456" i="2"/>
  <c r="Z456" i="2"/>
  <c r="AA455" i="2"/>
  <c r="Z455" i="2"/>
  <c r="AA454" i="2"/>
  <c r="Z454" i="2"/>
  <c r="AA453" i="2"/>
  <c r="Z453" i="2"/>
  <c r="AA452" i="2"/>
  <c r="Z452" i="2"/>
  <c r="AA451" i="2"/>
  <c r="Z451" i="2"/>
  <c r="AA450" i="2"/>
  <c r="Z450" i="2"/>
  <c r="AA449" i="2"/>
  <c r="Z449" i="2"/>
  <c r="AA448" i="2"/>
  <c r="Z448" i="2"/>
  <c r="AA447" i="2"/>
  <c r="Z447" i="2"/>
  <c r="AA446" i="2"/>
  <c r="Z446" i="2"/>
  <c r="AA445" i="2"/>
  <c r="Z445" i="2"/>
  <c r="AA444" i="2"/>
  <c r="Z444" i="2"/>
  <c r="AA443" i="2"/>
  <c r="Z443" i="2"/>
  <c r="AA442" i="2"/>
  <c r="Z442" i="2"/>
  <c r="AA441" i="2"/>
  <c r="Z441" i="2"/>
  <c r="AA440" i="2"/>
  <c r="Z440" i="2"/>
  <c r="AA439" i="2"/>
  <c r="Z439" i="2"/>
  <c r="AA438" i="2"/>
  <c r="Z438" i="2"/>
  <c r="AA437" i="2"/>
  <c r="Z437" i="2"/>
  <c r="AA436" i="2"/>
  <c r="Z436" i="2"/>
  <c r="AA435" i="2"/>
  <c r="Z435" i="2"/>
  <c r="AA434" i="2"/>
  <c r="Z434" i="2"/>
  <c r="AA433" i="2"/>
  <c r="Z433" i="2"/>
  <c r="AA432" i="2"/>
  <c r="Z432" i="2"/>
  <c r="AA431" i="2"/>
  <c r="Z431" i="2"/>
  <c r="AA430" i="2"/>
  <c r="Z430" i="2"/>
  <c r="AA429" i="2"/>
  <c r="Z429" i="2"/>
  <c r="AA428" i="2"/>
  <c r="Z428" i="2"/>
  <c r="AA427" i="2"/>
  <c r="Z427" i="2"/>
  <c r="AA426" i="2"/>
  <c r="Z426" i="2"/>
  <c r="AA425" i="2"/>
  <c r="Z425" i="2"/>
  <c r="AA424" i="2"/>
  <c r="Z424" i="2"/>
  <c r="AA423" i="2"/>
  <c r="Z423" i="2"/>
  <c r="AA422" i="2"/>
  <c r="Z422" i="2"/>
  <c r="AA421" i="2"/>
  <c r="Z421" i="2"/>
  <c r="AA420" i="2"/>
  <c r="Z420" i="2"/>
  <c r="AA419" i="2"/>
  <c r="Z419" i="2"/>
  <c r="AA418" i="2"/>
  <c r="Z418" i="2"/>
  <c r="AA417" i="2"/>
  <c r="Z417" i="2"/>
  <c r="AA416" i="2"/>
  <c r="Z416" i="2"/>
  <c r="AA415" i="2"/>
  <c r="Z415" i="2"/>
  <c r="AA414" i="2"/>
  <c r="Z414" i="2"/>
  <c r="AA413" i="2"/>
  <c r="Z413" i="2"/>
  <c r="AA412" i="2"/>
  <c r="Z412" i="2"/>
  <c r="AA411" i="2"/>
  <c r="Z411" i="2"/>
  <c r="AA410" i="2"/>
  <c r="Z410" i="2"/>
  <c r="AA409" i="2"/>
  <c r="Z409" i="2"/>
  <c r="AA408" i="2"/>
  <c r="Z408" i="2"/>
  <c r="AA407" i="2"/>
  <c r="Z407" i="2"/>
  <c r="AA406" i="2"/>
  <c r="Z406" i="2"/>
  <c r="AA405" i="2"/>
  <c r="Z405" i="2"/>
  <c r="AA404" i="2"/>
  <c r="Z404" i="2"/>
  <c r="AA403" i="2"/>
  <c r="Z403" i="2"/>
  <c r="AA402" i="2"/>
  <c r="Z402" i="2"/>
  <c r="AA401" i="2"/>
  <c r="Z401" i="2"/>
  <c r="AA400" i="2"/>
  <c r="Z400" i="2"/>
  <c r="AA399" i="2"/>
  <c r="Z399" i="2"/>
  <c r="AA398" i="2"/>
  <c r="Z398" i="2"/>
  <c r="AA397" i="2"/>
  <c r="Z397" i="2"/>
  <c r="AA396" i="2"/>
  <c r="Z396" i="2"/>
  <c r="AA395" i="2"/>
  <c r="Z395" i="2"/>
  <c r="AA394" i="2"/>
  <c r="Z394" i="2"/>
  <c r="AA393" i="2"/>
  <c r="Z393" i="2"/>
  <c r="AA392" i="2"/>
  <c r="Z392" i="2"/>
  <c r="AA391" i="2"/>
  <c r="Z391" i="2"/>
  <c r="AA390" i="2"/>
  <c r="Z390" i="2"/>
  <c r="AA389" i="2"/>
  <c r="Z389" i="2"/>
  <c r="AA388" i="2"/>
  <c r="Z388" i="2"/>
  <c r="AA387" i="2"/>
  <c r="Z387" i="2"/>
  <c r="AA386" i="2"/>
  <c r="Z386" i="2"/>
  <c r="AA385" i="2"/>
  <c r="Z385" i="2"/>
  <c r="AA384" i="2"/>
  <c r="Z384" i="2"/>
  <c r="AA383" i="2"/>
  <c r="Z383" i="2"/>
  <c r="AA382" i="2"/>
  <c r="Z382" i="2"/>
  <c r="AA381" i="2"/>
  <c r="Z381" i="2"/>
  <c r="AA380" i="2"/>
  <c r="Z380" i="2"/>
  <c r="AA379" i="2"/>
  <c r="Z379" i="2"/>
  <c r="AA378" i="2"/>
  <c r="Z378" i="2"/>
  <c r="AA377" i="2"/>
  <c r="Z377" i="2"/>
  <c r="AA376" i="2"/>
  <c r="Z376" i="2"/>
  <c r="AA375" i="2"/>
  <c r="Z375" i="2"/>
  <c r="AA374" i="2"/>
  <c r="Z374" i="2"/>
  <c r="AA373" i="2"/>
  <c r="Z373" i="2"/>
  <c r="AA372" i="2"/>
  <c r="Z372" i="2"/>
  <c r="AA371" i="2"/>
  <c r="Z371" i="2"/>
  <c r="AA370" i="2"/>
  <c r="Z370" i="2"/>
  <c r="AA369" i="2"/>
  <c r="Z369" i="2"/>
  <c r="AA368" i="2"/>
  <c r="Z368" i="2"/>
  <c r="AA367" i="2"/>
  <c r="Z367" i="2"/>
  <c r="AA366" i="2"/>
  <c r="Z366" i="2"/>
  <c r="AA365" i="2"/>
  <c r="Z365" i="2"/>
  <c r="AA364" i="2"/>
  <c r="Z364" i="2"/>
  <c r="AA363" i="2"/>
  <c r="Z363" i="2"/>
  <c r="AA362" i="2"/>
  <c r="Z362" i="2"/>
  <c r="AA361" i="2"/>
  <c r="Z361" i="2"/>
  <c r="AA360" i="2"/>
  <c r="Z360" i="2"/>
  <c r="AA359" i="2"/>
  <c r="Z359" i="2"/>
  <c r="AA358" i="2"/>
  <c r="Z358" i="2"/>
  <c r="AA357" i="2"/>
  <c r="Z357" i="2"/>
  <c r="AA356" i="2"/>
  <c r="Z356" i="2"/>
  <c r="AA355" i="2"/>
  <c r="Z355" i="2"/>
  <c r="AA354" i="2"/>
  <c r="Z354" i="2"/>
  <c r="AA353" i="2"/>
  <c r="Z353" i="2"/>
  <c r="AA352" i="2"/>
  <c r="Z352" i="2"/>
  <c r="AA351" i="2"/>
  <c r="Z351" i="2"/>
  <c r="AA350" i="2"/>
  <c r="Z350" i="2"/>
  <c r="AA349" i="2"/>
  <c r="Z349" i="2"/>
  <c r="AA348" i="2"/>
  <c r="Z348" i="2"/>
  <c r="AA347" i="2"/>
  <c r="Z347" i="2"/>
  <c r="AA346" i="2"/>
  <c r="Z346" i="2"/>
  <c r="AA345" i="2"/>
  <c r="Z345" i="2"/>
  <c r="AA344" i="2"/>
  <c r="Z344" i="2"/>
  <c r="AA343" i="2"/>
  <c r="Z343" i="2"/>
  <c r="AA342" i="2"/>
  <c r="Z342" i="2"/>
  <c r="AA341" i="2"/>
  <c r="Z341" i="2"/>
  <c r="AA340" i="2"/>
  <c r="Z340" i="2"/>
  <c r="AA339" i="2"/>
  <c r="Z339" i="2"/>
  <c r="AA338" i="2"/>
  <c r="Z338" i="2"/>
  <c r="AA337" i="2"/>
  <c r="Z337" i="2"/>
  <c r="AA336" i="2"/>
  <c r="Z336" i="2"/>
  <c r="AA335" i="2"/>
  <c r="Z335" i="2"/>
  <c r="AA334" i="2"/>
  <c r="Z334" i="2"/>
  <c r="AA333" i="2"/>
  <c r="Z333" i="2"/>
  <c r="AA332" i="2"/>
  <c r="Z332" i="2"/>
  <c r="AA331" i="2"/>
  <c r="Z331" i="2"/>
  <c r="AA330" i="2"/>
  <c r="Z330" i="2"/>
  <c r="AA329" i="2"/>
  <c r="Z329" i="2"/>
  <c r="AA328" i="2"/>
  <c r="Z328" i="2"/>
  <c r="AA327" i="2"/>
  <c r="Z327" i="2"/>
  <c r="AA326" i="2"/>
  <c r="Z326" i="2"/>
  <c r="AA325" i="2"/>
  <c r="Z325" i="2"/>
  <c r="AA324" i="2"/>
  <c r="Z324" i="2"/>
  <c r="AA323" i="2"/>
  <c r="Z323" i="2"/>
  <c r="AA322" i="2"/>
  <c r="Z322" i="2"/>
  <c r="AA321" i="2"/>
  <c r="Z321" i="2"/>
  <c r="AA320" i="2"/>
  <c r="Z320" i="2"/>
  <c r="AA319" i="2"/>
  <c r="Z319" i="2"/>
  <c r="AA318" i="2"/>
  <c r="Z318" i="2"/>
  <c r="AA317" i="2"/>
  <c r="Z317" i="2"/>
  <c r="AA316" i="2"/>
  <c r="Z316" i="2"/>
  <c r="AA315" i="2"/>
  <c r="Z315" i="2"/>
  <c r="AA314" i="2"/>
  <c r="Z314" i="2"/>
  <c r="AA313" i="2"/>
  <c r="Z313" i="2"/>
  <c r="AA312" i="2"/>
  <c r="Z312" i="2"/>
  <c r="AA311" i="2"/>
  <c r="Z311" i="2"/>
  <c r="AA310" i="2"/>
  <c r="Z310" i="2"/>
  <c r="AA309" i="2"/>
  <c r="Z309" i="2"/>
  <c r="AA308" i="2"/>
  <c r="Z308" i="2"/>
  <c r="AA307" i="2"/>
  <c r="Z307" i="2"/>
  <c r="AA306" i="2"/>
  <c r="Z306" i="2"/>
  <c r="AA305" i="2"/>
  <c r="Z305" i="2"/>
  <c r="AA304" i="2"/>
  <c r="Z304" i="2"/>
  <c r="AA303" i="2"/>
  <c r="Z303" i="2"/>
  <c r="AA302" i="2"/>
  <c r="Z302" i="2"/>
  <c r="AA301" i="2"/>
  <c r="Z301" i="2"/>
  <c r="AA300" i="2"/>
  <c r="Z300" i="2"/>
  <c r="AA299" i="2"/>
  <c r="Z299" i="2"/>
  <c r="AA298" i="2"/>
  <c r="Z298" i="2"/>
  <c r="AA297" i="2"/>
  <c r="Z297" i="2"/>
  <c r="AA296" i="2"/>
  <c r="Z296" i="2"/>
  <c r="AA295" i="2"/>
  <c r="Z295" i="2"/>
  <c r="AA294" i="2"/>
  <c r="Z294" i="2"/>
  <c r="AA293" i="2"/>
  <c r="Z293" i="2"/>
  <c r="AA292" i="2"/>
  <c r="Z292" i="2"/>
  <c r="AA291" i="2"/>
  <c r="Z291" i="2"/>
  <c r="AA290" i="2"/>
  <c r="Z290" i="2"/>
  <c r="AA289" i="2"/>
  <c r="Z289" i="2"/>
  <c r="AA288" i="2"/>
  <c r="Z288" i="2"/>
  <c r="AA287" i="2"/>
  <c r="Z287" i="2"/>
  <c r="AA286" i="2"/>
  <c r="Z286" i="2"/>
  <c r="AA285" i="2"/>
  <c r="Z285" i="2"/>
  <c r="AA284" i="2"/>
  <c r="Z284" i="2"/>
  <c r="AA283" i="2"/>
  <c r="Z283" i="2"/>
  <c r="AA282" i="2"/>
  <c r="Z282" i="2"/>
  <c r="AA281" i="2"/>
  <c r="Z281" i="2"/>
  <c r="AA280" i="2"/>
  <c r="Z280" i="2"/>
  <c r="AA279" i="2"/>
  <c r="Z279" i="2"/>
  <c r="AA278" i="2"/>
  <c r="Z278" i="2"/>
  <c r="AA277" i="2"/>
  <c r="Z277" i="2"/>
  <c r="AA276" i="2"/>
  <c r="Z276" i="2"/>
  <c r="AA275" i="2"/>
  <c r="Z275" i="2"/>
  <c r="AA274" i="2"/>
  <c r="Z274" i="2"/>
  <c r="AA273" i="2"/>
  <c r="Z273" i="2"/>
  <c r="AA272" i="2"/>
  <c r="Z272" i="2"/>
  <c r="AA271" i="2"/>
  <c r="Z271" i="2"/>
  <c r="AA270" i="2"/>
  <c r="Z270" i="2"/>
  <c r="AA269" i="2"/>
  <c r="Z269" i="2"/>
  <c r="AA268" i="2"/>
  <c r="Z268" i="2"/>
  <c r="AA267" i="2"/>
  <c r="Z267" i="2"/>
  <c r="AA266" i="2"/>
  <c r="Z266" i="2"/>
  <c r="AA265" i="2"/>
  <c r="Z265" i="2"/>
  <c r="AA264" i="2"/>
  <c r="Z264" i="2"/>
  <c r="AA263" i="2"/>
  <c r="Z263" i="2"/>
  <c r="AA262" i="2"/>
  <c r="Z262" i="2"/>
  <c r="AA261" i="2"/>
  <c r="Z261" i="2"/>
  <c r="AA260" i="2"/>
  <c r="Z260" i="2"/>
  <c r="AE259" i="2"/>
  <c r="AB259" i="2"/>
  <c r="AC259" i="2" s="1"/>
  <c r="AD259" i="2" s="1"/>
  <c r="AA259" i="2"/>
  <c r="Z259" i="2"/>
  <c r="AA258" i="2"/>
  <c r="Z258" i="2"/>
  <c r="AA257" i="2"/>
  <c r="Z257" i="2"/>
  <c r="AA256" i="2"/>
  <c r="Z256" i="2"/>
  <c r="AA255" i="2"/>
  <c r="Z255" i="2"/>
  <c r="AA254" i="2"/>
  <c r="Z254" i="2"/>
  <c r="AA253" i="2"/>
  <c r="Z253" i="2"/>
  <c r="AA252" i="2"/>
  <c r="Z252" i="2"/>
  <c r="AA251" i="2"/>
  <c r="Z251" i="2"/>
  <c r="AA250" i="2"/>
  <c r="Z250" i="2"/>
  <c r="AA249" i="2"/>
  <c r="Z249" i="2"/>
  <c r="AA248" i="2"/>
  <c r="Z248" i="2"/>
  <c r="AA247" i="2"/>
  <c r="Z247" i="2"/>
  <c r="AA246" i="2"/>
  <c r="Z246" i="2"/>
  <c r="AA245" i="2"/>
  <c r="Z245" i="2"/>
  <c r="AA244" i="2"/>
  <c r="Z244" i="2"/>
  <c r="AA243" i="2"/>
  <c r="Z243" i="2"/>
  <c r="AA242" i="2"/>
  <c r="Z242" i="2"/>
  <c r="AA241" i="2"/>
  <c r="Z241" i="2"/>
  <c r="AA240" i="2"/>
  <c r="Z240" i="2"/>
  <c r="AA239" i="2"/>
  <c r="Z239" i="2"/>
  <c r="AA238" i="2"/>
  <c r="Z238" i="2"/>
  <c r="AA237" i="2"/>
  <c r="Z237" i="2"/>
  <c r="AA236" i="2"/>
  <c r="Z236" i="2"/>
  <c r="AA235" i="2"/>
  <c r="Z235" i="2"/>
  <c r="AA234" i="2"/>
  <c r="Z234" i="2"/>
  <c r="AA233" i="2"/>
  <c r="Z233" i="2"/>
  <c r="AA232" i="2"/>
  <c r="Z232" i="2"/>
  <c r="AA231" i="2"/>
  <c r="Z231" i="2"/>
  <c r="AA230" i="2"/>
  <c r="Z230" i="2"/>
  <c r="AA229" i="2"/>
  <c r="Z229" i="2"/>
  <c r="AA228" i="2"/>
  <c r="Z228" i="2"/>
  <c r="AA227" i="2"/>
  <c r="Z227" i="2"/>
  <c r="AA226" i="2"/>
  <c r="Z226" i="2"/>
  <c r="AA225" i="2"/>
  <c r="Z225" i="2"/>
  <c r="AA224" i="2"/>
  <c r="Z224" i="2"/>
  <c r="AA223" i="2"/>
  <c r="Z223" i="2"/>
  <c r="AA222" i="2"/>
  <c r="Z222" i="2"/>
  <c r="AA221" i="2"/>
  <c r="Z221" i="2"/>
  <c r="AA220" i="2"/>
  <c r="Z220" i="2"/>
  <c r="AA219" i="2"/>
  <c r="Z219" i="2"/>
  <c r="AA218" i="2"/>
  <c r="Z218" i="2"/>
  <c r="AA217" i="2"/>
  <c r="Z217" i="2"/>
  <c r="AA216" i="2"/>
  <c r="Z216" i="2"/>
  <c r="AA215" i="2"/>
  <c r="Z215" i="2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Z205" i="2"/>
  <c r="AA204" i="2"/>
  <c r="Z204" i="2"/>
  <c r="AA203" i="2"/>
  <c r="Z203" i="2"/>
  <c r="AA202" i="2"/>
  <c r="Z202" i="2"/>
  <c r="AA201" i="2"/>
  <c r="Z201" i="2"/>
  <c r="AA200" i="2"/>
  <c r="Z200" i="2"/>
  <c r="AA199" i="2"/>
  <c r="Z199" i="2"/>
  <c r="AA198" i="2"/>
  <c r="Z198" i="2"/>
  <c r="AA197" i="2"/>
  <c r="Z197" i="2"/>
  <c r="AA196" i="2"/>
  <c r="Z196" i="2"/>
  <c r="AA195" i="2"/>
  <c r="Z195" i="2"/>
  <c r="AA194" i="2"/>
  <c r="Z194" i="2"/>
  <c r="AA193" i="2"/>
  <c r="Z193" i="2"/>
  <c r="AA192" i="2"/>
  <c r="Z192" i="2"/>
  <c r="AA191" i="2"/>
  <c r="Z191" i="2"/>
  <c r="AA190" i="2"/>
  <c r="Z190" i="2"/>
  <c r="AA189" i="2"/>
  <c r="Z189" i="2"/>
  <c r="AA188" i="2"/>
  <c r="Z188" i="2"/>
  <c r="AA187" i="2"/>
  <c r="Z187" i="2"/>
  <c r="AA186" i="2"/>
  <c r="Z186" i="2"/>
  <c r="AA185" i="2"/>
  <c r="Z185" i="2"/>
  <c r="AA184" i="2"/>
  <c r="Z184" i="2"/>
  <c r="AA183" i="2"/>
  <c r="Z183" i="2"/>
  <c r="AA182" i="2"/>
  <c r="Z182" i="2"/>
  <c r="AA181" i="2"/>
  <c r="Z181" i="2"/>
  <c r="AA180" i="2"/>
  <c r="Z180" i="2"/>
  <c r="AA179" i="2"/>
  <c r="Z179" i="2"/>
  <c r="AA178" i="2"/>
  <c r="Z178" i="2"/>
  <c r="AA177" i="2"/>
  <c r="Z177" i="2"/>
  <c r="AA176" i="2"/>
  <c r="Z176" i="2"/>
  <c r="AA175" i="2"/>
  <c r="Z175" i="2"/>
  <c r="AA174" i="2"/>
  <c r="Z174" i="2"/>
  <c r="AA173" i="2"/>
  <c r="Z173" i="2"/>
  <c r="AA172" i="2"/>
  <c r="Z172" i="2"/>
  <c r="AA171" i="2"/>
  <c r="Z171" i="2"/>
  <c r="AA170" i="2"/>
  <c r="Z170" i="2"/>
  <c r="AA169" i="2"/>
  <c r="Z169" i="2"/>
  <c r="AA168" i="2"/>
  <c r="Z168" i="2"/>
  <c r="AA167" i="2"/>
  <c r="Z167" i="2"/>
  <c r="AA166" i="2"/>
  <c r="Z166" i="2"/>
  <c r="AA165" i="2"/>
  <c r="Z165" i="2"/>
  <c r="AA164" i="2"/>
  <c r="Z164" i="2"/>
  <c r="AA163" i="2"/>
  <c r="Z163" i="2"/>
  <c r="AA162" i="2"/>
  <c r="Z162" i="2"/>
  <c r="AA161" i="2"/>
  <c r="Z161" i="2"/>
  <c r="AA160" i="2"/>
  <c r="Z160" i="2"/>
  <c r="AA159" i="2"/>
  <c r="Z159" i="2"/>
  <c r="AA158" i="2"/>
  <c r="Z158" i="2"/>
  <c r="AA157" i="2"/>
  <c r="Z157" i="2"/>
  <c r="AA156" i="2"/>
  <c r="Z156" i="2"/>
  <c r="AA155" i="2"/>
  <c r="Z155" i="2"/>
  <c r="AA154" i="2"/>
  <c r="Z154" i="2"/>
  <c r="AA153" i="2"/>
  <c r="Z153" i="2"/>
  <c r="AA152" i="2"/>
  <c r="Z152" i="2"/>
  <c r="AA151" i="2"/>
  <c r="Z151" i="2"/>
  <c r="AA150" i="2"/>
  <c r="Z150" i="2"/>
  <c r="AA149" i="2"/>
  <c r="Z149" i="2"/>
  <c r="AA148" i="2"/>
  <c r="Z148" i="2"/>
  <c r="AA147" i="2"/>
  <c r="Z147" i="2"/>
  <c r="AA146" i="2"/>
  <c r="Z146" i="2"/>
  <c r="AA145" i="2"/>
  <c r="Z145" i="2"/>
  <c r="AA144" i="2"/>
  <c r="Z144" i="2"/>
  <c r="AA143" i="2"/>
  <c r="Z143" i="2"/>
  <c r="AA142" i="2"/>
  <c r="Z142" i="2"/>
  <c r="AA141" i="2"/>
  <c r="Z141" i="2"/>
  <c r="AA140" i="2"/>
  <c r="Z140" i="2"/>
  <c r="AA139" i="2"/>
  <c r="Z139" i="2"/>
  <c r="AA138" i="2"/>
  <c r="Z138" i="2"/>
  <c r="AA137" i="2"/>
  <c r="Z137" i="2"/>
  <c r="AA136" i="2"/>
  <c r="Z136" i="2"/>
  <c r="AA135" i="2"/>
  <c r="Z135" i="2"/>
  <c r="AA134" i="2"/>
  <c r="Z134" i="2"/>
  <c r="AA133" i="2"/>
  <c r="Z133" i="2"/>
  <c r="AA132" i="2"/>
  <c r="Z132" i="2"/>
  <c r="AA131" i="2"/>
  <c r="Z131" i="2"/>
  <c r="AA130" i="2"/>
  <c r="Z130" i="2"/>
  <c r="AA129" i="2"/>
  <c r="Z129" i="2"/>
  <c r="AA128" i="2"/>
  <c r="Z128" i="2"/>
  <c r="AA127" i="2"/>
  <c r="Z127" i="2"/>
  <c r="AA126" i="2"/>
  <c r="Z126" i="2"/>
  <c r="AA125" i="2"/>
  <c r="Z125" i="2"/>
  <c r="AA124" i="2"/>
  <c r="Z124" i="2"/>
  <c r="AA123" i="2"/>
  <c r="Z123" i="2"/>
  <c r="AA122" i="2"/>
  <c r="Z122" i="2"/>
  <c r="AA121" i="2"/>
  <c r="Z121" i="2"/>
  <c r="AA120" i="2"/>
  <c r="Z120" i="2"/>
  <c r="AA119" i="2"/>
  <c r="Z119" i="2"/>
  <c r="AA118" i="2"/>
  <c r="Z118" i="2"/>
  <c r="AA117" i="2"/>
  <c r="Z117" i="2"/>
  <c r="AA116" i="2"/>
  <c r="Z116" i="2"/>
  <c r="AA115" i="2"/>
  <c r="Z115" i="2"/>
  <c r="AA114" i="2"/>
  <c r="Z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AA106" i="2"/>
  <c r="Z106" i="2"/>
  <c r="AA105" i="2"/>
  <c r="Z105" i="2"/>
  <c r="AA104" i="2"/>
  <c r="Z104" i="2"/>
  <c r="AA103" i="2"/>
  <c r="Z103" i="2"/>
  <c r="AA102" i="2"/>
  <c r="Z102" i="2"/>
  <c r="AA101" i="2"/>
  <c r="Z101" i="2"/>
  <c r="AA100" i="2"/>
  <c r="Z100" i="2"/>
  <c r="AA99" i="2"/>
  <c r="Z99" i="2"/>
  <c r="AA98" i="2"/>
  <c r="Z98" i="2"/>
  <c r="AA97" i="2"/>
  <c r="Z97" i="2"/>
  <c r="AA96" i="2"/>
  <c r="Z96" i="2"/>
  <c r="AA95" i="2"/>
  <c r="Z95" i="2"/>
  <c r="AA94" i="2"/>
  <c r="Z94" i="2"/>
  <c r="AA93" i="2"/>
  <c r="Z93" i="2"/>
  <c r="AA92" i="2"/>
  <c r="Z92" i="2"/>
  <c r="AA91" i="2"/>
  <c r="Z91" i="2"/>
  <c r="AA90" i="2"/>
  <c r="Z90" i="2"/>
  <c r="AA89" i="2"/>
  <c r="Z89" i="2"/>
  <c r="AA88" i="2"/>
  <c r="Z88" i="2"/>
  <c r="AA87" i="2"/>
  <c r="Z87" i="2"/>
  <c r="AA86" i="2"/>
  <c r="Z86" i="2"/>
  <c r="AA85" i="2"/>
  <c r="Z85" i="2"/>
  <c r="AA84" i="2"/>
  <c r="Z84" i="2"/>
  <c r="AA83" i="2"/>
  <c r="Z83" i="2"/>
  <c r="AA82" i="2"/>
  <c r="Z82" i="2"/>
  <c r="AA81" i="2"/>
  <c r="Z81" i="2"/>
  <c r="AA80" i="2"/>
  <c r="Z80" i="2"/>
  <c r="AA79" i="2"/>
  <c r="Z79" i="2"/>
  <c r="AA78" i="2"/>
  <c r="Z78" i="2"/>
  <c r="AA77" i="2"/>
  <c r="Z77" i="2"/>
  <c r="AA76" i="2"/>
  <c r="Z76" i="2"/>
  <c r="AA75" i="2"/>
  <c r="Z75" i="2"/>
  <c r="AA74" i="2"/>
  <c r="Z74" i="2"/>
  <c r="AA73" i="2"/>
  <c r="Z73" i="2"/>
  <c r="AA72" i="2"/>
  <c r="Z72" i="2"/>
  <c r="AA71" i="2"/>
  <c r="Z71" i="2"/>
  <c r="AA70" i="2"/>
  <c r="Z70" i="2"/>
  <c r="AA69" i="2"/>
  <c r="Z69" i="2"/>
  <c r="AA68" i="2"/>
  <c r="Z68" i="2"/>
  <c r="AA67" i="2"/>
  <c r="Z67" i="2"/>
  <c r="AA66" i="2"/>
  <c r="Z66" i="2"/>
  <c r="AA65" i="2"/>
  <c r="Z65" i="2"/>
  <c r="AA64" i="2"/>
  <c r="Z64" i="2"/>
  <c r="AA63" i="2"/>
  <c r="Z63" i="2"/>
  <c r="AA62" i="2"/>
  <c r="Z62" i="2"/>
  <c r="AA61" i="2"/>
  <c r="Z61" i="2"/>
  <c r="AA60" i="2"/>
  <c r="Z60" i="2"/>
  <c r="AA59" i="2"/>
  <c r="Z59" i="2"/>
  <c r="AA58" i="2"/>
  <c r="Z58" i="2"/>
  <c r="AA57" i="2"/>
  <c r="Z57" i="2"/>
  <c r="AA56" i="2"/>
  <c r="Z56" i="2"/>
  <c r="AA55" i="2"/>
  <c r="Z55" i="2"/>
  <c r="AA54" i="2"/>
  <c r="Z54" i="2"/>
  <c r="AA53" i="2"/>
  <c r="Z53" i="2"/>
  <c r="AA52" i="2"/>
  <c r="Z52" i="2"/>
  <c r="AA51" i="2"/>
  <c r="Z51" i="2"/>
  <c r="AA50" i="2"/>
  <c r="Z50" i="2"/>
  <c r="AA49" i="2"/>
  <c r="Z49" i="2"/>
  <c r="AA48" i="2"/>
  <c r="Z48" i="2"/>
  <c r="AA47" i="2"/>
  <c r="Z47" i="2"/>
  <c r="AA46" i="2"/>
  <c r="Z46" i="2"/>
  <c r="AA45" i="2"/>
  <c r="Z45" i="2"/>
  <c r="AA44" i="2"/>
  <c r="Z44" i="2"/>
  <c r="AA43" i="2"/>
  <c r="Z43" i="2"/>
  <c r="AA42" i="2"/>
  <c r="Z42" i="2"/>
  <c r="AA41" i="2"/>
  <c r="Z41" i="2"/>
  <c r="AA40" i="2"/>
  <c r="Z40" i="2"/>
  <c r="AA39" i="2"/>
  <c r="Z39" i="2"/>
  <c r="AA38" i="2"/>
  <c r="Z38" i="2"/>
  <c r="AA37" i="2"/>
  <c r="Z37" i="2"/>
  <c r="AA36" i="2"/>
  <c r="Z36" i="2"/>
  <c r="AA35" i="2"/>
  <c r="Z35" i="2"/>
  <c r="AA34" i="2"/>
  <c r="Z34" i="2"/>
  <c r="AA33" i="2"/>
  <c r="Z33" i="2"/>
  <c r="AA32" i="2"/>
  <c r="Z32" i="2"/>
  <c r="AA31" i="2"/>
  <c r="Z31" i="2"/>
  <c r="AA30" i="2"/>
  <c r="Z30" i="2"/>
  <c r="AA29" i="2"/>
  <c r="Z29" i="2"/>
  <c r="AA28" i="2"/>
  <c r="Z28" i="2"/>
  <c r="AA27" i="2"/>
  <c r="Z27" i="2"/>
  <c r="AA26" i="2"/>
  <c r="Z26" i="2"/>
  <c r="AA25" i="2"/>
  <c r="Z25" i="2"/>
  <c r="AA24" i="2"/>
  <c r="Z24" i="2"/>
  <c r="AA23" i="2"/>
  <c r="Z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AA14" i="2"/>
  <c r="Z14" i="2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  <c r="AA4" i="2"/>
  <c r="Z4" i="2"/>
  <c r="AA3" i="2"/>
  <c r="Z3" i="2"/>
  <c r="AA2" i="2"/>
  <c r="Z2" i="2"/>
  <c r="AB2051" i="2" l="1"/>
  <c r="AC2051" i="2" s="1"/>
  <c r="AD2051" i="2" s="1"/>
  <c r="AE2051" i="2"/>
  <c r="AE2050" i="2"/>
  <c r="AB2050" i="2"/>
  <c r="AC2050" i="2" s="1"/>
  <c r="AD2050" i="2" s="1"/>
  <c r="AE2049" i="2"/>
  <c r="AB2049" i="2"/>
  <c r="AC2049" i="2" s="1"/>
  <c r="AD2049" i="2" s="1"/>
  <c r="AE2048" i="2"/>
  <c r="AB2048" i="2"/>
  <c r="AC2048" i="2" s="1"/>
  <c r="AD2048" i="2" s="1"/>
  <c r="AE2047" i="2"/>
  <c r="AB2047" i="2"/>
  <c r="AC2047" i="2" s="1"/>
  <c r="AD2047" i="2" s="1"/>
  <c r="AE2046" i="2"/>
  <c r="AB2046" i="2"/>
  <c r="AC2046" i="2" s="1"/>
  <c r="AD2046" i="2" s="1"/>
  <c r="AE2045" i="2"/>
  <c r="AB2045" i="2"/>
  <c r="AC2045" i="2" s="1"/>
  <c r="AD2045" i="2" s="1"/>
  <c r="AB2044" i="2"/>
  <c r="AC2044" i="2" s="1"/>
  <c r="AD2044" i="2" s="1"/>
  <c r="AE2044" i="2"/>
  <c r="AE2043" i="2"/>
  <c r="AB2043" i="2"/>
  <c r="AC2043" i="2" s="1"/>
  <c r="AD2043" i="2" s="1"/>
  <c r="AB2042" i="2"/>
  <c r="AC2042" i="2" s="1"/>
  <c r="AD2042" i="2" s="1"/>
  <c r="AE2042" i="2"/>
  <c r="AB2041" i="2"/>
  <c r="AC2041" i="2" s="1"/>
  <c r="AD2041" i="2" s="1"/>
  <c r="AE2041" i="2"/>
  <c r="AB2040" i="2"/>
  <c r="AC2040" i="2" s="1"/>
  <c r="AD2040" i="2" s="1"/>
  <c r="AE2040" i="2"/>
  <c r="AB2039" i="2"/>
  <c r="AC2039" i="2" s="1"/>
  <c r="AD2039" i="2" s="1"/>
  <c r="AE2039" i="2"/>
  <c r="AE2038" i="2"/>
  <c r="AB2038" i="2"/>
  <c r="AC2038" i="2" s="1"/>
  <c r="AD2038" i="2" s="1"/>
  <c r="AB2037" i="2"/>
  <c r="AC2037" i="2" s="1"/>
  <c r="AD2037" i="2" s="1"/>
  <c r="AE2037" i="2"/>
  <c r="AB2036" i="2"/>
  <c r="AC2036" i="2" s="1"/>
  <c r="AD2036" i="2" s="1"/>
  <c r="AE2036" i="2"/>
  <c r="AB2035" i="2"/>
  <c r="AC2035" i="2" s="1"/>
  <c r="AD2035" i="2" s="1"/>
  <c r="AE2035" i="2"/>
  <c r="AB2034" i="2"/>
  <c r="AC2034" i="2" s="1"/>
  <c r="AD2034" i="2" s="1"/>
  <c r="AE2034" i="2"/>
  <c r="AE2033" i="2"/>
  <c r="AB2033" i="2"/>
  <c r="AC2033" i="2" s="1"/>
  <c r="AD2033" i="2" s="1"/>
  <c r="AB2032" i="2"/>
  <c r="AC2032" i="2" s="1"/>
  <c r="AD2032" i="2" s="1"/>
  <c r="AE2032" i="2"/>
  <c r="AB2031" i="2"/>
  <c r="AC2031" i="2" s="1"/>
  <c r="AD2031" i="2" s="1"/>
  <c r="AE2031" i="2"/>
  <c r="AB2030" i="2"/>
  <c r="AC2030" i="2" s="1"/>
  <c r="AD2030" i="2" s="1"/>
  <c r="AE2030" i="2"/>
  <c r="AB2029" i="2"/>
  <c r="AC2029" i="2" s="1"/>
  <c r="AD2029" i="2" s="1"/>
  <c r="AE2029" i="2"/>
  <c r="AE2028" i="2"/>
  <c r="AB2028" i="2"/>
  <c r="AC2028" i="2" s="1"/>
  <c r="AD2028" i="2" s="1"/>
  <c r="AB2027" i="2"/>
  <c r="AC2027" i="2" s="1"/>
  <c r="AD2027" i="2" s="1"/>
  <c r="AE2027" i="2"/>
  <c r="AB2026" i="2"/>
  <c r="AC2026" i="2" s="1"/>
  <c r="AD2026" i="2" s="1"/>
  <c r="AE2026" i="2"/>
  <c r="AB2025" i="2"/>
  <c r="AC2025" i="2" s="1"/>
  <c r="AD2025" i="2" s="1"/>
  <c r="AE2025" i="2"/>
  <c r="AE2024" i="2"/>
  <c r="AB2024" i="2"/>
  <c r="AC2024" i="2" s="1"/>
  <c r="AD2024" i="2" s="1"/>
  <c r="AB2023" i="2"/>
  <c r="AC2023" i="2" s="1"/>
  <c r="AD2023" i="2" s="1"/>
  <c r="AE2023" i="2"/>
  <c r="AB2022" i="2"/>
  <c r="AC2022" i="2" s="1"/>
  <c r="AD2022" i="2" s="1"/>
  <c r="AE2022" i="2"/>
  <c r="AB2021" i="2"/>
  <c r="AC2021" i="2" s="1"/>
  <c r="AD2021" i="2" s="1"/>
  <c r="AE2021" i="2"/>
  <c r="AB2020" i="2"/>
  <c r="AC2020" i="2" s="1"/>
  <c r="AD2020" i="2" s="1"/>
  <c r="AE2020" i="2"/>
  <c r="AB2019" i="2"/>
  <c r="AC2019" i="2" s="1"/>
  <c r="AD2019" i="2" s="1"/>
  <c r="AE2019" i="2"/>
  <c r="AB2018" i="2"/>
  <c r="AC2018" i="2" s="1"/>
  <c r="AD2018" i="2" s="1"/>
  <c r="AE2018" i="2"/>
  <c r="AB2017" i="2"/>
  <c r="AC2017" i="2" s="1"/>
  <c r="AD2017" i="2" s="1"/>
  <c r="AE2017" i="2"/>
  <c r="AE2016" i="2"/>
  <c r="AB2016" i="2"/>
  <c r="AC2016" i="2" s="1"/>
  <c r="AD2016" i="2" s="1"/>
  <c r="AE2015" i="2"/>
  <c r="AB2015" i="2"/>
  <c r="AC2015" i="2" s="1"/>
  <c r="AD2015" i="2" s="1"/>
  <c r="AE2014" i="2"/>
  <c r="AB2014" i="2"/>
  <c r="AC2014" i="2" s="1"/>
  <c r="AD2014" i="2" s="1"/>
  <c r="AB2013" i="2"/>
  <c r="AC2013" i="2" s="1"/>
  <c r="AD2013" i="2" s="1"/>
  <c r="AE2013" i="2"/>
  <c r="AE2012" i="2"/>
  <c r="AB2012" i="2"/>
  <c r="AC2012" i="2" s="1"/>
  <c r="AD2012" i="2" s="1"/>
  <c r="AB2011" i="2"/>
  <c r="AC2011" i="2" s="1"/>
  <c r="AD2011" i="2" s="1"/>
  <c r="AE2011" i="2"/>
  <c r="AB2010" i="2"/>
  <c r="AC2010" i="2" s="1"/>
  <c r="AD2010" i="2" s="1"/>
  <c r="AE2010" i="2"/>
  <c r="AB2009" i="2"/>
  <c r="AC2009" i="2" s="1"/>
  <c r="AD2009" i="2" s="1"/>
  <c r="AE2009" i="2"/>
  <c r="AE2008" i="2"/>
  <c r="AB2008" i="2"/>
  <c r="AC2008" i="2" s="1"/>
  <c r="AD2008" i="2" s="1"/>
  <c r="AB2007" i="2"/>
  <c r="AC2007" i="2" s="1"/>
  <c r="AD2007" i="2" s="1"/>
  <c r="AE2007" i="2"/>
  <c r="AB2006" i="2"/>
  <c r="AC2006" i="2" s="1"/>
  <c r="AD2006" i="2" s="1"/>
  <c r="AE2006" i="2"/>
  <c r="AB2005" i="2"/>
  <c r="AC2005" i="2" s="1"/>
  <c r="AD2005" i="2" s="1"/>
  <c r="AE2005" i="2"/>
  <c r="AB2004" i="2"/>
  <c r="AC2004" i="2" s="1"/>
  <c r="AD2004" i="2" s="1"/>
  <c r="AE2004" i="2"/>
  <c r="AE2003" i="2"/>
  <c r="AB2003" i="2"/>
  <c r="AC2003" i="2" s="1"/>
  <c r="AD2003" i="2" s="1"/>
  <c r="AE2002" i="2"/>
  <c r="AB2002" i="2"/>
  <c r="AC2002" i="2" s="1"/>
  <c r="AD2002" i="2" s="1"/>
  <c r="AE2001" i="2"/>
  <c r="AB2001" i="2"/>
  <c r="AC2001" i="2" s="1"/>
  <c r="AD2001" i="2" s="1"/>
  <c r="AE2000" i="2"/>
  <c r="AB2000" i="2"/>
  <c r="AC2000" i="2" s="1"/>
  <c r="AD2000" i="2" s="1"/>
  <c r="AB1999" i="2"/>
  <c r="AC1999" i="2" s="1"/>
  <c r="AD1999" i="2" s="1"/>
  <c r="AE1999" i="2"/>
  <c r="AB1998" i="2"/>
  <c r="AC1998" i="2" s="1"/>
  <c r="AD1998" i="2" s="1"/>
  <c r="AE1998" i="2"/>
  <c r="AE1997" i="2"/>
  <c r="AB1997" i="2"/>
  <c r="AC1997" i="2" s="1"/>
  <c r="AD1997" i="2" s="1"/>
  <c r="AE1996" i="2"/>
  <c r="AB1996" i="2"/>
  <c r="AC1996" i="2" s="1"/>
  <c r="AD1996" i="2" s="1"/>
  <c r="AB1995" i="2"/>
  <c r="AC1995" i="2" s="1"/>
  <c r="AD1995" i="2" s="1"/>
  <c r="AE1995" i="2"/>
  <c r="AE1994" i="2"/>
  <c r="AB1994" i="2"/>
  <c r="AC1994" i="2" s="1"/>
  <c r="AD1994" i="2" s="1"/>
  <c r="AE1993" i="2"/>
  <c r="AB1993" i="2"/>
  <c r="AC1993" i="2" s="1"/>
  <c r="AD1993" i="2" s="1"/>
  <c r="AE1992" i="2"/>
  <c r="AB1992" i="2"/>
  <c r="AC1992" i="2" s="1"/>
  <c r="AD1992" i="2" s="1"/>
  <c r="AB1991" i="2"/>
  <c r="AC1991" i="2" s="1"/>
  <c r="AD1991" i="2" s="1"/>
  <c r="AE1991" i="2"/>
  <c r="AB1990" i="2"/>
  <c r="AC1990" i="2" s="1"/>
  <c r="AD1990" i="2" s="1"/>
  <c r="AE1990" i="2"/>
  <c r="AB1989" i="2"/>
  <c r="AC1989" i="2" s="1"/>
  <c r="AD1989" i="2" s="1"/>
  <c r="AE1989" i="2"/>
  <c r="AE1988" i="2"/>
  <c r="AB1988" i="2"/>
  <c r="AC1988" i="2" s="1"/>
  <c r="AD1988" i="2" s="1"/>
  <c r="AE1987" i="2"/>
  <c r="AB1987" i="2"/>
  <c r="AC1987" i="2" s="1"/>
  <c r="AD1987" i="2" s="1"/>
  <c r="AE1986" i="2"/>
  <c r="AB1986" i="2"/>
  <c r="AC1986" i="2" s="1"/>
  <c r="AD1986" i="2" s="1"/>
  <c r="AB1985" i="2"/>
  <c r="AC1985" i="2" s="1"/>
  <c r="AD1985" i="2" s="1"/>
  <c r="AE1985" i="2"/>
  <c r="AE1984" i="2"/>
  <c r="AB1984" i="2"/>
  <c r="AC1984" i="2" s="1"/>
  <c r="AD1984" i="2" s="1"/>
  <c r="AB1983" i="2"/>
  <c r="AC1983" i="2" s="1"/>
  <c r="AD1983" i="2" s="1"/>
  <c r="AE1983" i="2"/>
  <c r="AE1982" i="2"/>
  <c r="AB1982" i="2"/>
  <c r="AC1982" i="2" s="1"/>
  <c r="AD1982" i="2" s="1"/>
  <c r="AE1981" i="2"/>
  <c r="AB1981" i="2"/>
  <c r="AC1981" i="2" s="1"/>
  <c r="AD1981" i="2" s="1"/>
  <c r="AB1980" i="2"/>
  <c r="AC1980" i="2" s="1"/>
  <c r="AD1980" i="2" s="1"/>
  <c r="AE1980" i="2"/>
  <c r="AB1979" i="2"/>
  <c r="AC1979" i="2" s="1"/>
  <c r="AD1979" i="2" s="1"/>
  <c r="AE1979" i="2"/>
  <c r="AB1978" i="2"/>
  <c r="AC1978" i="2" s="1"/>
  <c r="AD1978" i="2" s="1"/>
  <c r="AE1978" i="2"/>
  <c r="AE1977" i="2"/>
  <c r="AB1977" i="2"/>
  <c r="AC1977" i="2" s="1"/>
  <c r="AD1977" i="2" s="1"/>
  <c r="AE1976" i="2"/>
  <c r="AB1976" i="2"/>
  <c r="AC1976" i="2" s="1"/>
  <c r="AD1976" i="2" s="1"/>
  <c r="AE1975" i="2"/>
  <c r="AB1975" i="2"/>
  <c r="AC1975" i="2" s="1"/>
  <c r="AD1975" i="2" s="1"/>
  <c r="AB1974" i="2"/>
  <c r="AC1974" i="2" s="1"/>
  <c r="AD1974" i="2" s="1"/>
  <c r="AE1974" i="2"/>
  <c r="AE1973" i="2"/>
  <c r="AB1973" i="2"/>
  <c r="AC1973" i="2" s="1"/>
  <c r="AD1973" i="2" s="1"/>
  <c r="AB1972" i="2"/>
  <c r="AC1972" i="2" s="1"/>
  <c r="AD1972" i="2" s="1"/>
  <c r="AE1972" i="2"/>
  <c r="AE1971" i="2"/>
  <c r="AB1971" i="2"/>
  <c r="AC1971" i="2" s="1"/>
  <c r="AD1971" i="2" s="1"/>
  <c r="AB1970" i="2"/>
  <c r="AC1970" i="2" s="1"/>
  <c r="AD1970" i="2" s="1"/>
  <c r="AE1970" i="2"/>
  <c r="AB1969" i="2"/>
  <c r="AC1969" i="2" s="1"/>
  <c r="AD1969" i="2" s="1"/>
  <c r="AE1969" i="2"/>
  <c r="AE1968" i="2"/>
  <c r="AB1968" i="2"/>
  <c r="AC1968" i="2" s="1"/>
  <c r="AD1968" i="2" s="1"/>
  <c r="AE1967" i="2"/>
  <c r="AB1967" i="2"/>
  <c r="AC1967" i="2" s="1"/>
  <c r="AD1967" i="2" s="1"/>
  <c r="AE1966" i="2"/>
  <c r="AB1966" i="2"/>
  <c r="AC1966" i="2" s="1"/>
  <c r="AD1966" i="2" s="1"/>
  <c r="AE1965" i="2"/>
  <c r="AB1965" i="2"/>
  <c r="AC1965" i="2" s="1"/>
  <c r="AD1965" i="2" s="1"/>
  <c r="AE1964" i="2"/>
  <c r="AB1964" i="2"/>
  <c r="AC1964" i="2" s="1"/>
  <c r="AD1964" i="2" s="1"/>
  <c r="AB1963" i="2"/>
  <c r="AC1963" i="2" s="1"/>
  <c r="AD1963" i="2" s="1"/>
  <c r="AE1963" i="2"/>
  <c r="AE1962" i="2"/>
  <c r="AB1962" i="2"/>
  <c r="AC1962" i="2" s="1"/>
  <c r="AD1962" i="2" s="1"/>
  <c r="AE1961" i="2"/>
  <c r="AB1961" i="2"/>
  <c r="AC1961" i="2" s="1"/>
  <c r="AD1961" i="2" s="1"/>
  <c r="AB1960" i="2"/>
  <c r="AC1960" i="2" s="1"/>
  <c r="AD1960" i="2" s="1"/>
  <c r="AE1960" i="2"/>
  <c r="AE1959" i="2"/>
  <c r="AB1959" i="2"/>
  <c r="AC1959" i="2" s="1"/>
  <c r="AD1959" i="2" s="1"/>
  <c r="AE1958" i="2"/>
  <c r="AB1958" i="2"/>
  <c r="AC1958" i="2" s="1"/>
  <c r="AD1958" i="2" s="1"/>
  <c r="AE1957" i="2"/>
  <c r="AB1957" i="2"/>
  <c r="AC1957" i="2" s="1"/>
  <c r="AD1957" i="2" s="1"/>
  <c r="AB1956" i="2"/>
  <c r="AC1956" i="2" s="1"/>
  <c r="AD1956" i="2" s="1"/>
  <c r="AE1956" i="2"/>
  <c r="AE1955" i="2"/>
  <c r="AB1955" i="2"/>
  <c r="AC1955" i="2" s="1"/>
  <c r="AD1955" i="2" s="1"/>
  <c r="AB1954" i="2"/>
  <c r="AC1954" i="2" s="1"/>
  <c r="AD1954" i="2" s="1"/>
  <c r="AE1954" i="2"/>
  <c r="AB1953" i="2"/>
  <c r="AC1953" i="2" s="1"/>
  <c r="AD1953" i="2" s="1"/>
  <c r="AE1953" i="2"/>
  <c r="AB1952" i="2"/>
  <c r="AC1952" i="2" s="1"/>
  <c r="AD1952" i="2" s="1"/>
  <c r="AE1952" i="2"/>
  <c r="AE1951" i="2"/>
  <c r="AB1951" i="2"/>
  <c r="AC1951" i="2" s="1"/>
  <c r="AD1951" i="2" s="1"/>
  <c r="AE1950" i="2"/>
  <c r="AB1950" i="2"/>
  <c r="AC1950" i="2" s="1"/>
  <c r="AD1950" i="2" s="1"/>
  <c r="AE1949" i="2"/>
  <c r="AB1949" i="2"/>
  <c r="AC1949" i="2" s="1"/>
  <c r="AD1949" i="2" s="1"/>
  <c r="AB1948" i="2"/>
  <c r="AC1948" i="2" s="1"/>
  <c r="AD1948" i="2" s="1"/>
  <c r="AE1948" i="2"/>
  <c r="AB1947" i="2"/>
  <c r="AC1947" i="2" s="1"/>
  <c r="AD1947" i="2" s="1"/>
  <c r="AE1947" i="2"/>
  <c r="AB1946" i="2"/>
  <c r="AC1946" i="2" s="1"/>
  <c r="AD1946" i="2" s="1"/>
  <c r="AE1946" i="2"/>
  <c r="AE1945" i="2"/>
  <c r="AB1945" i="2"/>
  <c r="AC1945" i="2" s="1"/>
  <c r="AD1945" i="2" s="1"/>
  <c r="AB1944" i="2"/>
  <c r="AC1944" i="2" s="1"/>
  <c r="AD1944" i="2" s="1"/>
  <c r="AE1944" i="2"/>
  <c r="AE1943" i="2"/>
  <c r="AB1943" i="2"/>
  <c r="AC1943" i="2" s="1"/>
  <c r="AD1943" i="2" s="1"/>
  <c r="AB1942" i="2"/>
  <c r="AC1942" i="2" s="1"/>
  <c r="AD1942" i="2" s="1"/>
  <c r="AE1942" i="2"/>
  <c r="AB1941" i="2"/>
  <c r="AC1941" i="2" s="1"/>
  <c r="AD1941" i="2" s="1"/>
  <c r="AE1941" i="2"/>
  <c r="AB1940" i="2"/>
  <c r="AC1940" i="2" s="1"/>
  <c r="AD1940" i="2" s="1"/>
  <c r="AE1940" i="2"/>
  <c r="AE1939" i="2"/>
  <c r="AB1939" i="2"/>
  <c r="AC1939" i="2" s="1"/>
  <c r="AD1939" i="2" s="1"/>
  <c r="AB1938" i="2"/>
  <c r="AC1938" i="2" s="1"/>
  <c r="AD1938" i="2" s="1"/>
  <c r="AE1938" i="2"/>
  <c r="AB1937" i="2"/>
  <c r="AC1937" i="2" s="1"/>
  <c r="AD1937" i="2" s="1"/>
  <c r="AE1937" i="2"/>
  <c r="AE1936" i="2"/>
  <c r="AB1936" i="2"/>
  <c r="AC1936" i="2" s="1"/>
  <c r="AD1936" i="2" s="1"/>
  <c r="AE1935" i="2"/>
  <c r="AB1935" i="2"/>
  <c r="AC1935" i="2" s="1"/>
  <c r="AD1935" i="2" s="1"/>
  <c r="AB1934" i="2"/>
  <c r="AC1934" i="2" s="1"/>
  <c r="AD1934" i="2" s="1"/>
  <c r="AE1934" i="2"/>
  <c r="AB1933" i="2"/>
  <c r="AC1933" i="2" s="1"/>
  <c r="AD1933" i="2" s="1"/>
  <c r="AE1933" i="2"/>
  <c r="AB1932" i="2"/>
  <c r="AC1932" i="2" s="1"/>
  <c r="AD1932" i="2" s="1"/>
  <c r="AE1932" i="2"/>
  <c r="AE1931" i="2"/>
  <c r="AB1931" i="2"/>
  <c r="AC1931" i="2" s="1"/>
  <c r="AD1931" i="2" s="1"/>
  <c r="AB1930" i="2"/>
  <c r="AC1930" i="2" s="1"/>
  <c r="AD1930" i="2" s="1"/>
  <c r="AE1930" i="2"/>
  <c r="AB1929" i="2"/>
  <c r="AC1929" i="2" s="1"/>
  <c r="AD1929" i="2" s="1"/>
  <c r="AE1929" i="2"/>
  <c r="AB1928" i="2"/>
  <c r="AC1928" i="2" s="1"/>
  <c r="AD1928" i="2" s="1"/>
  <c r="AE1928" i="2"/>
  <c r="AB1927" i="2"/>
  <c r="AC1927" i="2" s="1"/>
  <c r="AD1927" i="2" s="1"/>
  <c r="AE1927" i="2"/>
  <c r="AE1926" i="2"/>
  <c r="AB1926" i="2"/>
  <c r="AC1926" i="2" s="1"/>
  <c r="AD1926" i="2" s="1"/>
  <c r="AB1925" i="2"/>
  <c r="AC1925" i="2" s="1"/>
  <c r="AD1925" i="2" s="1"/>
  <c r="AE1925" i="2"/>
  <c r="AE1924" i="2"/>
  <c r="AB1924" i="2"/>
  <c r="AC1924" i="2" s="1"/>
  <c r="AD1924" i="2" s="1"/>
  <c r="AB1923" i="2"/>
  <c r="AC1923" i="2" s="1"/>
  <c r="AD1923" i="2" s="1"/>
  <c r="AE1923" i="2"/>
  <c r="AB1922" i="2"/>
  <c r="AC1922" i="2" s="1"/>
  <c r="AD1922" i="2" s="1"/>
  <c r="AE1922" i="2"/>
  <c r="AB1921" i="2"/>
  <c r="AC1921" i="2" s="1"/>
  <c r="AD1921" i="2" s="1"/>
  <c r="AE1921" i="2"/>
  <c r="AE1920" i="2"/>
  <c r="AB1920" i="2"/>
  <c r="AC1920" i="2" s="1"/>
  <c r="AD1920" i="2" s="1"/>
  <c r="AE1919" i="2"/>
  <c r="AB1919" i="2"/>
  <c r="AC1919" i="2" s="1"/>
  <c r="AD1919" i="2" s="1"/>
  <c r="AE1918" i="2"/>
  <c r="AB1918" i="2"/>
  <c r="AC1918" i="2" s="1"/>
  <c r="AD1918" i="2" s="1"/>
  <c r="AE1917" i="2"/>
  <c r="AB1917" i="2"/>
  <c r="AC1917" i="2" s="1"/>
  <c r="AD1917" i="2" s="1"/>
  <c r="AE1916" i="2"/>
  <c r="AB1916" i="2"/>
  <c r="AC1916" i="2" s="1"/>
  <c r="AD1916" i="2" s="1"/>
  <c r="AE1915" i="2"/>
  <c r="AB1915" i="2"/>
  <c r="AC1915" i="2" s="1"/>
  <c r="AD1915" i="2" s="1"/>
  <c r="AB1914" i="2"/>
  <c r="AC1914" i="2" s="1"/>
  <c r="AD1914" i="2" s="1"/>
  <c r="AE1914" i="2"/>
  <c r="AB1913" i="2"/>
  <c r="AC1913" i="2" s="1"/>
  <c r="AD1913" i="2" s="1"/>
  <c r="AE1913" i="2"/>
  <c r="AE1912" i="2"/>
  <c r="AB1912" i="2"/>
  <c r="AC1912" i="2" s="1"/>
  <c r="AD1912" i="2" s="1"/>
  <c r="AE1911" i="2"/>
  <c r="AB1911" i="2"/>
  <c r="AC1911" i="2" s="1"/>
  <c r="AD1911" i="2" s="1"/>
  <c r="AB1910" i="2"/>
  <c r="AC1910" i="2" s="1"/>
  <c r="AD1910" i="2" s="1"/>
  <c r="AE1910" i="2"/>
  <c r="AB1909" i="2"/>
  <c r="AC1909" i="2" s="1"/>
  <c r="AD1909" i="2" s="1"/>
  <c r="AE1909" i="2"/>
  <c r="AE1908" i="2"/>
  <c r="AB1908" i="2"/>
  <c r="AC1908" i="2" s="1"/>
  <c r="AD1908" i="2" s="1"/>
  <c r="AB1907" i="2"/>
  <c r="AC1907" i="2" s="1"/>
  <c r="AD1907" i="2" s="1"/>
  <c r="AE1907" i="2"/>
  <c r="AE1906" i="2"/>
  <c r="AB1906" i="2"/>
  <c r="AC1906" i="2" s="1"/>
  <c r="AD1906" i="2" s="1"/>
  <c r="AB1905" i="2"/>
  <c r="AC1905" i="2" s="1"/>
  <c r="AD1905" i="2" s="1"/>
  <c r="AE1905" i="2"/>
  <c r="AE1904" i="2"/>
  <c r="AB1904" i="2"/>
  <c r="AC1904" i="2" s="1"/>
  <c r="AD1904" i="2" s="1"/>
  <c r="AE1903" i="2"/>
  <c r="AB1903" i="2"/>
  <c r="AC1903" i="2" s="1"/>
  <c r="AD1903" i="2" s="1"/>
  <c r="AB1902" i="2"/>
  <c r="AC1902" i="2" s="1"/>
  <c r="AD1902" i="2" s="1"/>
  <c r="AE1902" i="2"/>
  <c r="AB1901" i="2"/>
  <c r="AC1901" i="2" s="1"/>
  <c r="AD1901" i="2" s="1"/>
  <c r="AE1901" i="2"/>
  <c r="AB1900" i="2"/>
  <c r="AC1900" i="2" s="1"/>
  <c r="AD1900" i="2" s="1"/>
  <c r="AE1900" i="2"/>
  <c r="AB1899" i="2"/>
  <c r="AC1899" i="2" s="1"/>
  <c r="AD1899" i="2" s="1"/>
  <c r="AE1899" i="2"/>
  <c r="AB1898" i="2"/>
  <c r="AC1898" i="2" s="1"/>
  <c r="AD1898" i="2" s="1"/>
  <c r="AE1898" i="2"/>
  <c r="AE1897" i="2"/>
  <c r="AB1897" i="2"/>
  <c r="AC1897" i="2" s="1"/>
  <c r="AD1897" i="2" s="1"/>
  <c r="AB1896" i="2"/>
  <c r="AC1896" i="2" s="1"/>
  <c r="AD1896" i="2" s="1"/>
  <c r="AE1896" i="2"/>
  <c r="AB1895" i="2"/>
  <c r="AC1895" i="2" s="1"/>
  <c r="AD1895" i="2" s="1"/>
  <c r="AE1895" i="2"/>
  <c r="AB1894" i="2"/>
  <c r="AC1894" i="2" s="1"/>
  <c r="AD1894" i="2" s="1"/>
  <c r="AE1894" i="2"/>
  <c r="AB1893" i="2"/>
  <c r="AC1893" i="2" s="1"/>
  <c r="AD1893" i="2" s="1"/>
  <c r="AE1893" i="2"/>
  <c r="AB1892" i="2"/>
  <c r="AC1892" i="2" s="1"/>
  <c r="AD1892" i="2" s="1"/>
  <c r="AE1892" i="2"/>
  <c r="AB1891" i="2"/>
  <c r="AC1891" i="2" s="1"/>
  <c r="AD1891" i="2" s="1"/>
  <c r="AE1891" i="2"/>
  <c r="AE1890" i="2"/>
  <c r="AB1890" i="2"/>
  <c r="AC1890" i="2" s="1"/>
  <c r="AD1890" i="2" s="1"/>
  <c r="AE1889" i="2"/>
  <c r="AB1889" i="2"/>
  <c r="AC1889" i="2" s="1"/>
  <c r="AD1889" i="2" s="1"/>
  <c r="AB1888" i="2"/>
  <c r="AC1888" i="2" s="1"/>
  <c r="AD1888" i="2" s="1"/>
  <c r="AE1888" i="2"/>
  <c r="AE1887" i="2"/>
  <c r="AB1887" i="2"/>
  <c r="AC1887" i="2" s="1"/>
  <c r="AD1887" i="2" s="1"/>
  <c r="AE1886" i="2"/>
  <c r="AB1886" i="2"/>
  <c r="AC1886" i="2" s="1"/>
  <c r="AD1886" i="2" s="1"/>
  <c r="AE1885" i="2"/>
  <c r="AB1885" i="2"/>
  <c r="AC1885" i="2" s="1"/>
  <c r="AD1885" i="2" s="1"/>
  <c r="AB1884" i="2"/>
  <c r="AC1884" i="2" s="1"/>
  <c r="AD1884" i="2" s="1"/>
  <c r="AE1884" i="2"/>
  <c r="AB1883" i="2"/>
  <c r="AC1883" i="2" s="1"/>
  <c r="AD1883" i="2" s="1"/>
  <c r="AE1883" i="2"/>
  <c r="AE1882" i="2"/>
  <c r="AB1882" i="2"/>
  <c r="AC1882" i="2" s="1"/>
  <c r="AD1882" i="2" s="1"/>
  <c r="AB1880" i="2"/>
  <c r="AC1880" i="2" s="1"/>
  <c r="AD1880" i="2" s="1"/>
  <c r="AE1880" i="2"/>
  <c r="AB1879" i="2"/>
  <c r="AC1879" i="2" s="1"/>
  <c r="AD1879" i="2" s="1"/>
  <c r="AE1879" i="2"/>
  <c r="AB1878" i="2"/>
  <c r="AC1878" i="2" s="1"/>
  <c r="AD1878" i="2" s="1"/>
  <c r="AE1878" i="2"/>
  <c r="AE1877" i="2"/>
  <c r="AB1877" i="2"/>
  <c r="AC1877" i="2" s="1"/>
  <c r="AD1877" i="2" s="1"/>
  <c r="AE1876" i="2"/>
  <c r="AB1876" i="2"/>
  <c r="AC1876" i="2" s="1"/>
  <c r="AD1876" i="2" s="1"/>
  <c r="AB1875" i="2"/>
  <c r="AC1875" i="2" s="1"/>
  <c r="AD1875" i="2" s="1"/>
  <c r="AE1875" i="2"/>
  <c r="AB1874" i="2"/>
  <c r="AC1874" i="2" s="1"/>
  <c r="AD1874" i="2" s="1"/>
  <c r="AE1874" i="2"/>
  <c r="AB1873" i="2"/>
  <c r="AC1873" i="2" s="1"/>
  <c r="AD1873" i="2" s="1"/>
  <c r="AE1873" i="2"/>
  <c r="AB1872" i="2"/>
  <c r="AC1872" i="2" s="1"/>
  <c r="AD1872" i="2" s="1"/>
  <c r="AE1872" i="2"/>
  <c r="AE1871" i="2"/>
  <c r="AB1871" i="2"/>
  <c r="AC1871" i="2" s="1"/>
  <c r="AD1871" i="2" s="1"/>
  <c r="AB1870" i="2"/>
  <c r="AC1870" i="2" s="1"/>
  <c r="AD1870" i="2" s="1"/>
  <c r="AE1870" i="2"/>
  <c r="AB1869" i="2"/>
  <c r="AC1869" i="2" s="1"/>
  <c r="AD1869" i="2" s="1"/>
  <c r="AE1869" i="2"/>
  <c r="AE1868" i="2"/>
  <c r="AB1868" i="2"/>
  <c r="AC1868" i="2" s="1"/>
  <c r="AD1868" i="2" s="1"/>
  <c r="AB1867" i="2"/>
  <c r="AC1867" i="2" s="1"/>
  <c r="AD1867" i="2" s="1"/>
  <c r="AE1867" i="2"/>
  <c r="AB1866" i="2"/>
  <c r="AC1866" i="2" s="1"/>
  <c r="AD1866" i="2" s="1"/>
  <c r="AE1866" i="2"/>
  <c r="AB1865" i="2"/>
  <c r="AC1865" i="2" s="1"/>
  <c r="AD1865" i="2" s="1"/>
  <c r="AE1865" i="2"/>
  <c r="AB1864" i="2"/>
  <c r="AC1864" i="2" s="1"/>
  <c r="AD1864" i="2" s="1"/>
  <c r="AE1864" i="2"/>
  <c r="AE1863" i="2"/>
  <c r="AB1863" i="2"/>
  <c r="AC1863" i="2" s="1"/>
  <c r="AD1863" i="2" s="1"/>
  <c r="AE1862" i="2"/>
  <c r="AB1862" i="2"/>
  <c r="AC1862" i="2" s="1"/>
  <c r="AD1862" i="2" s="1"/>
  <c r="AE1861" i="2"/>
  <c r="AB1861" i="2"/>
  <c r="AC1861" i="2" s="1"/>
  <c r="AD1861" i="2" s="1"/>
  <c r="AE1860" i="2"/>
  <c r="AB1860" i="2"/>
  <c r="AC1860" i="2" s="1"/>
  <c r="AD1860" i="2" s="1"/>
  <c r="AB1859" i="2"/>
  <c r="AC1859" i="2" s="1"/>
  <c r="AD1859" i="2" s="1"/>
  <c r="AE1859" i="2"/>
  <c r="AB1858" i="2"/>
  <c r="AC1858" i="2" s="1"/>
  <c r="AD1858" i="2" s="1"/>
  <c r="AE1858" i="2"/>
  <c r="AB1857" i="2"/>
  <c r="AC1857" i="2" s="1"/>
  <c r="AD1857" i="2" s="1"/>
  <c r="AE1857" i="2"/>
  <c r="AE1856" i="2"/>
  <c r="AB1856" i="2"/>
  <c r="AC1856" i="2" s="1"/>
  <c r="AD1856" i="2" s="1"/>
  <c r="AE1855" i="2"/>
  <c r="AB1855" i="2"/>
  <c r="AC1855" i="2" s="1"/>
  <c r="AD1855" i="2" s="1"/>
  <c r="AB1854" i="2"/>
  <c r="AC1854" i="2" s="1"/>
  <c r="AD1854" i="2" s="1"/>
  <c r="AE1854" i="2"/>
  <c r="AE1853" i="2"/>
  <c r="AB1853" i="2"/>
  <c r="AC1853" i="2" s="1"/>
  <c r="AD1853" i="2" s="1"/>
  <c r="AB1852" i="2"/>
  <c r="AC1852" i="2" s="1"/>
  <c r="AD1852" i="2" s="1"/>
  <c r="AE1852" i="2"/>
  <c r="AB1851" i="2"/>
  <c r="AC1851" i="2" s="1"/>
  <c r="AD1851" i="2" s="1"/>
  <c r="AE1851" i="2"/>
  <c r="AB1850" i="2"/>
  <c r="AC1850" i="2" s="1"/>
  <c r="AD1850" i="2" s="1"/>
  <c r="AE1850" i="2"/>
  <c r="AE1849" i="2"/>
  <c r="AB1849" i="2"/>
  <c r="AC1849" i="2" s="1"/>
  <c r="AD1849" i="2" s="1"/>
  <c r="AB1848" i="2"/>
  <c r="AC1848" i="2" s="1"/>
  <c r="AD1848" i="2" s="1"/>
  <c r="AE1848" i="2"/>
  <c r="AE1847" i="2"/>
  <c r="AB1847" i="2"/>
  <c r="AC1847" i="2" s="1"/>
  <c r="AD1847" i="2" s="1"/>
  <c r="AE1846" i="2"/>
  <c r="AB1846" i="2"/>
  <c r="AC1846" i="2" s="1"/>
  <c r="AD1846" i="2" s="1"/>
  <c r="AE1845" i="2"/>
  <c r="AB1845" i="2"/>
  <c r="AC1845" i="2" s="1"/>
  <c r="AD1845" i="2" s="1"/>
  <c r="AB1844" i="2"/>
  <c r="AC1844" i="2" s="1"/>
  <c r="AD1844" i="2" s="1"/>
  <c r="AE1844" i="2"/>
  <c r="AE1843" i="2"/>
  <c r="AB1843" i="2"/>
  <c r="AC1843" i="2" s="1"/>
  <c r="AD1843" i="2" s="1"/>
  <c r="AB1842" i="2"/>
  <c r="AC1842" i="2" s="1"/>
  <c r="AD1842" i="2" s="1"/>
  <c r="AE1842" i="2"/>
  <c r="AB1841" i="2"/>
  <c r="AC1841" i="2" s="1"/>
  <c r="AD1841" i="2" s="1"/>
  <c r="AE1841" i="2"/>
  <c r="AE1840" i="2"/>
  <c r="AB1840" i="2"/>
  <c r="AC1840" i="2" s="1"/>
  <c r="AD1840" i="2" s="1"/>
  <c r="AB1839" i="2"/>
  <c r="AC1839" i="2" s="1"/>
  <c r="AD1839" i="2" s="1"/>
  <c r="AE1839" i="2"/>
  <c r="AB1838" i="2"/>
  <c r="AC1838" i="2" s="1"/>
  <c r="AD1838" i="2" s="1"/>
  <c r="AE1838" i="2"/>
  <c r="AE1837" i="2"/>
  <c r="AB1837" i="2"/>
  <c r="AC1837" i="2" s="1"/>
  <c r="AD1837" i="2" s="1"/>
  <c r="AE1836" i="2"/>
  <c r="AB1836" i="2"/>
  <c r="AC1836" i="2" s="1"/>
  <c r="AD1836" i="2" s="1"/>
  <c r="AE1835" i="2"/>
  <c r="AB1835" i="2"/>
  <c r="AC1835" i="2" s="1"/>
  <c r="AD1835" i="2" s="1"/>
  <c r="AE1834" i="2"/>
  <c r="AB1834" i="2"/>
  <c r="AC1834" i="2" s="1"/>
  <c r="AD1834" i="2" s="1"/>
  <c r="AE1833" i="2"/>
  <c r="AB1833" i="2"/>
  <c r="AC1833" i="2" s="1"/>
  <c r="AD1833" i="2" s="1"/>
  <c r="AE1832" i="2"/>
  <c r="AB1832" i="2"/>
  <c r="AC1832" i="2" s="1"/>
  <c r="AD1832" i="2" s="1"/>
  <c r="AB1831" i="2"/>
  <c r="AC1831" i="2" s="1"/>
  <c r="AD1831" i="2" s="1"/>
  <c r="AE1831" i="2"/>
  <c r="AB1830" i="2"/>
  <c r="AC1830" i="2" s="1"/>
  <c r="AD1830" i="2" s="1"/>
  <c r="AE1830" i="2"/>
  <c r="AE1829" i="2"/>
  <c r="AB1829" i="2"/>
  <c r="AC1829" i="2" s="1"/>
  <c r="AD1829" i="2" s="1"/>
  <c r="AB1828" i="2"/>
  <c r="AC1828" i="2" s="1"/>
  <c r="AD1828" i="2" s="1"/>
  <c r="AE1828" i="2"/>
  <c r="AB1827" i="2"/>
  <c r="AC1827" i="2" s="1"/>
  <c r="AD1827" i="2" s="1"/>
  <c r="AE1827" i="2"/>
  <c r="AB1826" i="2"/>
  <c r="AC1826" i="2" s="1"/>
  <c r="AD1826" i="2" s="1"/>
  <c r="AE1826" i="2"/>
  <c r="AB1825" i="2"/>
  <c r="AC1825" i="2" s="1"/>
  <c r="AD1825" i="2" s="1"/>
  <c r="AE1825" i="2"/>
  <c r="AB1824" i="2"/>
  <c r="AC1824" i="2" s="1"/>
  <c r="AD1824" i="2" s="1"/>
  <c r="AE1824" i="2"/>
  <c r="AB1823" i="2"/>
  <c r="AC1823" i="2" s="1"/>
  <c r="AD1823" i="2" s="1"/>
  <c r="AE1823" i="2"/>
  <c r="AB1822" i="2"/>
  <c r="AC1822" i="2" s="1"/>
  <c r="AD1822" i="2" s="1"/>
  <c r="AE1822" i="2"/>
  <c r="AB1821" i="2"/>
  <c r="AC1821" i="2" s="1"/>
  <c r="AD1821" i="2" s="1"/>
  <c r="AE1821" i="2"/>
  <c r="AE1820" i="2"/>
  <c r="AB1820" i="2"/>
  <c r="AC1820" i="2" s="1"/>
  <c r="AD1820" i="2" s="1"/>
  <c r="AE1819" i="2"/>
  <c r="AB1819" i="2"/>
  <c r="AC1819" i="2" s="1"/>
  <c r="AD1819" i="2" s="1"/>
  <c r="AB1818" i="2"/>
  <c r="AC1818" i="2" s="1"/>
  <c r="AD1818" i="2" s="1"/>
  <c r="AE1818" i="2"/>
  <c r="AE1817" i="2"/>
  <c r="AB1817" i="2"/>
  <c r="AC1817" i="2" s="1"/>
  <c r="AD1817" i="2" s="1"/>
  <c r="AB1816" i="2"/>
  <c r="AC1816" i="2" s="1"/>
  <c r="AD1816" i="2" s="1"/>
  <c r="AE1816" i="2"/>
  <c r="AE1815" i="2"/>
  <c r="AB1815" i="2"/>
  <c r="AC1815" i="2" s="1"/>
  <c r="AD1815" i="2" s="1"/>
  <c r="AE1814" i="2"/>
  <c r="AB1814" i="2"/>
  <c r="AC1814" i="2" s="1"/>
  <c r="AD1814" i="2" s="1"/>
  <c r="AE1813" i="2"/>
  <c r="AB1813" i="2"/>
  <c r="AC1813" i="2" s="1"/>
  <c r="AD1813" i="2" s="1"/>
  <c r="AB1812" i="2"/>
  <c r="AC1812" i="2" s="1"/>
  <c r="AD1812" i="2" s="1"/>
  <c r="AE1812" i="2"/>
  <c r="AE1811" i="2"/>
  <c r="AB1811" i="2"/>
  <c r="AC1811" i="2" s="1"/>
  <c r="AD1811" i="2" s="1"/>
  <c r="AE1810" i="2"/>
  <c r="AB1810" i="2"/>
  <c r="AC1810" i="2" s="1"/>
  <c r="AD1810" i="2" s="1"/>
  <c r="AE1809" i="2"/>
  <c r="AB1809" i="2"/>
  <c r="AC1809" i="2" s="1"/>
  <c r="AD1809" i="2" s="1"/>
  <c r="AE1808" i="2"/>
  <c r="AB1808" i="2"/>
  <c r="AC1808" i="2" s="1"/>
  <c r="AD1808" i="2" s="1"/>
  <c r="AB1807" i="2"/>
  <c r="AC1807" i="2" s="1"/>
  <c r="AD1807" i="2" s="1"/>
  <c r="AE1807" i="2"/>
  <c r="AB1806" i="2"/>
  <c r="AC1806" i="2" s="1"/>
  <c r="AD1806" i="2" s="1"/>
  <c r="AE1806" i="2"/>
  <c r="AB1805" i="2"/>
  <c r="AC1805" i="2" s="1"/>
  <c r="AD1805" i="2" s="1"/>
  <c r="AE1805" i="2"/>
  <c r="AB1804" i="2"/>
  <c r="AC1804" i="2" s="1"/>
  <c r="AD1804" i="2" s="1"/>
  <c r="AE1804" i="2"/>
  <c r="AB1803" i="2"/>
  <c r="AC1803" i="2" s="1"/>
  <c r="AD1803" i="2" s="1"/>
  <c r="AE1803" i="2"/>
  <c r="AB1802" i="2"/>
  <c r="AC1802" i="2" s="1"/>
  <c r="AD1802" i="2" s="1"/>
  <c r="AE1802" i="2"/>
  <c r="AB1800" i="2"/>
  <c r="AC1800" i="2" s="1"/>
  <c r="AD1800" i="2" s="1"/>
  <c r="AE1800" i="2"/>
  <c r="AB1799" i="2"/>
  <c r="AC1799" i="2" s="1"/>
  <c r="AD1799" i="2" s="1"/>
  <c r="AE1799" i="2"/>
  <c r="AE1798" i="2"/>
  <c r="AB1798" i="2"/>
  <c r="AC1798" i="2" s="1"/>
  <c r="AD1798" i="2" s="1"/>
  <c r="AB1797" i="2"/>
  <c r="AC1797" i="2" s="1"/>
  <c r="AD1797" i="2" s="1"/>
  <c r="AE1797" i="2"/>
  <c r="AB1796" i="2"/>
  <c r="AC1796" i="2" s="1"/>
  <c r="AD1796" i="2" s="1"/>
  <c r="AE1796" i="2"/>
  <c r="AB1795" i="2"/>
  <c r="AC1795" i="2" s="1"/>
  <c r="AD1795" i="2" s="1"/>
  <c r="AE1795" i="2"/>
  <c r="AB1794" i="2"/>
  <c r="AC1794" i="2" s="1"/>
  <c r="AD1794" i="2" s="1"/>
  <c r="AE1794" i="2"/>
  <c r="AB1793" i="2"/>
  <c r="AC1793" i="2" s="1"/>
  <c r="AD1793" i="2" s="1"/>
  <c r="AE1793" i="2"/>
  <c r="AB1792" i="2"/>
  <c r="AC1792" i="2" s="1"/>
  <c r="AD1792" i="2" s="1"/>
  <c r="AE1792" i="2"/>
  <c r="AE1791" i="2"/>
  <c r="AB1791" i="2"/>
  <c r="AC1791" i="2" s="1"/>
  <c r="AD1791" i="2" s="1"/>
  <c r="AE1790" i="2"/>
  <c r="AB1790" i="2"/>
  <c r="AC1790" i="2" s="1"/>
  <c r="AD1790" i="2" s="1"/>
  <c r="AE1789" i="2"/>
  <c r="AB1789" i="2"/>
  <c r="AC1789" i="2" s="1"/>
  <c r="AD1789" i="2" s="1"/>
  <c r="AB1788" i="2"/>
  <c r="AC1788" i="2" s="1"/>
  <c r="AD1788" i="2" s="1"/>
  <c r="AE1788" i="2"/>
  <c r="AE1787" i="2"/>
  <c r="AB1787" i="2"/>
  <c r="AC1787" i="2" s="1"/>
  <c r="AD1787" i="2" s="1"/>
  <c r="AE1786" i="2"/>
  <c r="AB1786" i="2"/>
  <c r="AC1786" i="2" s="1"/>
  <c r="AD1786" i="2" s="1"/>
  <c r="AE1785" i="2"/>
  <c r="AB1785" i="2"/>
  <c r="AC1785" i="2" s="1"/>
  <c r="AD1785" i="2" s="1"/>
  <c r="AE1784" i="2"/>
  <c r="AB1784" i="2"/>
  <c r="AC1784" i="2" s="1"/>
  <c r="AD1784" i="2" s="1"/>
  <c r="AB1783" i="2"/>
  <c r="AC1783" i="2" s="1"/>
  <c r="AD1783" i="2" s="1"/>
  <c r="AE1783" i="2"/>
  <c r="AB1782" i="2"/>
  <c r="AC1782" i="2" s="1"/>
  <c r="AD1782" i="2" s="1"/>
  <c r="AE1782" i="2"/>
  <c r="AB1781" i="2"/>
  <c r="AC1781" i="2" s="1"/>
  <c r="AD1781" i="2" s="1"/>
  <c r="AE1781" i="2"/>
  <c r="AB1780" i="2"/>
  <c r="AC1780" i="2" s="1"/>
  <c r="AD1780" i="2" s="1"/>
  <c r="AE1780" i="2"/>
  <c r="AE1779" i="2"/>
  <c r="AB1779" i="2"/>
  <c r="AC1779" i="2" s="1"/>
  <c r="AD1779" i="2" s="1"/>
  <c r="AB1778" i="2"/>
  <c r="AC1778" i="2" s="1"/>
  <c r="AD1778" i="2" s="1"/>
  <c r="AE1778" i="2"/>
  <c r="AB1777" i="2"/>
  <c r="AC1777" i="2" s="1"/>
  <c r="AD1777" i="2" s="1"/>
  <c r="AE1777" i="2"/>
  <c r="AE1776" i="2"/>
  <c r="AB1776" i="2"/>
  <c r="AC1776" i="2" s="1"/>
  <c r="AD1776" i="2" s="1"/>
  <c r="AE1775" i="2"/>
  <c r="AB1775" i="2"/>
  <c r="AC1775" i="2" s="1"/>
  <c r="AD1775" i="2" s="1"/>
  <c r="AB1774" i="2"/>
  <c r="AC1774" i="2" s="1"/>
  <c r="AD1774" i="2" s="1"/>
  <c r="AE1774" i="2"/>
  <c r="AE1773" i="2"/>
  <c r="AB1773" i="2"/>
  <c r="AC1773" i="2" s="1"/>
  <c r="AD1773" i="2" s="1"/>
  <c r="AB1772" i="2"/>
  <c r="AC1772" i="2" s="1"/>
  <c r="AD1772" i="2" s="1"/>
  <c r="AE1772" i="2"/>
  <c r="AE1771" i="2"/>
  <c r="AB1771" i="2"/>
  <c r="AC1771" i="2" s="1"/>
  <c r="AD1771" i="2" s="1"/>
  <c r="AE1770" i="2"/>
  <c r="AB1770" i="2"/>
  <c r="AC1770" i="2" s="1"/>
  <c r="AD1770" i="2" s="1"/>
  <c r="AE1769" i="2"/>
  <c r="AB1769" i="2"/>
  <c r="AC1769" i="2" s="1"/>
  <c r="AD1769" i="2" s="1"/>
  <c r="AB1768" i="2"/>
  <c r="AC1768" i="2" s="1"/>
  <c r="AD1768" i="2" s="1"/>
  <c r="AE1768" i="2"/>
  <c r="AE1767" i="2"/>
  <c r="AB1767" i="2"/>
  <c r="AC1767" i="2" s="1"/>
  <c r="AD1767" i="2" s="1"/>
  <c r="AE1766" i="2"/>
  <c r="AB1766" i="2"/>
  <c r="AC1766" i="2" s="1"/>
  <c r="AD1766" i="2" s="1"/>
  <c r="AE1765" i="2"/>
  <c r="AB1765" i="2"/>
  <c r="AC1765" i="2" s="1"/>
  <c r="AD1765" i="2" s="1"/>
  <c r="AE1764" i="2"/>
  <c r="AB1764" i="2"/>
  <c r="AC1764" i="2" s="1"/>
  <c r="AD1764" i="2" s="1"/>
  <c r="AE1763" i="2"/>
  <c r="AB1763" i="2"/>
  <c r="AC1763" i="2" s="1"/>
  <c r="AD1763" i="2" s="1"/>
  <c r="AE1762" i="2"/>
  <c r="AB1762" i="2"/>
  <c r="AC1762" i="2" s="1"/>
  <c r="AD1762" i="2" s="1"/>
  <c r="AE1761" i="2"/>
  <c r="AB1761" i="2"/>
  <c r="AC1761" i="2" s="1"/>
  <c r="AD1761" i="2" s="1"/>
  <c r="AB1760" i="2"/>
  <c r="AC1760" i="2" s="1"/>
  <c r="AD1760" i="2" s="1"/>
  <c r="AE1760" i="2"/>
  <c r="AB1759" i="2"/>
  <c r="AC1759" i="2" s="1"/>
  <c r="AD1759" i="2" s="1"/>
  <c r="AE1759" i="2"/>
  <c r="AB1758" i="2"/>
  <c r="AC1758" i="2" s="1"/>
  <c r="AD1758" i="2" s="1"/>
  <c r="AE1758" i="2"/>
  <c r="AB1757" i="2"/>
  <c r="AC1757" i="2" s="1"/>
  <c r="AD1757" i="2" s="1"/>
  <c r="AE1757" i="2"/>
  <c r="AB1756" i="2"/>
  <c r="AC1756" i="2" s="1"/>
  <c r="AD1756" i="2" s="1"/>
  <c r="AE1756" i="2"/>
  <c r="AB1755" i="2"/>
  <c r="AC1755" i="2" s="1"/>
  <c r="AD1755" i="2" s="1"/>
  <c r="AE1755" i="2"/>
  <c r="AE1754" i="2"/>
  <c r="AB1754" i="2"/>
  <c r="AC1754" i="2" s="1"/>
  <c r="AD1754" i="2" s="1"/>
  <c r="AB1753" i="2"/>
  <c r="AC1753" i="2" s="1"/>
  <c r="AD1753" i="2" s="1"/>
  <c r="AE1753" i="2"/>
  <c r="AB1752" i="2"/>
  <c r="AC1752" i="2" s="1"/>
  <c r="AD1752" i="2" s="1"/>
  <c r="AE1752" i="2"/>
  <c r="AE1751" i="2"/>
  <c r="AB1751" i="2"/>
  <c r="AC1751" i="2" s="1"/>
  <c r="AD1751" i="2" s="1"/>
  <c r="AE1750" i="2"/>
  <c r="AB1750" i="2"/>
  <c r="AC1750" i="2" s="1"/>
  <c r="AD1750" i="2" s="1"/>
  <c r="AB1749" i="2"/>
  <c r="AC1749" i="2" s="1"/>
  <c r="AD1749" i="2" s="1"/>
  <c r="AE1749" i="2"/>
  <c r="AB1748" i="2"/>
  <c r="AC1748" i="2" s="1"/>
  <c r="AD1748" i="2" s="1"/>
  <c r="AE1748" i="2"/>
  <c r="AE1747" i="2"/>
  <c r="AB1747" i="2"/>
  <c r="AC1747" i="2" s="1"/>
  <c r="AD1747" i="2" s="1"/>
  <c r="AE1746" i="2"/>
  <c r="AB1746" i="2"/>
  <c r="AC1746" i="2" s="1"/>
  <c r="AD1746" i="2" s="1"/>
  <c r="AB1745" i="2"/>
  <c r="AC1745" i="2" s="1"/>
  <c r="AD1745" i="2" s="1"/>
  <c r="AE1745" i="2"/>
  <c r="AE1744" i="2"/>
  <c r="AB1744" i="2"/>
  <c r="AC1744" i="2" s="1"/>
  <c r="AD1744" i="2" s="1"/>
  <c r="AE1743" i="2"/>
  <c r="AB1743" i="2"/>
  <c r="AC1743" i="2" s="1"/>
  <c r="AD1743" i="2" s="1"/>
  <c r="AE1742" i="2"/>
  <c r="AB1742" i="2"/>
  <c r="AC1742" i="2" s="1"/>
  <c r="AD1742" i="2" s="1"/>
  <c r="AB1741" i="2"/>
  <c r="AC1741" i="2" s="1"/>
  <c r="AD1741" i="2" s="1"/>
  <c r="AE1741" i="2"/>
  <c r="AE1740" i="2"/>
  <c r="AB1740" i="2"/>
  <c r="AC1740" i="2" s="1"/>
  <c r="AD1740" i="2" s="1"/>
  <c r="AE1739" i="2"/>
  <c r="AB1739" i="2"/>
  <c r="AC1739" i="2" s="1"/>
  <c r="AD1739" i="2" s="1"/>
  <c r="AB1738" i="2"/>
  <c r="AC1738" i="2" s="1"/>
  <c r="AD1738" i="2" s="1"/>
  <c r="AE1738" i="2"/>
  <c r="AE1737" i="2"/>
  <c r="AB1737" i="2"/>
  <c r="AC1737" i="2" s="1"/>
  <c r="AD1737" i="2" s="1"/>
  <c r="AE1736" i="2"/>
  <c r="AB1736" i="2"/>
  <c r="AC1736" i="2" s="1"/>
  <c r="AD1736" i="2" s="1"/>
  <c r="AB1735" i="2"/>
  <c r="AC1735" i="2" s="1"/>
  <c r="AD1735" i="2" s="1"/>
  <c r="AE1735" i="2"/>
  <c r="AB1734" i="2"/>
  <c r="AC1734" i="2" s="1"/>
  <c r="AD1734" i="2" s="1"/>
  <c r="AE1734" i="2"/>
  <c r="AB1733" i="2"/>
  <c r="AC1733" i="2" s="1"/>
  <c r="AD1733" i="2" s="1"/>
  <c r="AE1733" i="2"/>
  <c r="AB1732" i="2"/>
  <c r="AC1732" i="2" s="1"/>
  <c r="AD1732" i="2" s="1"/>
  <c r="AE1732" i="2"/>
  <c r="AE1731" i="2"/>
  <c r="AB1731" i="2"/>
  <c r="AC1731" i="2" s="1"/>
  <c r="AD1731" i="2" s="1"/>
  <c r="AE1730" i="2"/>
  <c r="AB1730" i="2"/>
  <c r="AC1730" i="2" s="1"/>
  <c r="AD1730" i="2" s="1"/>
  <c r="AE1729" i="2"/>
  <c r="AB1729" i="2"/>
  <c r="AC1729" i="2" s="1"/>
  <c r="AD1729" i="2" s="1"/>
  <c r="AE1728" i="2"/>
  <c r="AB1728" i="2"/>
  <c r="AC1728" i="2" s="1"/>
  <c r="AD1728" i="2" s="1"/>
  <c r="AE1727" i="2"/>
  <c r="AB1727" i="2"/>
  <c r="AC1727" i="2" s="1"/>
  <c r="AD1727" i="2" s="1"/>
  <c r="AE1726" i="2"/>
  <c r="AB1726" i="2"/>
  <c r="AC1726" i="2" s="1"/>
  <c r="AD1726" i="2" s="1"/>
  <c r="AB1725" i="2"/>
  <c r="AC1725" i="2" s="1"/>
  <c r="AD1725" i="2" s="1"/>
  <c r="AE1725" i="2"/>
  <c r="AE1724" i="2"/>
  <c r="AB1724" i="2"/>
  <c r="AC1724" i="2" s="1"/>
  <c r="AD1724" i="2" s="1"/>
  <c r="AE1723" i="2"/>
  <c r="AB1723" i="2"/>
  <c r="AC1723" i="2" s="1"/>
  <c r="AD1723" i="2" s="1"/>
  <c r="AB1722" i="2"/>
  <c r="AC1722" i="2" s="1"/>
  <c r="AD1722" i="2" s="1"/>
  <c r="AE1722" i="2"/>
  <c r="AB1721" i="2"/>
  <c r="AC1721" i="2" s="1"/>
  <c r="AD1721" i="2" s="1"/>
  <c r="AE1721" i="2"/>
  <c r="AE1720" i="2"/>
  <c r="AB1720" i="2"/>
  <c r="AC1720" i="2" s="1"/>
  <c r="AD1720" i="2" s="1"/>
  <c r="AB1719" i="2"/>
  <c r="AC1719" i="2" s="1"/>
  <c r="AD1719" i="2" s="1"/>
  <c r="AE1719" i="2"/>
  <c r="AB1718" i="2"/>
  <c r="AC1718" i="2" s="1"/>
  <c r="AD1718" i="2" s="1"/>
  <c r="AE1718" i="2"/>
  <c r="AE1717" i="2"/>
  <c r="AB1717" i="2"/>
  <c r="AC1717" i="2" s="1"/>
  <c r="AD1717" i="2" s="1"/>
  <c r="AB1716" i="2"/>
  <c r="AC1716" i="2" s="1"/>
  <c r="AD1716" i="2" s="1"/>
  <c r="AE1716" i="2"/>
  <c r="AE1715" i="2"/>
  <c r="AB1715" i="2"/>
  <c r="AC1715" i="2" s="1"/>
  <c r="AD1715" i="2" s="1"/>
  <c r="AE1714" i="2"/>
  <c r="AB1714" i="2"/>
  <c r="AC1714" i="2" s="1"/>
  <c r="AD1714" i="2" s="1"/>
  <c r="AB1713" i="2"/>
  <c r="AC1713" i="2" s="1"/>
  <c r="AD1713" i="2" s="1"/>
  <c r="AE1713" i="2"/>
  <c r="AE1712" i="2"/>
  <c r="AB1712" i="2"/>
  <c r="AC1712" i="2" s="1"/>
  <c r="AD1712" i="2" s="1"/>
  <c r="AE1711" i="2"/>
  <c r="AB1711" i="2"/>
  <c r="AC1711" i="2" s="1"/>
  <c r="AD1711" i="2" s="1"/>
  <c r="AB1710" i="2"/>
  <c r="AC1710" i="2" s="1"/>
  <c r="AD1710" i="2" s="1"/>
  <c r="AE1710" i="2"/>
  <c r="AB1709" i="2"/>
  <c r="AC1709" i="2" s="1"/>
  <c r="AD1709" i="2" s="1"/>
  <c r="AE1709" i="2"/>
  <c r="AB1708" i="2"/>
  <c r="AC1708" i="2" s="1"/>
  <c r="AD1708" i="2" s="1"/>
  <c r="AE1708" i="2"/>
  <c r="AE1707" i="2"/>
  <c r="AB1707" i="2"/>
  <c r="AC1707" i="2" s="1"/>
  <c r="AD1707" i="2" s="1"/>
  <c r="AE1706" i="2"/>
  <c r="AB1706" i="2"/>
  <c r="AC1706" i="2" s="1"/>
  <c r="AD1706" i="2" s="1"/>
  <c r="AB1705" i="2"/>
  <c r="AC1705" i="2" s="1"/>
  <c r="AD1705" i="2" s="1"/>
  <c r="AE1705" i="2"/>
  <c r="AE1704" i="2"/>
  <c r="AB1704" i="2"/>
  <c r="AC1704" i="2" s="1"/>
  <c r="AD1704" i="2" s="1"/>
  <c r="AE1703" i="2"/>
  <c r="AB1703" i="2"/>
  <c r="AC1703" i="2" s="1"/>
  <c r="AD1703" i="2" s="1"/>
  <c r="AE1702" i="2"/>
  <c r="AB1702" i="2"/>
  <c r="AC1702" i="2" s="1"/>
  <c r="AD1702" i="2" s="1"/>
  <c r="AE1701" i="2"/>
  <c r="AB1701" i="2"/>
  <c r="AC1701" i="2" s="1"/>
  <c r="AD1701" i="2" s="1"/>
  <c r="AE1700" i="2"/>
  <c r="AB1700" i="2"/>
  <c r="AC1700" i="2" s="1"/>
  <c r="AD1700" i="2" s="1"/>
  <c r="AE1699" i="2"/>
  <c r="AB1699" i="2"/>
  <c r="AC1699" i="2" s="1"/>
  <c r="AD1699" i="2" s="1"/>
  <c r="AB1698" i="2"/>
  <c r="AC1698" i="2" s="1"/>
  <c r="AD1698" i="2" s="1"/>
  <c r="AE1698" i="2"/>
  <c r="AE1697" i="2"/>
  <c r="AB1697" i="2"/>
  <c r="AC1697" i="2" s="1"/>
  <c r="AD1697" i="2" s="1"/>
  <c r="AB1696" i="2"/>
  <c r="AC1696" i="2" s="1"/>
  <c r="AD1696" i="2" s="1"/>
  <c r="AE1696" i="2"/>
  <c r="AE1695" i="2"/>
  <c r="AB1695" i="2"/>
  <c r="AC1695" i="2" s="1"/>
  <c r="AD1695" i="2" s="1"/>
  <c r="AB1694" i="2"/>
  <c r="AC1694" i="2" s="1"/>
  <c r="AD1694" i="2" s="1"/>
  <c r="AE1694" i="2"/>
  <c r="AB1693" i="2"/>
  <c r="AC1693" i="2" s="1"/>
  <c r="AD1693" i="2" s="1"/>
  <c r="AE1693" i="2"/>
  <c r="AB1692" i="2"/>
  <c r="AC1692" i="2" s="1"/>
  <c r="AD1692" i="2" s="1"/>
  <c r="AE1692" i="2"/>
  <c r="AB1691" i="2"/>
  <c r="AC1691" i="2" s="1"/>
  <c r="AD1691" i="2" s="1"/>
  <c r="AE1691" i="2"/>
  <c r="AB1690" i="2"/>
  <c r="AC1690" i="2" s="1"/>
  <c r="AD1690" i="2" s="1"/>
  <c r="AE1690" i="2"/>
  <c r="AB1689" i="2"/>
  <c r="AC1689" i="2" s="1"/>
  <c r="AD1689" i="2" s="1"/>
  <c r="AE1689" i="2"/>
  <c r="AB1688" i="2"/>
  <c r="AC1688" i="2" s="1"/>
  <c r="AD1688" i="2" s="1"/>
  <c r="AE1688" i="2"/>
  <c r="AB1687" i="2"/>
  <c r="AC1687" i="2" s="1"/>
  <c r="AD1687" i="2" s="1"/>
  <c r="AE1687" i="2"/>
  <c r="AB1686" i="2"/>
  <c r="AC1686" i="2" s="1"/>
  <c r="AD1686" i="2" s="1"/>
  <c r="AE1686" i="2"/>
  <c r="AE1685" i="2"/>
  <c r="AB1685" i="2"/>
  <c r="AC1685" i="2" s="1"/>
  <c r="AD1685" i="2" s="1"/>
  <c r="AB1684" i="2"/>
  <c r="AC1684" i="2" s="1"/>
  <c r="AD1684" i="2" s="1"/>
  <c r="AE1684" i="2"/>
  <c r="AB1683" i="2"/>
  <c r="AC1683" i="2" s="1"/>
  <c r="AD1683" i="2" s="1"/>
  <c r="AE1683" i="2"/>
  <c r="AE1682" i="2"/>
  <c r="AB1682" i="2"/>
  <c r="AC1682" i="2" s="1"/>
  <c r="AD1682" i="2" s="1"/>
  <c r="AE1681" i="2"/>
  <c r="AB1681" i="2"/>
  <c r="AC1681" i="2" s="1"/>
  <c r="AD1681" i="2" s="1"/>
  <c r="AB1680" i="2"/>
  <c r="AC1680" i="2" s="1"/>
  <c r="AD1680" i="2" s="1"/>
  <c r="AE1680" i="2"/>
  <c r="AE1679" i="2"/>
  <c r="AB1679" i="2"/>
  <c r="AC1679" i="2" s="1"/>
  <c r="AD1679" i="2" s="1"/>
  <c r="AE1678" i="2"/>
  <c r="AB1678" i="2"/>
  <c r="AC1678" i="2" s="1"/>
  <c r="AD1678" i="2" s="1"/>
  <c r="AE1677" i="2"/>
  <c r="AB1677" i="2"/>
  <c r="AC1677" i="2" s="1"/>
  <c r="AD1677" i="2" s="1"/>
  <c r="AE1676" i="2"/>
  <c r="AB1676" i="2"/>
  <c r="AC1676" i="2" s="1"/>
  <c r="AD1676" i="2" s="1"/>
  <c r="AB1675" i="2"/>
  <c r="AC1675" i="2" s="1"/>
  <c r="AD1675" i="2" s="1"/>
  <c r="AE1675" i="2"/>
  <c r="AB1674" i="2"/>
  <c r="AC1674" i="2" s="1"/>
  <c r="AD1674" i="2" s="1"/>
  <c r="AE1674" i="2"/>
  <c r="AB1673" i="2"/>
  <c r="AC1673" i="2" s="1"/>
  <c r="AD1673" i="2" s="1"/>
  <c r="AE1673" i="2"/>
  <c r="AB1672" i="2"/>
  <c r="AC1672" i="2" s="1"/>
  <c r="AD1672" i="2" s="1"/>
  <c r="AE1672" i="2"/>
  <c r="AB1671" i="2"/>
  <c r="AC1671" i="2" s="1"/>
  <c r="AD1671" i="2" s="1"/>
  <c r="AE1671" i="2"/>
  <c r="AE1670" i="2"/>
  <c r="AB1670" i="2"/>
  <c r="AC1670" i="2" s="1"/>
  <c r="AD1670" i="2" s="1"/>
  <c r="AB1669" i="2"/>
  <c r="AC1669" i="2" s="1"/>
  <c r="AD1669" i="2" s="1"/>
  <c r="AE1669" i="2"/>
  <c r="AB1668" i="2"/>
  <c r="AC1668" i="2" s="1"/>
  <c r="AD1668" i="2" s="1"/>
  <c r="AE1668" i="2"/>
  <c r="AB1667" i="2"/>
  <c r="AC1667" i="2" s="1"/>
  <c r="AD1667" i="2" s="1"/>
  <c r="AE1667" i="2"/>
  <c r="AB1666" i="2"/>
  <c r="AC1666" i="2" s="1"/>
  <c r="AD1666" i="2" s="1"/>
  <c r="AE1666" i="2"/>
  <c r="AB1665" i="2"/>
  <c r="AC1665" i="2" s="1"/>
  <c r="AD1665" i="2" s="1"/>
  <c r="AE1665" i="2"/>
  <c r="AB1664" i="2"/>
  <c r="AC1664" i="2" s="1"/>
  <c r="AD1664" i="2" s="1"/>
  <c r="AE1664" i="2"/>
  <c r="AB1663" i="2"/>
  <c r="AC1663" i="2" s="1"/>
  <c r="AD1663" i="2" s="1"/>
  <c r="AE1663" i="2"/>
  <c r="AB1662" i="2"/>
  <c r="AC1662" i="2" s="1"/>
  <c r="AD1662" i="2" s="1"/>
  <c r="AE1662" i="2"/>
  <c r="AB1661" i="2"/>
  <c r="AC1661" i="2" s="1"/>
  <c r="AD1661" i="2" s="1"/>
  <c r="AE1661" i="2"/>
  <c r="AE1660" i="2"/>
  <c r="AB1660" i="2"/>
  <c r="AC1660" i="2" s="1"/>
  <c r="AD1660" i="2" s="1"/>
  <c r="AB1659" i="2"/>
  <c r="AC1659" i="2" s="1"/>
  <c r="AD1659" i="2" s="1"/>
  <c r="AE1659" i="2"/>
  <c r="AB1658" i="2"/>
  <c r="AC1658" i="2" s="1"/>
  <c r="AD1658" i="2" s="1"/>
  <c r="AE1658" i="2"/>
  <c r="AB1657" i="2"/>
  <c r="AC1657" i="2" s="1"/>
  <c r="AD1657" i="2" s="1"/>
  <c r="AE1657" i="2"/>
  <c r="AB1656" i="2"/>
  <c r="AC1656" i="2" s="1"/>
  <c r="AD1656" i="2" s="1"/>
  <c r="AE1656" i="2"/>
  <c r="AB1655" i="2"/>
  <c r="AC1655" i="2" s="1"/>
  <c r="AD1655" i="2" s="1"/>
  <c r="AE1655" i="2"/>
  <c r="AE1654" i="2"/>
  <c r="AB1654" i="2"/>
  <c r="AC1654" i="2" s="1"/>
  <c r="AD1654" i="2" s="1"/>
  <c r="AB1653" i="2"/>
  <c r="AC1653" i="2" s="1"/>
  <c r="AD1653" i="2" s="1"/>
  <c r="AE1653" i="2"/>
  <c r="AE1652" i="2"/>
  <c r="AB1652" i="2"/>
  <c r="AC1652" i="2" s="1"/>
  <c r="AD1652" i="2" s="1"/>
  <c r="AE1651" i="2"/>
  <c r="AB1651" i="2"/>
  <c r="AC1651" i="2" s="1"/>
  <c r="AD1651" i="2" s="1"/>
  <c r="AE1650" i="2"/>
  <c r="AB1650" i="2"/>
  <c r="AC1650" i="2" s="1"/>
  <c r="AD1650" i="2" s="1"/>
  <c r="AE1649" i="2"/>
  <c r="AB1649" i="2"/>
  <c r="AC1649" i="2" s="1"/>
  <c r="AD1649" i="2" s="1"/>
  <c r="AE1648" i="2"/>
  <c r="AB1648" i="2"/>
  <c r="AC1648" i="2" s="1"/>
  <c r="AD1648" i="2" s="1"/>
  <c r="AB1647" i="2"/>
  <c r="AC1647" i="2" s="1"/>
  <c r="AD1647" i="2" s="1"/>
  <c r="AE1647" i="2"/>
  <c r="AE1646" i="2"/>
  <c r="AB1646" i="2"/>
  <c r="AC1646" i="2" s="1"/>
  <c r="AD1646" i="2" s="1"/>
  <c r="AE1645" i="2"/>
  <c r="AB1645" i="2"/>
  <c r="AC1645" i="2" s="1"/>
  <c r="AD1645" i="2" s="1"/>
  <c r="AE1644" i="2"/>
  <c r="AB1644" i="2"/>
  <c r="AC1644" i="2" s="1"/>
  <c r="AD1644" i="2" s="1"/>
  <c r="AB1643" i="2"/>
  <c r="AC1643" i="2" s="1"/>
  <c r="AD1643" i="2" s="1"/>
  <c r="AE1643" i="2"/>
  <c r="AB1642" i="2"/>
  <c r="AC1642" i="2" s="1"/>
  <c r="AD1642" i="2" s="1"/>
  <c r="AE1642" i="2"/>
  <c r="AE1641" i="2"/>
  <c r="AB1641" i="2"/>
  <c r="AC1641" i="2" s="1"/>
  <c r="AD1641" i="2" s="1"/>
  <c r="AE1640" i="2"/>
  <c r="AB1640" i="2"/>
  <c r="AC1640" i="2" s="1"/>
  <c r="AD1640" i="2" s="1"/>
  <c r="AE1639" i="2"/>
  <c r="AB1639" i="2"/>
  <c r="AC1639" i="2" s="1"/>
  <c r="AD1639" i="2" s="1"/>
  <c r="AE1638" i="2"/>
  <c r="AB1638" i="2"/>
  <c r="AC1638" i="2" s="1"/>
  <c r="AD1638" i="2" s="1"/>
  <c r="AE1637" i="2"/>
  <c r="AB1637" i="2"/>
  <c r="AC1637" i="2" s="1"/>
  <c r="AD1637" i="2" s="1"/>
  <c r="AE1636" i="2"/>
  <c r="AB1636" i="2"/>
  <c r="AC1636" i="2" s="1"/>
  <c r="AD1636" i="2" s="1"/>
  <c r="AE1635" i="2"/>
  <c r="AB1635" i="2"/>
  <c r="AC1635" i="2" s="1"/>
  <c r="AD1635" i="2" s="1"/>
  <c r="AE1634" i="2"/>
  <c r="AB1634" i="2"/>
  <c r="AC1634" i="2" s="1"/>
  <c r="AD1634" i="2" s="1"/>
  <c r="AE1633" i="2"/>
  <c r="AB1633" i="2"/>
  <c r="AC1633" i="2" s="1"/>
  <c r="AD1633" i="2" s="1"/>
  <c r="AB1632" i="2"/>
  <c r="AC1632" i="2" s="1"/>
  <c r="AD1632" i="2" s="1"/>
  <c r="AE1632" i="2"/>
  <c r="AB1631" i="2"/>
  <c r="AC1631" i="2" s="1"/>
  <c r="AD1631" i="2" s="1"/>
  <c r="AE1631" i="2"/>
  <c r="AB1630" i="2"/>
  <c r="AC1630" i="2" s="1"/>
  <c r="AD1630" i="2" s="1"/>
  <c r="AE1630" i="2"/>
  <c r="AB1629" i="2"/>
  <c r="AC1629" i="2" s="1"/>
  <c r="AD1629" i="2" s="1"/>
  <c r="AE1629" i="2"/>
  <c r="AB1628" i="2"/>
  <c r="AC1628" i="2" s="1"/>
  <c r="AD1628" i="2" s="1"/>
  <c r="AE1628" i="2"/>
  <c r="AB1627" i="2"/>
  <c r="AC1627" i="2" s="1"/>
  <c r="AD1627" i="2" s="1"/>
  <c r="AE1627" i="2"/>
  <c r="AE1626" i="2"/>
  <c r="AB1626" i="2"/>
  <c r="AC1626" i="2" s="1"/>
  <c r="AD1626" i="2" s="1"/>
  <c r="AB1625" i="2"/>
  <c r="AC1625" i="2" s="1"/>
  <c r="AD1625" i="2" s="1"/>
  <c r="AE1625" i="2"/>
  <c r="AB1624" i="2"/>
  <c r="AC1624" i="2" s="1"/>
  <c r="AD1624" i="2" s="1"/>
  <c r="AE1624" i="2"/>
  <c r="AB1623" i="2"/>
  <c r="AC1623" i="2" s="1"/>
  <c r="AD1623" i="2" s="1"/>
  <c r="AE1623" i="2"/>
  <c r="AB1622" i="2"/>
  <c r="AC1622" i="2" s="1"/>
  <c r="AD1622" i="2" s="1"/>
  <c r="AE1622" i="2"/>
  <c r="AB1621" i="2"/>
  <c r="AC1621" i="2" s="1"/>
  <c r="AD1621" i="2" s="1"/>
  <c r="AE1621" i="2"/>
  <c r="AB1620" i="2"/>
  <c r="AC1620" i="2" s="1"/>
  <c r="AD1620" i="2" s="1"/>
  <c r="AE1620" i="2"/>
  <c r="AE1619" i="2"/>
  <c r="AB1619" i="2"/>
  <c r="AC1619" i="2" s="1"/>
  <c r="AD1619" i="2" s="1"/>
  <c r="AE1618" i="2"/>
  <c r="AB1618" i="2"/>
  <c r="AC1618" i="2" s="1"/>
  <c r="AD1618" i="2" s="1"/>
  <c r="AB1617" i="2"/>
  <c r="AC1617" i="2" s="1"/>
  <c r="AD1617" i="2" s="1"/>
  <c r="AE1617" i="2"/>
  <c r="AB1616" i="2"/>
  <c r="AC1616" i="2" s="1"/>
  <c r="AD1616" i="2" s="1"/>
  <c r="AE1616" i="2"/>
  <c r="AE1615" i="2"/>
  <c r="AB1615" i="2"/>
  <c r="AC1615" i="2" s="1"/>
  <c r="AD1615" i="2" s="1"/>
  <c r="AB1614" i="2"/>
  <c r="AC1614" i="2" s="1"/>
  <c r="AD1614" i="2" s="1"/>
  <c r="AE1614" i="2"/>
  <c r="AE1613" i="2"/>
  <c r="AB1613" i="2"/>
  <c r="AC1613" i="2" s="1"/>
  <c r="AD1613" i="2" s="1"/>
  <c r="AE1612" i="2"/>
  <c r="AB1612" i="2"/>
  <c r="AC1612" i="2" s="1"/>
  <c r="AD1612" i="2" s="1"/>
  <c r="AB1611" i="2"/>
  <c r="AC1611" i="2" s="1"/>
  <c r="AD1611" i="2" s="1"/>
  <c r="AE1611" i="2"/>
  <c r="AB1610" i="2"/>
  <c r="AC1610" i="2" s="1"/>
  <c r="AD1610" i="2" s="1"/>
  <c r="AE1610" i="2"/>
  <c r="AE1609" i="2"/>
  <c r="AB1609" i="2"/>
  <c r="AC1609" i="2" s="1"/>
  <c r="AD1609" i="2" s="1"/>
  <c r="AE1608" i="2"/>
  <c r="AB1608" i="2"/>
  <c r="AC1608" i="2" s="1"/>
  <c r="AD1608" i="2" s="1"/>
  <c r="AE1607" i="2"/>
  <c r="AB1607" i="2"/>
  <c r="AC1607" i="2" s="1"/>
  <c r="AD1607" i="2" s="1"/>
  <c r="AB1606" i="2"/>
  <c r="AC1606" i="2" s="1"/>
  <c r="AD1606" i="2" s="1"/>
  <c r="AE1606" i="2"/>
  <c r="AB1605" i="2"/>
  <c r="AC1605" i="2" s="1"/>
  <c r="AD1605" i="2" s="1"/>
  <c r="AE1605" i="2"/>
  <c r="AB1604" i="2"/>
  <c r="AC1604" i="2" s="1"/>
  <c r="AD1604" i="2" s="1"/>
  <c r="AE1604" i="2"/>
  <c r="AB1603" i="2"/>
  <c r="AC1603" i="2" s="1"/>
  <c r="AD1603" i="2" s="1"/>
  <c r="AE1603" i="2"/>
  <c r="AB1602" i="2"/>
  <c r="AC1602" i="2" s="1"/>
  <c r="AD1602" i="2" s="1"/>
  <c r="AE1602" i="2"/>
  <c r="AB1601" i="2"/>
  <c r="AC1601" i="2" s="1"/>
  <c r="AD1601" i="2" s="1"/>
  <c r="AE1601" i="2"/>
  <c r="AB1600" i="2"/>
  <c r="AC1600" i="2" s="1"/>
  <c r="AD1600" i="2" s="1"/>
  <c r="AE1600" i="2"/>
  <c r="AE1599" i="2"/>
  <c r="AB1599" i="2"/>
  <c r="AC1599" i="2" s="1"/>
  <c r="AD1599" i="2" s="1"/>
  <c r="AE1598" i="2"/>
  <c r="AB1598" i="2"/>
  <c r="AC1598" i="2" s="1"/>
  <c r="AD1598" i="2" s="1"/>
  <c r="AE1597" i="2"/>
  <c r="AB1597" i="2"/>
  <c r="AC1597" i="2" s="1"/>
  <c r="AD1597" i="2" s="1"/>
  <c r="AB1596" i="2"/>
  <c r="AC1596" i="2" s="1"/>
  <c r="AD1596" i="2" s="1"/>
  <c r="AE1596" i="2"/>
  <c r="AB1595" i="2"/>
  <c r="AC1595" i="2" s="1"/>
  <c r="AD1595" i="2" s="1"/>
  <c r="AE1595" i="2"/>
  <c r="AB1594" i="2"/>
  <c r="AC1594" i="2" s="1"/>
  <c r="AD1594" i="2" s="1"/>
  <c r="AE1594" i="2"/>
  <c r="AB1593" i="2"/>
  <c r="AC1593" i="2" s="1"/>
  <c r="AD1593" i="2" s="1"/>
  <c r="AE1593" i="2"/>
  <c r="AB1592" i="2"/>
  <c r="AC1592" i="2" s="1"/>
  <c r="AD1592" i="2" s="1"/>
  <c r="AE1592" i="2"/>
  <c r="AE1591" i="2"/>
  <c r="AB1591" i="2"/>
  <c r="AC1591" i="2" s="1"/>
  <c r="AD1591" i="2" s="1"/>
  <c r="AE1590" i="2"/>
  <c r="AB1590" i="2"/>
  <c r="AC1590" i="2" s="1"/>
  <c r="AD1590" i="2" s="1"/>
  <c r="AB1589" i="2"/>
  <c r="AC1589" i="2" s="1"/>
  <c r="AD1589" i="2" s="1"/>
  <c r="AE1589" i="2"/>
  <c r="AB1588" i="2"/>
  <c r="AC1588" i="2" s="1"/>
  <c r="AD1588" i="2" s="1"/>
  <c r="AE1588" i="2"/>
  <c r="AB1587" i="2"/>
  <c r="AC1587" i="2" s="1"/>
  <c r="AD1587" i="2" s="1"/>
  <c r="AE1587" i="2"/>
  <c r="AE1586" i="2"/>
  <c r="AB1586" i="2"/>
  <c r="AC1586" i="2" s="1"/>
  <c r="AD1586" i="2" s="1"/>
  <c r="AB1585" i="2"/>
  <c r="AC1585" i="2" s="1"/>
  <c r="AD1585" i="2" s="1"/>
  <c r="AE1585" i="2"/>
  <c r="AB1584" i="2"/>
  <c r="AC1584" i="2" s="1"/>
  <c r="AD1584" i="2" s="1"/>
  <c r="AE1584" i="2"/>
  <c r="AE1583" i="2"/>
  <c r="AB1583" i="2"/>
  <c r="AC1583" i="2" s="1"/>
  <c r="AD1583" i="2" s="1"/>
  <c r="AE1582" i="2"/>
  <c r="AB1582" i="2"/>
  <c r="AC1582" i="2" s="1"/>
  <c r="AD1582" i="2" s="1"/>
  <c r="AE1581" i="2"/>
  <c r="AB1581" i="2"/>
  <c r="AC1581" i="2" s="1"/>
  <c r="AD1581" i="2" s="1"/>
  <c r="AE1580" i="2"/>
  <c r="AB1580" i="2"/>
  <c r="AC1580" i="2" s="1"/>
  <c r="AD1580" i="2" s="1"/>
  <c r="AB1579" i="2"/>
  <c r="AC1579" i="2" s="1"/>
  <c r="AD1579" i="2" s="1"/>
  <c r="AE1579" i="2"/>
  <c r="AB1578" i="2"/>
  <c r="AC1578" i="2" s="1"/>
  <c r="AD1578" i="2" s="1"/>
  <c r="AE1578" i="2"/>
  <c r="AB1577" i="2"/>
  <c r="AC1577" i="2" s="1"/>
  <c r="AD1577" i="2" s="1"/>
  <c r="AE1577" i="2"/>
  <c r="AB1576" i="2"/>
  <c r="AC1576" i="2" s="1"/>
  <c r="AD1576" i="2" s="1"/>
  <c r="AE1576" i="2"/>
  <c r="AE1575" i="2"/>
  <c r="AB1575" i="2"/>
  <c r="AC1575" i="2" s="1"/>
  <c r="AD1575" i="2" s="1"/>
  <c r="AB1574" i="2"/>
  <c r="AC1574" i="2" s="1"/>
  <c r="AD1574" i="2" s="1"/>
  <c r="AE1574" i="2"/>
  <c r="AB1573" i="2"/>
  <c r="AC1573" i="2" s="1"/>
  <c r="AD1573" i="2" s="1"/>
  <c r="AE1573" i="2"/>
  <c r="AE1572" i="2"/>
  <c r="AB1572" i="2"/>
  <c r="AC1572" i="2" s="1"/>
  <c r="AD1572" i="2" s="1"/>
  <c r="AE1571" i="2"/>
  <c r="AB1571" i="2"/>
  <c r="AC1571" i="2" s="1"/>
  <c r="AD1571" i="2" s="1"/>
  <c r="AE1570" i="2"/>
  <c r="AB1570" i="2"/>
  <c r="AC1570" i="2" s="1"/>
  <c r="AD1570" i="2" s="1"/>
  <c r="AE1569" i="2"/>
  <c r="AB1569" i="2"/>
  <c r="AC1569" i="2" s="1"/>
  <c r="AD1569" i="2" s="1"/>
  <c r="AE1568" i="2"/>
  <c r="AB1568" i="2"/>
  <c r="AC1568" i="2" s="1"/>
  <c r="AD1568" i="2" s="1"/>
  <c r="AE1567" i="2"/>
  <c r="AB1567" i="2"/>
  <c r="AC1567" i="2" s="1"/>
  <c r="AD1567" i="2" s="1"/>
  <c r="AE1566" i="2"/>
  <c r="AB1566" i="2"/>
  <c r="AC1566" i="2" s="1"/>
  <c r="AD1566" i="2" s="1"/>
  <c r="AE1565" i="2"/>
  <c r="AB1565" i="2"/>
  <c r="AC1565" i="2" s="1"/>
  <c r="AD1565" i="2" s="1"/>
  <c r="AE1564" i="2"/>
  <c r="AB1564" i="2"/>
  <c r="AC1564" i="2" s="1"/>
  <c r="AD1564" i="2" s="1"/>
  <c r="AE1563" i="2"/>
  <c r="AB1563" i="2"/>
  <c r="AC1563" i="2" s="1"/>
  <c r="AD1563" i="2" s="1"/>
  <c r="AB1562" i="2"/>
  <c r="AC1562" i="2" s="1"/>
  <c r="AD1562" i="2" s="1"/>
  <c r="AE1562" i="2"/>
  <c r="AB1561" i="2"/>
  <c r="AC1561" i="2" s="1"/>
  <c r="AD1561" i="2" s="1"/>
  <c r="AE1561" i="2"/>
  <c r="AE1560" i="2"/>
  <c r="AB1560" i="2"/>
  <c r="AC1560" i="2" s="1"/>
  <c r="AD1560" i="2" s="1"/>
  <c r="AB1559" i="2"/>
  <c r="AC1559" i="2" s="1"/>
  <c r="AD1559" i="2" s="1"/>
  <c r="AE1559" i="2"/>
  <c r="AB1558" i="2"/>
  <c r="AC1558" i="2" s="1"/>
  <c r="AD1558" i="2" s="1"/>
  <c r="AE1558" i="2"/>
  <c r="AB1557" i="2"/>
  <c r="AC1557" i="2" s="1"/>
  <c r="AD1557" i="2" s="1"/>
  <c r="AE1557" i="2"/>
  <c r="AE1556" i="2"/>
  <c r="AB1556" i="2"/>
  <c r="AC1556" i="2" s="1"/>
  <c r="AD1556" i="2" s="1"/>
  <c r="AB1555" i="2"/>
  <c r="AC1555" i="2" s="1"/>
  <c r="AD1555" i="2" s="1"/>
  <c r="AE1555" i="2"/>
  <c r="AE1554" i="2"/>
  <c r="AB1554" i="2"/>
  <c r="AC1554" i="2" s="1"/>
  <c r="AD1554" i="2" s="1"/>
  <c r="AB1553" i="2"/>
  <c r="AC1553" i="2" s="1"/>
  <c r="AD1553" i="2" s="1"/>
  <c r="AE1553" i="2"/>
  <c r="AB1552" i="2"/>
  <c r="AC1552" i="2" s="1"/>
  <c r="AD1552" i="2" s="1"/>
  <c r="AE1552" i="2"/>
  <c r="AE1551" i="2"/>
  <c r="AB1551" i="2"/>
  <c r="AC1551" i="2" s="1"/>
  <c r="AD1551" i="2" s="1"/>
  <c r="AE1550" i="2"/>
  <c r="AB1550" i="2"/>
  <c r="AC1550" i="2" s="1"/>
  <c r="AD1550" i="2" s="1"/>
  <c r="AE1549" i="2"/>
  <c r="AB1549" i="2"/>
  <c r="AC1549" i="2" s="1"/>
  <c r="AD1549" i="2" s="1"/>
  <c r="AB1548" i="2"/>
  <c r="AC1548" i="2" s="1"/>
  <c r="AD1548" i="2" s="1"/>
  <c r="AE1548" i="2"/>
  <c r="AE1547" i="2"/>
  <c r="AB1547" i="2"/>
  <c r="AC1547" i="2" s="1"/>
  <c r="AD1547" i="2" s="1"/>
  <c r="AB1546" i="2"/>
  <c r="AC1546" i="2" s="1"/>
  <c r="AD1546" i="2" s="1"/>
  <c r="AE1546" i="2"/>
  <c r="AB1545" i="2"/>
  <c r="AC1545" i="2" s="1"/>
  <c r="AD1545" i="2" s="1"/>
  <c r="AE1545" i="2"/>
  <c r="AE1543" i="2"/>
  <c r="AB1543" i="2"/>
  <c r="AC1543" i="2" s="1"/>
  <c r="AD1543" i="2" s="1"/>
  <c r="AE1542" i="2"/>
  <c r="AB1542" i="2"/>
  <c r="AC1542" i="2" s="1"/>
  <c r="AD1542" i="2" s="1"/>
  <c r="AE1541" i="2"/>
  <c r="AB1541" i="2"/>
  <c r="AC1541" i="2" s="1"/>
  <c r="AD1541" i="2" s="1"/>
  <c r="AE1540" i="2"/>
  <c r="AB1540" i="2"/>
  <c r="AC1540" i="2" s="1"/>
  <c r="AD1540" i="2" s="1"/>
  <c r="AE1539" i="2"/>
  <c r="AB1539" i="2"/>
  <c r="AC1539" i="2" s="1"/>
  <c r="AD1539" i="2" s="1"/>
  <c r="AE1538" i="2"/>
  <c r="AB1538" i="2"/>
  <c r="AC1538" i="2" s="1"/>
  <c r="AD1538" i="2" s="1"/>
  <c r="AE1537" i="2"/>
  <c r="AB1537" i="2"/>
  <c r="AC1537" i="2" s="1"/>
  <c r="AD1537" i="2" s="1"/>
  <c r="AB1536" i="2"/>
  <c r="AC1536" i="2" s="1"/>
  <c r="AD1536" i="2" s="1"/>
  <c r="AE1536" i="2"/>
  <c r="AE1535" i="2"/>
  <c r="AB1535" i="2"/>
  <c r="AC1535" i="2" s="1"/>
  <c r="AD1535" i="2" s="1"/>
  <c r="AE1534" i="2"/>
  <c r="AB1534" i="2"/>
  <c r="AC1534" i="2" s="1"/>
  <c r="AD1534" i="2" s="1"/>
  <c r="AB1533" i="2"/>
  <c r="AC1533" i="2" s="1"/>
  <c r="AD1533" i="2" s="1"/>
  <c r="AE1533" i="2"/>
  <c r="AE1532" i="2"/>
  <c r="AB1532" i="2"/>
  <c r="AC1532" i="2" s="1"/>
  <c r="AD1532" i="2" s="1"/>
  <c r="AE1531" i="2"/>
  <c r="AB1531" i="2"/>
  <c r="AC1531" i="2" s="1"/>
  <c r="AD1531" i="2" s="1"/>
  <c r="AE1530" i="2"/>
  <c r="AB1530" i="2"/>
  <c r="AC1530" i="2" s="1"/>
  <c r="AD1530" i="2" s="1"/>
  <c r="AB1529" i="2"/>
  <c r="AC1529" i="2" s="1"/>
  <c r="AD1529" i="2" s="1"/>
  <c r="AE1529" i="2"/>
  <c r="AE1528" i="2"/>
  <c r="AB1528" i="2"/>
  <c r="AC1528" i="2" s="1"/>
  <c r="AD1528" i="2" s="1"/>
  <c r="AE1527" i="2"/>
  <c r="AB1527" i="2"/>
  <c r="AC1527" i="2" s="1"/>
  <c r="AD1527" i="2" s="1"/>
  <c r="AB1526" i="2"/>
  <c r="AC1526" i="2" s="1"/>
  <c r="AD1526" i="2" s="1"/>
  <c r="AE1526" i="2"/>
  <c r="AB1525" i="2"/>
  <c r="AC1525" i="2" s="1"/>
  <c r="AD1525" i="2" s="1"/>
  <c r="AE1525" i="2"/>
  <c r="AE1524" i="2"/>
  <c r="AB1524" i="2"/>
  <c r="AC1524" i="2" s="1"/>
  <c r="AD1524" i="2" s="1"/>
  <c r="AE1523" i="2"/>
  <c r="AB1523" i="2"/>
  <c r="AC1523" i="2" s="1"/>
  <c r="AD1523" i="2" s="1"/>
  <c r="AB1522" i="2"/>
  <c r="AC1522" i="2" s="1"/>
  <c r="AD1522" i="2" s="1"/>
  <c r="AE1522" i="2"/>
  <c r="AE1521" i="2"/>
  <c r="AB1521" i="2"/>
  <c r="AC1521" i="2" s="1"/>
  <c r="AD1521" i="2" s="1"/>
  <c r="AE1520" i="2"/>
  <c r="AB1520" i="2"/>
  <c r="AC1520" i="2" s="1"/>
  <c r="AD1520" i="2" s="1"/>
  <c r="AE1519" i="2"/>
  <c r="AB1519" i="2"/>
  <c r="AC1519" i="2" s="1"/>
  <c r="AD1519" i="2" s="1"/>
  <c r="AE1518" i="2"/>
  <c r="AB1518" i="2"/>
  <c r="AC1518" i="2" s="1"/>
  <c r="AD1518" i="2" s="1"/>
  <c r="AE1517" i="2"/>
  <c r="AB1517" i="2"/>
  <c r="AC1517" i="2" s="1"/>
  <c r="AD1517" i="2" s="1"/>
  <c r="AE1516" i="2"/>
  <c r="AB1516" i="2"/>
  <c r="AC1516" i="2" s="1"/>
  <c r="AD1516" i="2" s="1"/>
  <c r="AE1515" i="2"/>
  <c r="AB1515" i="2"/>
  <c r="AC1515" i="2" s="1"/>
  <c r="AD1515" i="2" s="1"/>
  <c r="AE1514" i="2"/>
  <c r="AB1514" i="2"/>
  <c r="AC1514" i="2" s="1"/>
  <c r="AD1514" i="2" s="1"/>
  <c r="AE1513" i="2"/>
  <c r="AB1513" i="2"/>
  <c r="AC1513" i="2" s="1"/>
  <c r="AD1513" i="2" s="1"/>
  <c r="AB1512" i="2"/>
  <c r="AC1512" i="2" s="1"/>
  <c r="AD1512" i="2" s="1"/>
  <c r="AE1512" i="2"/>
  <c r="AB1511" i="2"/>
  <c r="AC1511" i="2" s="1"/>
  <c r="AD1511" i="2" s="1"/>
  <c r="AE1511" i="2"/>
  <c r="AE1510" i="2"/>
  <c r="AB1510" i="2"/>
  <c r="AC1510" i="2" s="1"/>
  <c r="AD1510" i="2" s="1"/>
  <c r="AE1509" i="2"/>
  <c r="AB1509" i="2"/>
  <c r="AC1509" i="2" s="1"/>
  <c r="AD1509" i="2" s="1"/>
  <c r="AB1508" i="2"/>
  <c r="AC1508" i="2" s="1"/>
  <c r="AD1508" i="2" s="1"/>
  <c r="AE1508" i="2"/>
  <c r="AE1507" i="2"/>
  <c r="AB1507" i="2"/>
  <c r="AC1507" i="2" s="1"/>
  <c r="AD1507" i="2" s="1"/>
  <c r="AB1506" i="2"/>
  <c r="AC1506" i="2" s="1"/>
  <c r="AD1506" i="2" s="1"/>
  <c r="AE1506" i="2"/>
  <c r="AE1505" i="2"/>
  <c r="AB1505" i="2"/>
  <c r="AC1505" i="2" s="1"/>
  <c r="AD1505" i="2" s="1"/>
  <c r="AE1504" i="2"/>
  <c r="AB1504" i="2"/>
  <c r="AC1504" i="2" s="1"/>
  <c r="AD1504" i="2" s="1"/>
  <c r="AB1503" i="2"/>
  <c r="AC1503" i="2" s="1"/>
  <c r="AD1503" i="2" s="1"/>
  <c r="AE1503" i="2"/>
  <c r="AE1502" i="2"/>
  <c r="AB1502" i="2"/>
  <c r="AC1502" i="2" s="1"/>
  <c r="AD1502" i="2" s="1"/>
  <c r="AE1501" i="2"/>
  <c r="AB1501" i="2"/>
  <c r="AC1501" i="2" s="1"/>
  <c r="AD1501" i="2" s="1"/>
  <c r="AB1500" i="2"/>
  <c r="AC1500" i="2" s="1"/>
  <c r="AD1500" i="2" s="1"/>
  <c r="AE1500" i="2"/>
  <c r="AE1499" i="2"/>
  <c r="AB1499" i="2"/>
  <c r="AC1499" i="2" s="1"/>
  <c r="AD1499" i="2" s="1"/>
  <c r="AE1498" i="2"/>
  <c r="AB1498" i="2"/>
  <c r="AC1498" i="2" s="1"/>
  <c r="AD1498" i="2" s="1"/>
  <c r="AE1497" i="2"/>
  <c r="AB1497" i="2"/>
  <c r="AC1497" i="2" s="1"/>
  <c r="AD1497" i="2" s="1"/>
  <c r="AE1496" i="2"/>
  <c r="AB1496" i="2"/>
  <c r="AC1496" i="2" s="1"/>
  <c r="AD1496" i="2" s="1"/>
  <c r="AE1495" i="2"/>
  <c r="AB1495" i="2"/>
  <c r="AC1495" i="2" s="1"/>
  <c r="AD1495" i="2" s="1"/>
  <c r="AE1494" i="2"/>
  <c r="AB1494" i="2"/>
  <c r="AC1494" i="2" s="1"/>
  <c r="AD1494" i="2" s="1"/>
  <c r="AE1493" i="2"/>
  <c r="AB1493" i="2"/>
  <c r="AC1493" i="2" s="1"/>
  <c r="AD1493" i="2" s="1"/>
  <c r="AE1492" i="2"/>
  <c r="AB1492" i="2"/>
  <c r="AC1492" i="2" s="1"/>
  <c r="AD1492" i="2" s="1"/>
  <c r="AE1491" i="2"/>
  <c r="AB1491" i="2"/>
  <c r="AC1491" i="2" s="1"/>
  <c r="AD1491" i="2" s="1"/>
  <c r="AE1490" i="2"/>
  <c r="AB1490" i="2"/>
  <c r="AC1490" i="2" s="1"/>
  <c r="AD1490" i="2" s="1"/>
  <c r="AE1489" i="2"/>
  <c r="AB1489" i="2"/>
  <c r="AC1489" i="2" s="1"/>
  <c r="AD1489" i="2" s="1"/>
  <c r="AB1488" i="2"/>
  <c r="AC1488" i="2" s="1"/>
  <c r="AD1488" i="2" s="1"/>
  <c r="AE1488" i="2"/>
  <c r="AE1487" i="2"/>
  <c r="AB1487" i="2"/>
  <c r="AC1487" i="2" s="1"/>
  <c r="AD1487" i="2" s="1"/>
  <c r="AE1486" i="2"/>
  <c r="AB1486" i="2"/>
  <c r="AC1486" i="2" s="1"/>
  <c r="AD1486" i="2" s="1"/>
  <c r="AB1485" i="2"/>
  <c r="AC1485" i="2" s="1"/>
  <c r="AD1485" i="2" s="1"/>
  <c r="AE1485" i="2"/>
  <c r="AE1484" i="2"/>
  <c r="AB1484" i="2"/>
  <c r="AC1484" i="2" s="1"/>
  <c r="AD1484" i="2" s="1"/>
  <c r="AE1483" i="2"/>
  <c r="AB1483" i="2"/>
  <c r="AC1483" i="2" s="1"/>
  <c r="AD1483" i="2" s="1"/>
  <c r="AB1482" i="2"/>
  <c r="AC1482" i="2" s="1"/>
  <c r="AD1482" i="2" s="1"/>
  <c r="AE1482" i="2"/>
  <c r="AE1481" i="2"/>
  <c r="AB1481" i="2"/>
  <c r="AC1481" i="2" s="1"/>
  <c r="AD1481" i="2" s="1"/>
  <c r="AE1480" i="2"/>
  <c r="AB1480" i="2"/>
  <c r="AC1480" i="2" s="1"/>
  <c r="AD1480" i="2" s="1"/>
  <c r="AB1479" i="2"/>
  <c r="AC1479" i="2" s="1"/>
  <c r="AD1479" i="2" s="1"/>
  <c r="AE1479" i="2"/>
  <c r="AE1478" i="2"/>
  <c r="AB1478" i="2"/>
  <c r="AC1478" i="2" s="1"/>
  <c r="AD1478" i="2" s="1"/>
  <c r="AE1477" i="2"/>
  <c r="AB1477" i="2"/>
  <c r="AC1477" i="2" s="1"/>
  <c r="AD1477" i="2" s="1"/>
  <c r="AB1476" i="2"/>
  <c r="AC1476" i="2" s="1"/>
  <c r="AD1476" i="2" s="1"/>
  <c r="AE1476" i="2"/>
  <c r="AE1475" i="2"/>
  <c r="AB1475" i="2"/>
  <c r="AC1475" i="2" s="1"/>
  <c r="AD1475" i="2" s="1"/>
  <c r="AE1474" i="2"/>
  <c r="AB1474" i="2"/>
  <c r="AC1474" i="2" s="1"/>
  <c r="AD1474" i="2" s="1"/>
  <c r="AE1473" i="2"/>
  <c r="AB1473" i="2"/>
  <c r="AC1473" i="2" s="1"/>
  <c r="AD1473" i="2" s="1"/>
  <c r="AE1472" i="2"/>
  <c r="AB1472" i="2"/>
  <c r="AC1472" i="2" s="1"/>
  <c r="AD1472" i="2" s="1"/>
  <c r="AE1471" i="2"/>
  <c r="AB1471" i="2"/>
  <c r="AC1471" i="2" s="1"/>
  <c r="AD1471" i="2" s="1"/>
  <c r="AE1470" i="2"/>
  <c r="AB1470" i="2"/>
  <c r="AC1470" i="2" s="1"/>
  <c r="AD1470" i="2" s="1"/>
  <c r="AE1469" i="2"/>
  <c r="AB1469" i="2"/>
  <c r="AC1469" i="2" s="1"/>
  <c r="AD1469" i="2" s="1"/>
  <c r="AE1468" i="2"/>
  <c r="AB1468" i="2"/>
  <c r="AC1468" i="2" s="1"/>
  <c r="AD1468" i="2" s="1"/>
  <c r="AB1467" i="2"/>
  <c r="AC1467" i="2" s="1"/>
  <c r="AD1467" i="2" s="1"/>
  <c r="AE1467" i="2"/>
  <c r="AB1466" i="2"/>
  <c r="AC1466" i="2" s="1"/>
  <c r="AD1466" i="2" s="1"/>
  <c r="AE1466" i="2"/>
  <c r="AB1465" i="2"/>
  <c r="AC1465" i="2" s="1"/>
  <c r="AD1465" i="2" s="1"/>
  <c r="AE1465" i="2"/>
  <c r="AB1464" i="2"/>
  <c r="AC1464" i="2" s="1"/>
  <c r="AD1464" i="2" s="1"/>
  <c r="AE1464" i="2"/>
  <c r="AB1463" i="2"/>
  <c r="AC1463" i="2" s="1"/>
  <c r="AD1463" i="2" s="1"/>
  <c r="AE1463" i="2"/>
  <c r="AB1462" i="2"/>
  <c r="AC1462" i="2" s="1"/>
  <c r="AD1462" i="2" s="1"/>
  <c r="AE1462" i="2"/>
  <c r="AE1461" i="2"/>
  <c r="AB1461" i="2"/>
  <c r="AC1461" i="2" s="1"/>
  <c r="AD1461" i="2" s="1"/>
  <c r="AB1460" i="2"/>
  <c r="AC1460" i="2" s="1"/>
  <c r="AD1460" i="2" s="1"/>
  <c r="AE1460" i="2"/>
  <c r="AB1459" i="2"/>
  <c r="AC1459" i="2" s="1"/>
  <c r="AD1459" i="2" s="1"/>
  <c r="AE1459" i="2"/>
  <c r="AB1458" i="2"/>
  <c r="AC1458" i="2" s="1"/>
  <c r="AD1458" i="2" s="1"/>
  <c r="AE1458" i="2"/>
  <c r="AB1457" i="2"/>
  <c r="AC1457" i="2" s="1"/>
  <c r="AD1457" i="2" s="1"/>
  <c r="AE1457" i="2"/>
  <c r="AB1456" i="2"/>
  <c r="AC1456" i="2" s="1"/>
  <c r="AD1456" i="2" s="1"/>
  <c r="AE1456" i="2"/>
  <c r="AB1455" i="2"/>
  <c r="AC1455" i="2" s="1"/>
  <c r="AD1455" i="2" s="1"/>
  <c r="AE1455" i="2"/>
  <c r="AB1454" i="2"/>
  <c r="AC1454" i="2" s="1"/>
  <c r="AD1454" i="2" s="1"/>
  <c r="AE1454" i="2"/>
  <c r="AE1453" i="2"/>
  <c r="AB1453" i="2"/>
  <c r="AC1453" i="2" s="1"/>
  <c r="AD1453" i="2" s="1"/>
  <c r="AE1452" i="2"/>
  <c r="AB1452" i="2"/>
  <c r="AC1452" i="2" s="1"/>
  <c r="AD1452" i="2" s="1"/>
  <c r="AE1451" i="2"/>
  <c r="AB1451" i="2"/>
  <c r="AC1451" i="2" s="1"/>
  <c r="AD1451" i="2" s="1"/>
  <c r="AB1450" i="2"/>
  <c r="AC1450" i="2" s="1"/>
  <c r="AD1450" i="2" s="1"/>
  <c r="AE1450" i="2"/>
  <c r="AB1449" i="2"/>
  <c r="AC1449" i="2" s="1"/>
  <c r="AD1449" i="2" s="1"/>
  <c r="AE1449" i="2"/>
  <c r="AB1448" i="2"/>
  <c r="AC1448" i="2" s="1"/>
  <c r="AD1448" i="2" s="1"/>
  <c r="AE1448" i="2"/>
  <c r="AB1447" i="2"/>
  <c r="AC1447" i="2" s="1"/>
  <c r="AD1447" i="2" s="1"/>
  <c r="AE1447" i="2"/>
  <c r="AB1446" i="2"/>
  <c r="AC1446" i="2" s="1"/>
  <c r="AD1446" i="2" s="1"/>
  <c r="AE1446" i="2"/>
  <c r="AB1445" i="2"/>
  <c r="AC1445" i="2" s="1"/>
  <c r="AD1445" i="2" s="1"/>
  <c r="AE1445" i="2"/>
  <c r="AB1444" i="2"/>
  <c r="AC1444" i="2" s="1"/>
  <c r="AD1444" i="2" s="1"/>
  <c r="AE1444" i="2"/>
  <c r="AB1443" i="2"/>
  <c r="AC1443" i="2" s="1"/>
  <c r="AD1443" i="2" s="1"/>
  <c r="AE1443" i="2"/>
  <c r="AE1442" i="2"/>
  <c r="AB1442" i="2"/>
  <c r="AC1442" i="2" s="1"/>
  <c r="AD1442" i="2" s="1"/>
  <c r="AE1441" i="2"/>
  <c r="AB1441" i="2"/>
  <c r="AC1441" i="2" s="1"/>
  <c r="AD1441" i="2" s="1"/>
  <c r="AB1440" i="2"/>
  <c r="AC1440" i="2" s="1"/>
  <c r="AD1440" i="2" s="1"/>
  <c r="AE1440" i="2"/>
  <c r="AE1439" i="2"/>
  <c r="AB1439" i="2"/>
  <c r="AC1439" i="2" s="1"/>
  <c r="AD1439" i="2" s="1"/>
  <c r="AB1438" i="2"/>
  <c r="AC1438" i="2" s="1"/>
  <c r="AD1438" i="2" s="1"/>
  <c r="AE1438" i="2"/>
  <c r="AE1437" i="2"/>
  <c r="AB1437" i="2"/>
  <c r="AC1437" i="2" s="1"/>
  <c r="AD1437" i="2" s="1"/>
  <c r="AE1436" i="2"/>
  <c r="AB1436" i="2"/>
  <c r="AC1436" i="2" s="1"/>
  <c r="AD1436" i="2" s="1"/>
  <c r="AE1435" i="2"/>
  <c r="AB1435" i="2"/>
  <c r="AC1435" i="2" s="1"/>
  <c r="AD1435" i="2" s="1"/>
  <c r="AB1434" i="2"/>
  <c r="AC1434" i="2" s="1"/>
  <c r="AD1434" i="2" s="1"/>
  <c r="AE1434" i="2"/>
  <c r="AE1433" i="2"/>
  <c r="AB1433" i="2"/>
  <c r="AC1433" i="2" s="1"/>
  <c r="AD1433" i="2" s="1"/>
  <c r="AE1432" i="2"/>
  <c r="AB1432" i="2"/>
  <c r="AC1432" i="2" s="1"/>
  <c r="AD1432" i="2" s="1"/>
  <c r="AE1431" i="2"/>
  <c r="AB1431" i="2"/>
  <c r="AC1431" i="2" s="1"/>
  <c r="AD1431" i="2" s="1"/>
  <c r="AE1430" i="2"/>
  <c r="AB1430" i="2"/>
  <c r="AC1430" i="2" s="1"/>
  <c r="AD1430" i="2" s="1"/>
  <c r="AB1429" i="2"/>
  <c r="AC1429" i="2" s="1"/>
  <c r="AD1429" i="2" s="1"/>
  <c r="AE1429" i="2"/>
  <c r="AE1428" i="2"/>
  <c r="AB1428" i="2"/>
  <c r="AC1428" i="2" s="1"/>
  <c r="AD1428" i="2" s="1"/>
  <c r="AE1427" i="2"/>
  <c r="AB1427" i="2"/>
  <c r="AC1427" i="2" s="1"/>
  <c r="AD1427" i="2" s="1"/>
  <c r="AE1426" i="2"/>
  <c r="AB1426" i="2"/>
  <c r="AC1426" i="2" s="1"/>
  <c r="AD1426" i="2" s="1"/>
  <c r="AB1425" i="2"/>
  <c r="AC1425" i="2" s="1"/>
  <c r="AD1425" i="2" s="1"/>
  <c r="AE1425" i="2"/>
  <c r="AE1424" i="2"/>
  <c r="AB1424" i="2"/>
  <c r="AC1424" i="2" s="1"/>
  <c r="AD1424" i="2" s="1"/>
  <c r="AB1423" i="2"/>
  <c r="AC1423" i="2" s="1"/>
  <c r="AD1423" i="2" s="1"/>
  <c r="AE1423" i="2"/>
  <c r="AB1422" i="2"/>
  <c r="AC1422" i="2" s="1"/>
  <c r="AD1422" i="2" s="1"/>
  <c r="AE1422" i="2"/>
  <c r="AE1421" i="2"/>
  <c r="AB1421" i="2"/>
  <c r="AC1421" i="2" s="1"/>
  <c r="AD1421" i="2" s="1"/>
  <c r="AE1420" i="2"/>
  <c r="AB1420" i="2"/>
  <c r="AC1420" i="2" s="1"/>
  <c r="AD1420" i="2" s="1"/>
  <c r="AE1419" i="2"/>
  <c r="AB1419" i="2"/>
  <c r="AC1419" i="2" s="1"/>
  <c r="AD1419" i="2" s="1"/>
  <c r="AB1418" i="2"/>
  <c r="AC1418" i="2" s="1"/>
  <c r="AD1418" i="2" s="1"/>
  <c r="AE1418" i="2"/>
  <c r="AE1417" i="2"/>
  <c r="AB1417" i="2"/>
  <c r="AC1417" i="2" s="1"/>
  <c r="AD1417" i="2" s="1"/>
  <c r="AB1416" i="2"/>
  <c r="AC1416" i="2" s="1"/>
  <c r="AD1416" i="2" s="1"/>
  <c r="AE1416" i="2"/>
  <c r="AB1415" i="2"/>
  <c r="AC1415" i="2" s="1"/>
  <c r="AD1415" i="2" s="1"/>
  <c r="AE1415" i="2"/>
  <c r="AB1414" i="2"/>
  <c r="AC1414" i="2" s="1"/>
  <c r="AD1414" i="2" s="1"/>
  <c r="AE1414" i="2"/>
  <c r="AE1413" i="2"/>
  <c r="AB1413" i="2"/>
  <c r="AC1413" i="2" s="1"/>
  <c r="AD1413" i="2" s="1"/>
  <c r="AE1412" i="2"/>
  <c r="AB1412" i="2"/>
  <c r="AC1412" i="2" s="1"/>
  <c r="AD1412" i="2" s="1"/>
  <c r="AE1411" i="2"/>
  <c r="AB1411" i="2"/>
  <c r="AC1411" i="2" s="1"/>
  <c r="AD1411" i="2" s="1"/>
  <c r="AB1410" i="2"/>
  <c r="AC1410" i="2" s="1"/>
  <c r="AD1410" i="2" s="1"/>
  <c r="AE1410" i="2"/>
  <c r="AB1409" i="2"/>
  <c r="AC1409" i="2" s="1"/>
  <c r="AD1409" i="2" s="1"/>
  <c r="AE1409" i="2"/>
  <c r="AE1408" i="2"/>
  <c r="AB1408" i="2"/>
  <c r="AC1408" i="2" s="1"/>
  <c r="AD1408" i="2" s="1"/>
  <c r="AE1407" i="2"/>
  <c r="AB1407" i="2"/>
  <c r="AC1407" i="2" s="1"/>
  <c r="AD1407" i="2" s="1"/>
  <c r="AE1406" i="2"/>
  <c r="AB1406" i="2"/>
  <c r="AC1406" i="2" s="1"/>
  <c r="AD1406" i="2" s="1"/>
  <c r="AE1405" i="2"/>
  <c r="AB1405" i="2"/>
  <c r="AC1405" i="2" s="1"/>
  <c r="AD1405" i="2" s="1"/>
  <c r="AE1404" i="2"/>
  <c r="AB1404" i="2"/>
  <c r="AC1404" i="2" s="1"/>
  <c r="AD1404" i="2" s="1"/>
  <c r="AE1403" i="2"/>
  <c r="AB1403" i="2"/>
  <c r="AC1403" i="2" s="1"/>
  <c r="AD1403" i="2" s="1"/>
  <c r="AE1402" i="2"/>
  <c r="AB1402" i="2"/>
  <c r="AC1402" i="2" s="1"/>
  <c r="AD1402" i="2" s="1"/>
  <c r="AE1401" i="2"/>
  <c r="AB1401" i="2"/>
  <c r="AC1401" i="2" s="1"/>
  <c r="AD1401" i="2" s="1"/>
  <c r="AE1400" i="2"/>
  <c r="AB1400" i="2"/>
  <c r="AC1400" i="2" s="1"/>
  <c r="AD1400" i="2" s="1"/>
  <c r="AE1399" i="2"/>
  <c r="AB1399" i="2"/>
  <c r="AC1399" i="2" s="1"/>
  <c r="AD1399" i="2" s="1"/>
  <c r="AB1398" i="2"/>
  <c r="AC1398" i="2" s="1"/>
  <c r="AD1398" i="2" s="1"/>
  <c r="AE1398" i="2"/>
  <c r="AE1397" i="2"/>
  <c r="AB1397" i="2"/>
  <c r="AC1397" i="2" s="1"/>
  <c r="AD1397" i="2" s="1"/>
  <c r="AE1396" i="2"/>
  <c r="AB1396" i="2"/>
  <c r="AC1396" i="2" s="1"/>
  <c r="AD1396" i="2" s="1"/>
  <c r="AE1395" i="2"/>
  <c r="AB1395" i="2"/>
  <c r="AC1395" i="2" s="1"/>
  <c r="AD1395" i="2" s="1"/>
  <c r="AE1394" i="2"/>
  <c r="AB1394" i="2"/>
  <c r="AC1394" i="2" s="1"/>
  <c r="AD1394" i="2" s="1"/>
  <c r="AB1393" i="2"/>
  <c r="AC1393" i="2" s="1"/>
  <c r="AD1393" i="2" s="1"/>
  <c r="AE1393" i="2"/>
  <c r="AE1392" i="2"/>
  <c r="AB1392" i="2"/>
  <c r="AC1392" i="2" s="1"/>
  <c r="AD1392" i="2" s="1"/>
  <c r="AE1391" i="2"/>
  <c r="AB1391" i="2"/>
  <c r="AC1391" i="2" s="1"/>
  <c r="AD1391" i="2" s="1"/>
  <c r="AE1390" i="2"/>
  <c r="AB1390" i="2"/>
  <c r="AC1390" i="2" s="1"/>
  <c r="AD1390" i="2" s="1"/>
  <c r="AE1389" i="2"/>
  <c r="AB1389" i="2"/>
  <c r="AC1389" i="2" s="1"/>
  <c r="AD1389" i="2" s="1"/>
  <c r="AE1388" i="2"/>
  <c r="AB1388" i="2"/>
  <c r="AC1388" i="2" s="1"/>
  <c r="AD1388" i="2" s="1"/>
  <c r="AE1387" i="2"/>
  <c r="AB1387" i="2"/>
  <c r="AC1387" i="2" s="1"/>
  <c r="AD1387" i="2" s="1"/>
  <c r="AB1386" i="2"/>
  <c r="AC1386" i="2" s="1"/>
  <c r="AD1386" i="2" s="1"/>
  <c r="AE1386" i="2"/>
  <c r="AE1385" i="2"/>
  <c r="AB1385" i="2"/>
  <c r="AC1385" i="2" s="1"/>
  <c r="AD1385" i="2" s="1"/>
  <c r="AE1384" i="2"/>
  <c r="AB1384" i="2"/>
  <c r="AC1384" i="2" s="1"/>
  <c r="AD1384" i="2" s="1"/>
  <c r="AE1383" i="2"/>
  <c r="AB1383" i="2"/>
  <c r="AC1383" i="2" s="1"/>
  <c r="AD1383" i="2" s="1"/>
  <c r="AE1382" i="2"/>
  <c r="AB1382" i="2"/>
  <c r="AC1382" i="2" s="1"/>
  <c r="AD1382" i="2" s="1"/>
  <c r="AB1381" i="2"/>
  <c r="AC1381" i="2" s="1"/>
  <c r="AD1381" i="2" s="1"/>
  <c r="AE1381" i="2"/>
  <c r="AB1380" i="2"/>
  <c r="AC1380" i="2" s="1"/>
  <c r="AD1380" i="2" s="1"/>
  <c r="AE1380" i="2"/>
  <c r="AE1379" i="2"/>
  <c r="AB1379" i="2"/>
  <c r="AC1379" i="2" s="1"/>
  <c r="AD1379" i="2" s="1"/>
  <c r="AE1378" i="2"/>
  <c r="AB1378" i="2"/>
  <c r="AC1378" i="2" s="1"/>
  <c r="AD1378" i="2" s="1"/>
  <c r="AB1377" i="2"/>
  <c r="AC1377" i="2" s="1"/>
  <c r="AD1377" i="2" s="1"/>
  <c r="AE1377" i="2"/>
  <c r="AB1376" i="2"/>
  <c r="AC1376" i="2" s="1"/>
  <c r="AD1376" i="2" s="1"/>
  <c r="AE1376" i="2"/>
  <c r="AB1375" i="2"/>
  <c r="AC1375" i="2" s="1"/>
  <c r="AD1375" i="2" s="1"/>
  <c r="AE1375" i="2"/>
  <c r="AE1374" i="2"/>
  <c r="AB1374" i="2"/>
  <c r="AC1374" i="2" s="1"/>
  <c r="AD1374" i="2" s="1"/>
  <c r="AB1373" i="2"/>
  <c r="AC1373" i="2" s="1"/>
  <c r="AD1373" i="2" s="1"/>
  <c r="AE1373" i="2"/>
  <c r="AE1372" i="2"/>
  <c r="AB1372" i="2"/>
  <c r="AC1372" i="2" s="1"/>
  <c r="AD1372" i="2" s="1"/>
  <c r="AE1371" i="2"/>
  <c r="AB1371" i="2"/>
  <c r="AC1371" i="2" s="1"/>
  <c r="AD1371" i="2" s="1"/>
  <c r="AE1370" i="2"/>
  <c r="AB1370" i="2"/>
  <c r="AC1370" i="2" s="1"/>
  <c r="AD1370" i="2" s="1"/>
  <c r="AE1369" i="2"/>
  <c r="AB1369" i="2"/>
  <c r="AC1369" i="2" s="1"/>
  <c r="AD1369" i="2" s="1"/>
  <c r="AB1368" i="2"/>
  <c r="AC1368" i="2" s="1"/>
  <c r="AD1368" i="2" s="1"/>
  <c r="AE1368" i="2"/>
  <c r="AE1367" i="2"/>
  <c r="AB1367" i="2"/>
  <c r="AC1367" i="2" s="1"/>
  <c r="AD1367" i="2" s="1"/>
  <c r="AE1366" i="2"/>
  <c r="AB1366" i="2"/>
  <c r="AC1366" i="2" s="1"/>
  <c r="AD1366" i="2" s="1"/>
  <c r="AB1365" i="2"/>
  <c r="AC1365" i="2" s="1"/>
  <c r="AD1365" i="2" s="1"/>
  <c r="AE1365" i="2"/>
  <c r="AE1364" i="2"/>
  <c r="AB1364" i="2"/>
  <c r="AC1364" i="2" s="1"/>
  <c r="AD1364" i="2" s="1"/>
  <c r="AE1363" i="2"/>
  <c r="AB1363" i="2"/>
  <c r="AC1363" i="2" s="1"/>
  <c r="AD1363" i="2" s="1"/>
  <c r="AE1362" i="2"/>
  <c r="AB1362" i="2"/>
  <c r="AC1362" i="2" s="1"/>
  <c r="AD1362" i="2" s="1"/>
  <c r="AE1361" i="2"/>
  <c r="AB1361" i="2"/>
  <c r="AC1361" i="2" s="1"/>
  <c r="AD1361" i="2" s="1"/>
  <c r="AE1360" i="2"/>
  <c r="AB1360" i="2"/>
  <c r="AC1360" i="2" s="1"/>
  <c r="AD1360" i="2" s="1"/>
  <c r="AB1359" i="2"/>
  <c r="AC1359" i="2" s="1"/>
  <c r="AD1359" i="2" s="1"/>
  <c r="AE1359" i="2"/>
  <c r="AE1358" i="2"/>
  <c r="AB1358" i="2"/>
  <c r="AC1358" i="2" s="1"/>
  <c r="AD1358" i="2" s="1"/>
  <c r="AB1357" i="2"/>
  <c r="AC1357" i="2" s="1"/>
  <c r="AD1357" i="2" s="1"/>
  <c r="AE1357" i="2"/>
  <c r="AE1356" i="2"/>
  <c r="AB1356" i="2"/>
  <c r="AC1356" i="2" s="1"/>
  <c r="AD1356" i="2" s="1"/>
  <c r="AE1355" i="2"/>
  <c r="AB1355" i="2"/>
  <c r="AC1355" i="2" s="1"/>
  <c r="AD1355" i="2" s="1"/>
  <c r="AB1354" i="2"/>
  <c r="AC1354" i="2" s="1"/>
  <c r="AD1354" i="2" s="1"/>
  <c r="AE1354" i="2"/>
  <c r="AE1353" i="2"/>
  <c r="AB1353" i="2"/>
  <c r="AC1353" i="2" s="1"/>
  <c r="AD1353" i="2" s="1"/>
  <c r="AE1352" i="2"/>
  <c r="AB1352" i="2"/>
  <c r="AC1352" i="2" s="1"/>
  <c r="AD1352" i="2" s="1"/>
  <c r="AE1351" i="2"/>
  <c r="AB1351" i="2"/>
  <c r="AC1351" i="2" s="1"/>
  <c r="AD1351" i="2" s="1"/>
  <c r="AB1350" i="2"/>
  <c r="AC1350" i="2" s="1"/>
  <c r="AD1350" i="2" s="1"/>
  <c r="AE1350" i="2"/>
  <c r="AB1349" i="2"/>
  <c r="AC1349" i="2" s="1"/>
  <c r="AD1349" i="2" s="1"/>
  <c r="AE1349" i="2"/>
  <c r="AE1348" i="2"/>
  <c r="AB1348" i="2"/>
  <c r="AC1348" i="2" s="1"/>
  <c r="AD1348" i="2" s="1"/>
  <c r="AB1347" i="2"/>
  <c r="AC1347" i="2" s="1"/>
  <c r="AD1347" i="2" s="1"/>
  <c r="AE1347" i="2"/>
  <c r="AB1346" i="2"/>
  <c r="AC1346" i="2" s="1"/>
  <c r="AD1346" i="2" s="1"/>
  <c r="AE1346" i="2"/>
  <c r="AE1345" i="2"/>
  <c r="AB1345" i="2"/>
  <c r="AC1345" i="2" s="1"/>
  <c r="AD1345" i="2" s="1"/>
  <c r="AE1344" i="2"/>
  <c r="AB1344" i="2"/>
  <c r="AC1344" i="2" s="1"/>
  <c r="AD1344" i="2" s="1"/>
  <c r="AE1343" i="2"/>
  <c r="AB1343" i="2"/>
  <c r="AC1343" i="2" s="1"/>
  <c r="AD1343" i="2" s="1"/>
  <c r="AE1342" i="2"/>
  <c r="AB1342" i="2"/>
  <c r="AC1342" i="2" s="1"/>
  <c r="AD1342" i="2" s="1"/>
  <c r="AE1341" i="2"/>
  <c r="AB1341" i="2"/>
  <c r="AC1341" i="2" s="1"/>
  <c r="AD1341" i="2" s="1"/>
  <c r="AE1340" i="2"/>
  <c r="AB1340" i="2"/>
  <c r="AC1340" i="2" s="1"/>
  <c r="AD1340" i="2" s="1"/>
  <c r="AE1339" i="2"/>
  <c r="AB1339" i="2"/>
  <c r="AC1339" i="2" s="1"/>
  <c r="AD1339" i="2" s="1"/>
  <c r="AE1338" i="2"/>
  <c r="AB1338" i="2"/>
  <c r="AC1338" i="2" s="1"/>
  <c r="AD1338" i="2" s="1"/>
  <c r="AB1337" i="2"/>
  <c r="AC1337" i="2" s="1"/>
  <c r="AD1337" i="2" s="1"/>
  <c r="AE1337" i="2"/>
  <c r="AE1336" i="2"/>
  <c r="AB1336" i="2"/>
  <c r="AC1336" i="2" s="1"/>
  <c r="AD1336" i="2" s="1"/>
  <c r="AE1335" i="2"/>
  <c r="AB1335" i="2"/>
  <c r="AC1335" i="2" s="1"/>
  <c r="AD1335" i="2" s="1"/>
  <c r="AE1334" i="2"/>
  <c r="AB1334" i="2"/>
  <c r="AC1334" i="2" s="1"/>
  <c r="AD1334" i="2" s="1"/>
  <c r="AB1333" i="2"/>
  <c r="AC1333" i="2" s="1"/>
  <c r="AD1333" i="2" s="1"/>
  <c r="AE1333" i="2"/>
  <c r="AE1332" i="2"/>
  <c r="AB1332" i="2"/>
  <c r="AC1332" i="2" s="1"/>
  <c r="AD1332" i="2" s="1"/>
  <c r="AE1331" i="2"/>
  <c r="AB1331" i="2"/>
  <c r="AC1331" i="2" s="1"/>
  <c r="AD1331" i="2" s="1"/>
  <c r="AE1330" i="2"/>
  <c r="AB1330" i="2"/>
  <c r="AC1330" i="2" s="1"/>
  <c r="AD1330" i="2" s="1"/>
  <c r="AE1329" i="2"/>
  <c r="AB1329" i="2"/>
  <c r="AC1329" i="2" s="1"/>
  <c r="AD1329" i="2" s="1"/>
  <c r="AB1328" i="2"/>
  <c r="AC1328" i="2" s="1"/>
  <c r="AD1328" i="2" s="1"/>
  <c r="AE1328" i="2"/>
  <c r="AE1327" i="2"/>
  <c r="AB1327" i="2"/>
  <c r="AC1327" i="2" s="1"/>
  <c r="AD1327" i="2" s="1"/>
  <c r="AE1326" i="2"/>
  <c r="AB1326" i="2"/>
  <c r="AC1326" i="2" s="1"/>
  <c r="AD1326" i="2" s="1"/>
  <c r="AE1325" i="2"/>
  <c r="AB1325" i="2"/>
  <c r="AC1325" i="2" s="1"/>
  <c r="AD1325" i="2" s="1"/>
  <c r="AB1324" i="2"/>
  <c r="AC1324" i="2" s="1"/>
  <c r="AD1324" i="2" s="1"/>
  <c r="AE1324" i="2"/>
  <c r="AE1323" i="2"/>
  <c r="AB1323" i="2"/>
  <c r="AC1323" i="2" s="1"/>
  <c r="AD1323" i="2" s="1"/>
  <c r="AB1322" i="2"/>
  <c r="AC1322" i="2" s="1"/>
  <c r="AD1322" i="2" s="1"/>
  <c r="AE1322" i="2"/>
  <c r="AB1321" i="2"/>
  <c r="AC1321" i="2" s="1"/>
  <c r="AD1321" i="2" s="1"/>
  <c r="AE1321" i="2"/>
  <c r="AE1320" i="2"/>
  <c r="AB1320" i="2"/>
  <c r="AC1320" i="2" s="1"/>
  <c r="AD1320" i="2" s="1"/>
  <c r="AB1319" i="2"/>
  <c r="AC1319" i="2" s="1"/>
  <c r="AD1319" i="2" s="1"/>
  <c r="AE1319" i="2"/>
  <c r="AB1318" i="2"/>
  <c r="AC1318" i="2" s="1"/>
  <c r="AD1318" i="2" s="1"/>
  <c r="AE1318" i="2"/>
  <c r="AB1317" i="2"/>
  <c r="AC1317" i="2" s="1"/>
  <c r="AD1317" i="2" s="1"/>
  <c r="AE1317" i="2"/>
  <c r="AE1316" i="2"/>
  <c r="AB1316" i="2"/>
  <c r="AC1316" i="2" s="1"/>
  <c r="AD1316" i="2" s="1"/>
  <c r="AE1315" i="2"/>
  <c r="AB1315" i="2"/>
  <c r="AC1315" i="2" s="1"/>
  <c r="AD1315" i="2" s="1"/>
  <c r="AB1314" i="2"/>
  <c r="AC1314" i="2" s="1"/>
  <c r="AD1314" i="2" s="1"/>
  <c r="AE1314" i="2"/>
  <c r="AE1313" i="2"/>
  <c r="AB1313" i="2"/>
  <c r="AC1313" i="2" s="1"/>
  <c r="AD1313" i="2" s="1"/>
  <c r="AE1312" i="2"/>
  <c r="AB1312" i="2"/>
  <c r="AC1312" i="2" s="1"/>
  <c r="AD1312" i="2" s="1"/>
  <c r="AE1311" i="2"/>
  <c r="AB1311" i="2"/>
  <c r="AC1311" i="2" s="1"/>
  <c r="AD1311" i="2" s="1"/>
  <c r="AE1310" i="2"/>
  <c r="AB1310" i="2"/>
  <c r="AC1310" i="2" s="1"/>
  <c r="AD1310" i="2" s="1"/>
  <c r="AE1309" i="2"/>
  <c r="AB1309" i="2"/>
  <c r="AC1309" i="2" s="1"/>
  <c r="AD1309" i="2" s="1"/>
  <c r="AB1308" i="2"/>
  <c r="AC1308" i="2" s="1"/>
  <c r="AD1308" i="2" s="1"/>
  <c r="AE1308" i="2"/>
  <c r="AB1307" i="2"/>
  <c r="AC1307" i="2" s="1"/>
  <c r="AD1307" i="2" s="1"/>
  <c r="AE1307" i="2"/>
  <c r="AE1306" i="2"/>
  <c r="AB1306" i="2"/>
  <c r="AC1306" i="2" s="1"/>
  <c r="AD1306" i="2" s="1"/>
  <c r="AE1305" i="2"/>
  <c r="AB1305" i="2"/>
  <c r="AC1305" i="2" s="1"/>
  <c r="AD1305" i="2" s="1"/>
  <c r="AE1304" i="2"/>
  <c r="AB1304" i="2"/>
  <c r="AC1304" i="2" s="1"/>
  <c r="AD1304" i="2" s="1"/>
  <c r="AE1303" i="2"/>
  <c r="AB1303" i="2"/>
  <c r="AC1303" i="2" s="1"/>
  <c r="AD1303" i="2" s="1"/>
  <c r="AE1302" i="2"/>
  <c r="AB1302" i="2"/>
  <c r="AC1302" i="2" s="1"/>
  <c r="AD1302" i="2" s="1"/>
  <c r="AE1301" i="2"/>
  <c r="AB1301" i="2"/>
  <c r="AC1301" i="2" s="1"/>
  <c r="AD1301" i="2" s="1"/>
  <c r="AB1300" i="2"/>
  <c r="AC1300" i="2" s="1"/>
  <c r="AD1300" i="2" s="1"/>
  <c r="AE1300" i="2"/>
  <c r="AE1299" i="2"/>
  <c r="AB1299" i="2"/>
  <c r="AC1299" i="2" s="1"/>
  <c r="AD1299" i="2" s="1"/>
  <c r="AB1298" i="2"/>
  <c r="AC1298" i="2" s="1"/>
  <c r="AD1298" i="2" s="1"/>
  <c r="AE1298" i="2"/>
  <c r="AB1297" i="2"/>
  <c r="AC1297" i="2" s="1"/>
  <c r="AD1297" i="2" s="1"/>
  <c r="AE1297" i="2"/>
  <c r="AE1296" i="2"/>
  <c r="AB1296" i="2"/>
  <c r="AC1296" i="2" s="1"/>
  <c r="AD1296" i="2" s="1"/>
  <c r="AE1295" i="2"/>
  <c r="AB1295" i="2"/>
  <c r="AC1295" i="2" s="1"/>
  <c r="AD1295" i="2" s="1"/>
  <c r="AE1294" i="2"/>
  <c r="AB1294" i="2"/>
  <c r="AC1294" i="2" s="1"/>
  <c r="AD1294" i="2" s="1"/>
  <c r="AE1293" i="2"/>
  <c r="AB1293" i="2"/>
  <c r="AC1293" i="2" s="1"/>
  <c r="AD1293" i="2" s="1"/>
  <c r="AE1292" i="2"/>
  <c r="AB1292" i="2"/>
  <c r="AC1292" i="2" s="1"/>
  <c r="AD1292" i="2" s="1"/>
  <c r="AE1291" i="2"/>
  <c r="AB1291" i="2"/>
  <c r="AC1291" i="2" s="1"/>
  <c r="AD1291" i="2" s="1"/>
  <c r="AB1290" i="2"/>
  <c r="AC1290" i="2" s="1"/>
  <c r="AD1290" i="2" s="1"/>
  <c r="AE1290" i="2"/>
  <c r="AE1289" i="2"/>
  <c r="AB1289" i="2"/>
  <c r="AC1289" i="2" s="1"/>
  <c r="AD1289" i="2" s="1"/>
  <c r="B8" i="3"/>
  <c r="AE1288" i="2"/>
  <c r="AB1288" i="2"/>
  <c r="AC1288" i="2" s="1"/>
  <c r="AD1288" i="2" s="1"/>
  <c r="AB1286" i="2"/>
  <c r="AC1286" i="2" s="1"/>
  <c r="AD1286" i="2" s="1"/>
  <c r="AE1286" i="2"/>
  <c r="AB1285" i="2"/>
  <c r="AC1285" i="2" s="1"/>
  <c r="AD1285" i="2" s="1"/>
  <c r="AE1285" i="2"/>
  <c r="AB1284" i="2"/>
  <c r="AC1284" i="2" s="1"/>
  <c r="AD1284" i="2" s="1"/>
  <c r="AE1284" i="2"/>
  <c r="AE1283" i="2"/>
  <c r="AB1283" i="2"/>
  <c r="AC1283" i="2" s="1"/>
  <c r="AD1283" i="2" s="1"/>
  <c r="AE1282" i="2"/>
  <c r="AB1282" i="2"/>
  <c r="AC1282" i="2" s="1"/>
  <c r="AD1282" i="2" s="1"/>
  <c r="AE1281" i="2"/>
  <c r="AB1281" i="2"/>
  <c r="AC1281" i="2" s="1"/>
  <c r="AD1281" i="2" s="1"/>
  <c r="AB1280" i="2"/>
  <c r="AC1280" i="2" s="1"/>
  <c r="AD1280" i="2" s="1"/>
  <c r="AE1280" i="2"/>
  <c r="AB1279" i="2"/>
  <c r="AC1279" i="2" s="1"/>
  <c r="AD1279" i="2" s="1"/>
  <c r="AE1279" i="2"/>
  <c r="AB1278" i="2"/>
  <c r="AC1278" i="2" s="1"/>
  <c r="AD1278" i="2" s="1"/>
  <c r="AE1278" i="2"/>
  <c r="AB1277" i="2"/>
  <c r="AC1277" i="2" s="1"/>
  <c r="AD1277" i="2" s="1"/>
  <c r="AE1277" i="2"/>
  <c r="AB1276" i="2"/>
  <c r="AC1276" i="2" s="1"/>
  <c r="AD1276" i="2" s="1"/>
  <c r="AE1276" i="2"/>
  <c r="AB1275" i="2"/>
  <c r="AC1275" i="2" s="1"/>
  <c r="AD1275" i="2" s="1"/>
  <c r="AE1275" i="2"/>
  <c r="AB1274" i="2"/>
  <c r="AC1274" i="2" s="1"/>
  <c r="AD1274" i="2" s="1"/>
  <c r="AE1274" i="2"/>
  <c r="AB1273" i="2"/>
  <c r="AC1273" i="2" s="1"/>
  <c r="AD1273" i="2" s="1"/>
  <c r="AE1273" i="2"/>
  <c r="AE1272" i="2"/>
  <c r="AB1272" i="2"/>
  <c r="AC1272" i="2" s="1"/>
  <c r="AD1272" i="2" s="1"/>
  <c r="AB1271" i="2"/>
  <c r="AC1271" i="2" s="1"/>
  <c r="AD1271" i="2" s="1"/>
  <c r="AE1271" i="2"/>
  <c r="AB1270" i="2"/>
  <c r="AC1270" i="2" s="1"/>
  <c r="AD1270" i="2" s="1"/>
  <c r="AE1270" i="2"/>
  <c r="AE1269" i="2"/>
  <c r="AB1269" i="2"/>
  <c r="AC1269" i="2" s="1"/>
  <c r="AD1269" i="2" s="1"/>
  <c r="AB1268" i="2"/>
  <c r="AC1268" i="2" s="1"/>
  <c r="AD1268" i="2" s="1"/>
  <c r="AE1268" i="2"/>
  <c r="AE1267" i="2"/>
  <c r="AB1267" i="2"/>
  <c r="AC1267" i="2" s="1"/>
  <c r="AD1267" i="2" s="1"/>
  <c r="AE1266" i="2"/>
  <c r="AB1266" i="2"/>
  <c r="AC1266" i="2" s="1"/>
  <c r="AD1266" i="2" s="1"/>
  <c r="AB1265" i="2"/>
  <c r="AC1265" i="2" s="1"/>
  <c r="AD1265" i="2" s="1"/>
  <c r="AE1265" i="2"/>
  <c r="AB1264" i="2"/>
  <c r="AC1264" i="2" s="1"/>
  <c r="AD1264" i="2" s="1"/>
  <c r="AE1264" i="2"/>
  <c r="AB1263" i="2"/>
  <c r="AC1263" i="2" s="1"/>
  <c r="AD1263" i="2" s="1"/>
  <c r="AE1263" i="2"/>
  <c r="AE1262" i="2"/>
  <c r="AB1262" i="2"/>
  <c r="AC1262" i="2" s="1"/>
  <c r="AD1262" i="2" s="1"/>
  <c r="AB1261" i="2"/>
  <c r="AC1261" i="2" s="1"/>
  <c r="AD1261" i="2" s="1"/>
  <c r="AE1261" i="2"/>
  <c r="AE1260" i="2"/>
  <c r="AB1260" i="2"/>
  <c r="AC1260" i="2" s="1"/>
  <c r="AD1260" i="2" s="1"/>
  <c r="AB1259" i="2"/>
  <c r="AC1259" i="2" s="1"/>
  <c r="AD1259" i="2" s="1"/>
  <c r="AE1259" i="2"/>
  <c r="AB1258" i="2"/>
  <c r="AC1258" i="2" s="1"/>
  <c r="AD1258" i="2" s="1"/>
  <c r="AE1258" i="2"/>
  <c r="AB1257" i="2"/>
  <c r="AC1257" i="2" s="1"/>
  <c r="AD1257" i="2" s="1"/>
  <c r="AE1257" i="2"/>
  <c r="AB1256" i="2"/>
  <c r="AC1256" i="2" s="1"/>
  <c r="AD1256" i="2" s="1"/>
  <c r="AE1256" i="2"/>
  <c r="AE1255" i="2"/>
  <c r="AB1255" i="2"/>
  <c r="AC1255" i="2" s="1"/>
  <c r="AD1255" i="2" s="1"/>
  <c r="AB1254" i="2"/>
  <c r="AC1254" i="2" s="1"/>
  <c r="AD1254" i="2" s="1"/>
  <c r="AE1254" i="2"/>
  <c r="AE1253" i="2"/>
  <c r="AB1253" i="2"/>
  <c r="AC1253" i="2" s="1"/>
  <c r="AD1253" i="2" s="1"/>
  <c r="AE1252" i="2"/>
  <c r="AB1252" i="2"/>
  <c r="AC1252" i="2" s="1"/>
  <c r="AD1252" i="2" s="1"/>
  <c r="AB1251" i="2"/>
  <c r="AC1251" i="2" s="1"/>
  <c r="AD1251" i="2" s="1"/>
  <c r="AE1251" i="2"/>
  <c r="AB1250" i="2"/>
  <c r="AC1250" i="2" s="1"/>
  <c r="AD1250" i="2" s="1"/>
  <c r="AE1250" i="2"/>
  <c r="AB1249" i="2"/>
  <c r="AC1249" i="2" s="1"/>
  <c r="AD1249" i="2" s="1"/>
  <c r="AE1249" i="2"/>
  <c r="AB1248" i="2"/>
  <c r="AC1248" i="2" s="1"/>
  <c r="AD1248" i="2" s="1"/>
  <c r="AE1248" i="2"/>
  <c r="AB1247" i="2"/>
  <c r="AC1247" i="2" s="1"/>
  <c r="AD1247" i="2" s="1"/>
  <c r="AE1247" i="2"/>
  <c r="AE1246" i="2"/>
  <c r="AB1246" i="2"/>
  <c r="AC1246" i="2" s="1"/>
  <c r="AD1246" i="2" s="1"/>
  <c r="AE1245" i="2"/>
  <c r="AB1245" i="2"/>
  <c r="AC1245" i="2" s="1"/>
  <c r="AD1245" i="2" s="1"/>
  <c r="AE1244" i="2"/>
  <c r="AB1244" i="2"/>
  <c r="AC1244" i="2" s="1"/>
  <c r="AD1244" i="2" s="1"/>
  <c r="AE1243" i="2"/>
  <c r="AB1243" i="2"/>
  <c r="AC1243" i="2" s="1"/>
  <c r="AD1243" i="2" s="1"/>
  <c r="AE1242" i="2"/>
  <c r="AB1242" i="2"/>
  <c r="AC1242" i="2" s="1"/>
  <c r="AD1242" i="2" s="1"/>
  <c r="AE1241" i="2"/>
  <c r="AB1241" i="2"/>
  <c r="AC1241" i="2" s="1"/>
  <c r="AD1241" i="2" s="1"/>
  <c r="AE1240" i="2"/>
  <c r="AB1240" i="2"/>
  <c r="AC1240" i="2" s="1"/>
  <c r="AD1240" i="2" s="1"/>
  <c r="AE1239" i="2"/>
  <c r="AB1239" i="2"/>
  <c r="AC1239" i="2" s="1"/>
  <c r="AD1239" i="2" s="1"/>
  <c r="AE1238" i="2"/>
  <c r="AB1238" i="2"/>
  <c r="AC1238" i="2" s="1"/>
  <c r="AD1238" i="2" s="1"/>
  <c r="AE1237" i="2"/>
  <c r="AB1237" i="2"/>
  <c r="AC1237" i="2" s="1"/>
  <c r="AD1237" i="2" s="1"/>
  <c r="AE1236" i="2"/>
  <c r="AB1236" i="2"/>
  <c r="AC1236" i="2" s="1"/>
  <c r="AD1236" i="2" s="1"/>
  <c r="AE1235" i="2"/>
  <c r="AB1235" i="2"/>
  <c r="AC1235" i="2" s="1"/>
  <c r="AD1235" i="2" s="1"/>
  <c r="AE1234" i="2"/>
  <c r="AB1234" i="2"/>
  <c r="AC1234" i="2" s="1"/>
  <c r="AD1234" i="2" s="1"/>
  <c r="AE1233" i="2"/>
  <c r="AB1233" i="2"/>
  <c r="AC1233" i="2" s="1"/>
  <c r="AD1233" i="2" s="1"/>
  <c r="AE1232" i="2"/>
  <c r="AB1232" i="2"/>
  <c r="AC1232" i="2" s="1"/>
  <c r="AD1232" i="2" s="1"/>
  <c r="AE1231" i="2"/>
  <c r="AB1231" i="2"/>
  <c r="AC1231" i="2" s="1"/>
  <c r="AD1231" i="2" s="1"/>
  <c r="AE1230" i="2"/>
  <c r="AB1230" i="2"/>
  <c r="AC1230" i="2" s="1"/>
  <c r="AD1230" i="2" s="1"/>
  <c r="AE1229" i="2"/>
  <c r="AB1229" i="2"/>
  <c r="AC1229" i="2" s="1"/>
  <c r="AD1229" i="2" s="1"/>
  <c r="AE1228" i="2"/>
  <c r="AB1228" i="2"/>
  <c r="AC1228" i="2" s="1"/>
  <c r="AD1228" i="2" s="1"/>
  <c r="AE1227" i="2"/>
  <c r="AB1227" i="2"/>
  <c r="AC1227" i="2" s="1"/>
  <c r="AD1227" i="2" s="1"/>
  <c r="AE1226" i="2"/>
  <c r="AB1226" i="2"/>
  <c r="AC1226" i="2" s="1"/>
  <c r="AD1226" i="2" s="1"/>
  <c r="AE1225" i="2"/>
  <c r="AB1225" i="2"/>
  <c r="AC1225" i="2" s="1"/>
  <c r="AD1225" i="2" s="1"/>
  <c r="AE1224" i="2"/>
  <c r="AB1224" i="2"/>
  <c r="AC1224" i="2" s="1"/>
  <c r="AD1224" i="2" s="1"/>
  <c r="AE1223" i="2"/>
  <c r="AB1223" i="2"/>
  <c r="AC1223" i="2" s="1"/>
  <c r="AD1223" i="2" s="1"/>
  <c r="AE1222" i="2"/>
  <c r="AB1222" i="2"/>
  <c r="AC1222" i="2" s="1"/>
  <c r="AD1222" i="2" s="1"/>
  <c r="AE1221" i="2"/>
  <c r="AB1221" i="2"/>
  <c r="AC1221" i="2" s="1"/>
  <c r="AD1221" i="2" s="1"/>
  <c r="AE1220" i="2"/>
  <c r="AB1220" i="2"/>
  <c r="AC1220" i="2" s="1"/>
  <c r="AD1220" i="2" s="1"/>
  <c r="AE1219" i="2"/>
  <c r="AB1219" i="2"/>
  <c r="AC1219" i="2" s="1"/>
  <c r="AD1219" i="2" s="1"/>
  <c r="AE1218" i="2"/>
  <c r="AB1218" i="2"/>
  <c r="AC1218" i="2" s="1"/>
  <c r="AD1218" i="2" s="1"/>
  <c r="AE1217" i="2"/>
  <c r="AB1217" i="2"/>
  <c r="AC1217" i="2" s="1"/>
  <c r="AD1217" i="2" s="1"/>
  <c r="AE1216" i="2"/>
  <c r="AB1216" i="2"/>
  <c r="AC1216" i="2" s="1"/>
  <c r="AD1216" i="2" s="1"/>
  <c r="AE1215" i="2"/>
  <c r="AB1215" i="2"/>
  <c r="AC1215" i="2" s="1"/>
  <c r="AD1215" i="2" s="1"/>
  <c r="AB1214" i="2"/>
  <c r="AC1214" i="2" s="1"/>
  <c r="AD1214" i="2" s="1"/>
  <c r="AE1214" i="2"/>
  <c r="AE1213" i="2"/>
  <c r="AB1213" i="2"/>
  <c r="AC1213" i="2" s="1"/>
  <c r="AD1213" i="2" s="1"/>
  <c r="AB1212" i="2"/>
  <c r="AC1212" i="2" s="1"/>
  <c r="AD1212" i="2" s="1"/>
  <c r="AE1212" i="2"/>
  <c r="AE1211" i="2"/>
  <c r="AB1211" i="2"/>
  <c r="AC1211" i="2" s="1"/>
  <c r="AD1211" i="2" s="1"/>
  <c r="AB1210" i="2"/>
  <c r="AC1210" i="2" s="1"/>
  <c r="AD1210" i="2" s="1"/>
  <c r="AE1210" i="2"/>
  <c r="AB1209" i="2"/>
  <c r="AC1209" i="2" s="1"/>
  <c r="AD1209" i="2" s="1"/>
  <c r="AE1209" i="2"/>
  <c r="AB1208" i="2"/>
  <c r="AC1208" i="2" s="1"/>
  <c r="AD1208" i="2" s="1"/>
  <c r="AE1208" i="2"/>
  <c r="AE1207" i="2"/>
  <c r="AB1207" i="2"/>
  <c r="AC1207" i="2" s="1"/>
  <c r="AD1207" i="2" s="1"/>
  <c r="AE1206" i="2"/>
  <c r="AB1206" i="2"/>
  <c r="AC1206" i="2" s="1"/>
  <c r="AD1206" i="2" s="1"/>
  <c r="AE1205" i="2"/>
  <c r="AB1205" i="2"/>
  <c r="AC1205" i="2" s="1"/>
  <c r="AD1205" i="2" s="1"/>
  <c r="AE1204" i="2"/>
  <c r="AB1204" i="2"/>
  <c r="AC1204" i="2" s="1"/>
  <c r="AD1204" i="2" s="1"/>
  <c r="AE1203" i="2"/>
  <c r="AB1203" i="2"/>
  <c r="AC1203" i="2" s="1"/>
  <c r="AD1203" i="2" s="1"/>
  <c r="AE1202" i="2"/>
  <c r="AB1202" i="2"/>
  <c r="AC1202" i="2" s="1"/>
  <c r="AD1202" i="2" s="1"/>
  <c r="AB1201" i="2"/>
  <c r="AC1201" i="2" s="1"/>
  <c r="AD1201" i="2" s="1"/>
  <c r="AE1201" i="2"/>
  <c r="AE1200" i="2"/>
  <c r="AB1200" i="2"/>
  <c r="AC1200" i="2" s="1"/>
  <c r="AD1200" i="2" s="1"/>
  <c r="AB1199" i="2"/>
  <c r="AC1199" i="2" s="1"/>
  <c r="AD1199" i="2" s="1"/>
  <c r="AE1199" i="2"/>
  <c r="AB1198" i="2"/>
  <c r="AC1198" i="2" s="1"/>
  <c r="AD1198" i="2" s="1"/>
  <c r="AE1198" i="2"/>
  <c r="AB1197" i="2"/>
  <c r="AC1197" i="2" s="1"/>
  <c r="AD1197" i="2" s="1"/>
  <c r="AE1197" i="2"/>
  <c r="AE1196" i="2"/>
  <c r="AB1196" i="2"/>
  <c r="AC1196" i="2" s="1"/>
  <c r="AD1196" i="2" s="1"/>
  <c r="AB1195" i="2"/>
  <c r="AC1195" i="2" s="1"/>
  <c r="AD1195" i="2" s="1"/>
  <c r="AE1195" i="2"/>
  <c r="AB1194" i="2"/>
  <c r="AC1194" i="2" s="1"/>
  <c r="AD1194" i="2" s="1"/>
  <c r="AE1194" i="2"/>
  <c r="AB1193" i="2"/>
  <c r="AC1193" i="2" s="1"/>
  <c r="AD1193" i="2" s="1"/>
  <c r="AE1193" i="2"/>
  <c r="AE1192" i="2"/>
  <c r="AB1192" i="2"/>
  <c r="AC1192" i="2" s="1"/>
  <c r="AD1192" i="2" s="1"/>
  <c r="AE1191" i="2"/>
  <c r="AB1191" i="2"/>
  <c r="AC1191" i="2" s="1"/>
  <c r="AD1191" i="2" s="1"/>
  <c r="AB1190" i="2"/>
  <c r="AC1190" i="2" s="1"/>
  <c r="AD1190" i="2" s="1"/>
  <c r="AE1190" i="2"/>
  <c r="AE1189" i="2"/>
  <c r="AB1189" i="2"/>
  <c r="AC1189" i="2" s="1"/>
  <c r="AD1189" i="2" s="1"/>
  <c r="AE1188" i="2"/>
  <c r="AB1188" i="2"/>
  <c r="AC1188" i="2" s="1"/>
  <c r="AD1188" i="2" s="1"/>
  <c r="AE1187" i="2"/>
  <c r="AB1187" i="2"/>
  <c r="AC1187" i="2" s="1"/>
  <c r="AD1187" i="2" s="1"/>
  <c r="AE1186" i="2"/>
  <c r="AB1186" i="2"/>
  <c r="AC1186" i="2" s="1"/>
  <c r="AD1186" i="2" s="1"/>
  <c r="AE1185" i="2"/>
  <c r="AB1185" i="2"/>
  <c r="AC1185" i="2" s="1"/>
  <c r="AD1185" i="2" s="1"/>
  <c r="AE1184" i="2"/>
  <c r="AB1184" i="2"/>
  <c r="AC1184" i="2" s="1"/>
  <c r="AD1184" i="2" s="1"/>
  <c r="AE1183" i="2"/>
  <c r="AB1183" i="2"/>
  <c r="AC1183" i="2" s="1"/>
  <c r="AD1183" i="2" s="1"/>
  <c r="AE1182" i="2"/>
  <c r="AB1182" i="2"/>
  <c r="AC1182" i="2" s="1"/>
  <c r="AD1182" i="2" s="1"/>
  <c r="AE1181" i="2"/>
  <c r="AB1181" i="2"/>
  <c r="AC1181" i="2" s="1"/>
  <c r="AD1181" i="2" s="1"/>
  <c r="AE1180" i="2"/>
  <c r="AB1180" i="2"/>
  <c r="AC1180" i="2" s="1"/>
  <c r="AD1180" i="2" s="1"/>
  <c r="AE1179" i="2"/>
  <c r="AB1179" i="2"/>
  <c r="AC1179" i="2" s="1"/>
  <c r="AD1179" i="2" s="1"/>
  <c r="AB1178" i="2"/>
  <c r="AC1178" i="2" s="1"/>
  <c r="AD1178" i="2" s="1"/>
  <c r="AE1178" i="2"/>
  <c r="AE1177" i="2"/>
  <c r="AB1177" i="2"/>
  <c r="AC1177" i="2" s="1"/>
  <c r="AD1177" i="2" s="1"/>
  <c r="AB1176" i="2"/>
  <c r="AC1176" i="2" s="1"/>
  <c r="AD1176" i="2" s="1"/>
  <c r="AE1176" i="2"/>
  <c r="AE1175" i="2"/>
  <c r="AB1175" i="2"/>
  <c r="AC1175" i="2" s="1"/>
  <c r="AD1175" i="2" s="1"/>
  <c r="AE1174" i="2"/>
  <c r="AB1174" i="2"/>
  <c r="AC1174" i="2" s="1"/>
  <c r="AD1174" i="2" s="1"/>
  <c r="AE1173" i="2"/>
  <c r="AB1173" i="2"/>
  <c r="AC1173" i="2" s="1"/>
  <c r="AD1173" i="2" s="1"/>
  <c r="AB1172" i="2"/>
  <c r="AC1172" i="2" s="1"/>
  <c r="AD1172" i="2" s="1"/>
  <c r="AE1172" i="2"/>
  <c r="AB1171" i="2"/>
  <c r="AC1171" i="2" s="1"/>
  <c r="AD1171" i="2" s="1"/>
  <c r="AE1171" i="2"/>
  <c r="AB1170" i="2"/>
  <c r="AC1170" i="2" s="1"/>
  <c r="AD1170" i="2" s="1"/>
  <c r="AE1170" i="2"/>
  <c r="AE1169" i="2"/>
  <c r="AB1169" i="2"/>
  <c r="AC1169" i="2" s="1"/>
  <c r="AD1169" i="2" s="1"/>
  <c r="AB1168" i="2"/>
  <c r="AC1168" i="2" s="1"/>
  <c r="AD1168" i="2" s="1"/>
  <c r="AE1168" i="2"/>
  <c r="AB1167" i="2"/>
  <c r="AC1167" i="2" s="1"/>
  <c r="AD1167" i="2" s="1"/>
  <c r="AE1167" i="2"/>
  <c r="AB1166" i="2"/>
  <c r="AC1166" i="2" s="1"/>
  <c r="AD1166" i="2" s="1"/>
  <c r="AE1166" i="2"/>
  <c r="AB1165" i="2"/>
  <c r="AC1165" i="2" s="1"/>
  <c r="AD1165" i="2" s="1"/>
  <c r="AE1165" i="2"/>
  <c r="AB1164" i="2"/>
  <c r="AC1164" i="2" s="1"/>
  <c r="AD1164" i="2" s="1"/>
  <c r="AE1164" i="2"/>
  <c r="AB1163" i="2"/>
  <c r="AC1163" i="2" s="1"/>
  <c r="AD1163" i="2" s="1"/>
  <c r="AE1163" i="2"/>
  <c r="AE1162" i="2"/>
  <c r="AB1162" i="2"/>
  <c r="AC1162" i="2" s="1"/>
  <c r="AD1162" i="2" s="1"/>
  <c r="AB1161" i="2"/>
  <c r="AC1161" i="2" s="1"/>
  <c r="AD1161" i="2" s="1"/>
  <c r="AE1161" i="2"/>
  <c r="AB1160" i="2"/>
  <c r="AC1160" i="2" s="1"/>
  <c r="AD1160" i="2" s="1"/>
  <c r="AE1160" i="2"/>
  <c r="AB1159" i="2"/>
  <c r="AC1159" i="2" s="1"/>
  <c r="AD1159" i="2" s="1"/>
  <c r="AE1159" i="2"/>
  <c r="AE1158" i="2"/>
  <c r="AB1158" i="2"/>
  <c r="AC1158" i="2" s="1"/>
  <c r="AD1158" i="2" s="1"/>
  <c r="AE1157" i="2"/>
  <c r="AB1157" i="2"/>
  <c r="AC1157" i="2" s="1"/>
  <c r="AD1157" i="2" s="1"/>
  <c r="AE1156" i="2"/>
  <c r="AB1156" i="2"/>
  <c r="AC1156" i="2" s="1"/>
  <c r="AD1156" i="2" s="1"/>
  <c r="AB1155" i="2"/>
  <c r="AC1155" i="2" s="1"/>
  <c r="AD1155" i="2" s="1"/>
  <c r="AE1155" i="2"/>
  <c r="AE1154" i="2"/>
  <c r="AB1154" i="2"/>
  <c r="AC1154" i="2" s="1"/>
  <c r="AD1154" i="2" s="1"/>
  <c r="AB1153" i="2"/>
  <c r="AC1153" i="2" s="1"/>
  <c r="AD1153" i="2" s="1"/>
  <c r="AE1153" i="2"/>
  <c r="AE1152" i="2"/>
  <c r="AB1152" i="2"/>
  <c r="AC1152" i="2" s="1"/>
  <c r="AD1152" i="2" s="1"/>
  <c r="AE1151" i="2"/>
  <c r="AB1151" i="2"/>
  <c r="AC1151" i="2" s="1"/>
  <c r="AD1151" i="2" s="1"/>
  <c r="AE1150" i="2"/>
  <c r="AB1150" i="2"/>
  <c r="AC1150" i="2" s="1"/>
  <c r="AD1150" i="2" s="1"/>
  <c r="AB1149" i="2"/>
  <c r="AC1149" i="2" s="1"/>
  <c r="AD1149" i="2" s="1"/>
  <c r="AE1149" i="2"/>
  <c r="AB1148" i="2"/>
  <c r="AC1148" i="2" s="1"/>
  <c r="AD1148" i="2" s="1"/>
  <c r="AE1148" i="2"/>
  <c r="AB1147" i="2"/>
  <c r="AC1147" i="2" s="1"/>
  <c r="AD1147" i="2" s="1"/>
  <c r="AE1147" i="2"/>
  <c r="AE1146" i="2"/>
  <c r="AB1146" i="2"/>
  <c r="AC1146" i="2" s="1"/>
  <c r="AD1146" i="2" s="1"/>
  <c r="AB1145" i="2"/>
  <c r="AC1145" i="2" s="1"/>
  <c r="AD1145" i="2" s="1"/>
  <c r="AE1145" i="2"/>
  <c r="AB1144" i="2"/>
  <c r="AC1144" i="2" s="1"/>
  <c r="AD1144" i="2" s="1"/>
  <c r="AE1144" i="2"/>
  <c r="AE1143" i="2"/>
  <c r="AB1143" i="2"/>
  <c r="AC1143" i="2" s="1"/>
  <c r="AD1143" i="2" s="1"/>
  <c r="AB1142" i="2"/>
  <c r="AC1142" i="2" s="1"/>
  <c r="AD1142" i="2" s="1"/>
  <c r="AE1142" i="2"/>
  <c r="AB1141" i="2"/>
  <c r="AC1141" i="2" s="1"/>
  <c r="AD1141" i="2" s="1"/>
  <c r="AE1141" i="2"/>
  <c r="AE1140" i="2"/>
  <c r="AB1140" i="2"/>
  <c r="AC1140" i="2" s="1"/>
  <c r="AD1140" i="2" s="1"/>
  <c r="AE1139" i="2"/>
  <c r="AB1139" i="2"/>
  <c r="AC1139" i="2" s="1"/>
  <c r="AD1139" i="2" s="1"/>
  <c r="AE1138" i="2"/>
  <c r="AB1138" i="2"/>
  <c r="AC1138" i="2" s="1"/>
  <c r="AD1138" i="2" s="1"/>
  <c r="AB1137" i="2"/>
  <c r="AC1137" i="2" s="1"/>
  <c r="AD1137" i="2" s="1"/>
  <c r="AE1137" i="2"/>
  <c r="AE1136" i="2"/>
  <c r="AB1136" i="2"/>
  <c r="AC1136" i="2" s="1"/>
  <c r="AD1136" i="2" s="1"/>
  <c r="AE1135" i="2"/>
  <c r="AB1135" i="2"/>
  <c r="AC1135" i="2" s="1"/>
  <c r="AD1135" i="2" s="1"/>
  <c r="AE1134" i="2"/>
  <c r="AB1134" i="2"/>
  <c r="AC1134" i="2" s="1"/>
  <c r="AD1134" i="2" s="1"/>
  <c r="AE1133" i="2"/>
  <c r="AB1133" i="2"/>
  <c r="AC1133" i="2" s="1"/>
  <c r="AD1133" i="2" s="1"/>
  <c r="AE1132" i="2"/>
  <c r="AB1132" i="2"/>
  <c r="AC1132" i="2" s="1"/>
  <c r="AD1132" i="2" s="1"/>
  <c r="AB1131" i="2"/>
  <c r="AC1131" i="2" s="1"/>
  <c r="AD1131" i="2" s="1"/>
  <c r="AE1131" i="2"/>
  <c r="AB1130" i="2"/>
  <c r="AC1130" i="2" s="1"/>
  <c r="AD1130" i="2" s="1"/>
  <c r="AE1130" i="2"/>
  <c r="AB1129" i="2"/>
  <c r="AC1129" i="2" s="1"/>
  <c r="AD1129" i="2" s="1"/>
  <c r="AE1129" i="2"/>
  <c r="AE1128" i="2"/>
  <c r="AB1128" i="2"/>
  <c r="AC1128" i="2" s="1"/>
  <c r="AD1128" i="2" s="1"/>
  <c r="AE1127" i="2"/>
  <c r="AB1127" i="2"/>
  <c r="AC1127" i="2" s="1"/>
  <c r="AD1127" i="2" s="1"/>
  <c r="AE1126" i="2"/>
  <c r="AB1126" i="2"/>
  <c r="AC1126" i="2" s="1"/>
  <c r="AD1126" i="2" s="1"/>
  <c r="AE1125" i="2"/>
  <c r="AB1125" i="2"/>
  <c r="AC1125" i="2" s="1"/>
  <c r="AD1125" i="2" s="1"/>
  <c r="AB1124" i="2"/>
  <c r="AC1124" i="2" s="1"/>
  <c r="AD1124" i="2" s="1"/>
  <c r="AE1124" i="2"/>
  <c r="AE1123" i="2"/>
  <c r="AB1123" i="2"/>
  <c r="AC1123" i="2" s="1"/>
  <c r="AD1123" i="2" s="1"/>
  <c r="AE1122" i="2"/>
  <c r="AB1122" i="2"/>
  <c r="AC1122" i="2" s="1"/>
  <c r="AD1122" i="2" s="1"/>
  <c r="AE1121" i="2"/>
  <c r="AB1121" i="2"/>
  <c r="AC1121" i="2" s="1"/>
  <c r="AD1121" i="2" s="1"/>
  <c r="AB1120" i="2"/>
  <c r="AC1120" i="2" s="1"/>
  <c r="AD1120" i="2" s="1"/>
  <c r="AE1120" i="2"/>
  <c r="AE1119" i="2"/>
  <c r="AB1119" i="2"/>
  <c r="AC1119" i="2" s="1"/>
  <c r="AD1119" i="2" s="1"/>
  <c r="AB1118" i="2"/>
  <c r="AC1118" i="2" s="1"/>
  <c r="AD1118" i="2" s="1"/>
  <c r="AE1118" i="2"/>
  <c r="AE1117" i="2"/>
  <c r="AB1117" i="2"/>
  <c r="AC1117" i="2" s="1"/>
  <c r="AD1117" i="2" s="1"/>
  <c r="AE1116" i="2"/>
  <c r="AB1116" i="2"/>
  <c r="AC1116" i="2" s="1"/>
  <c r="AD1116" i="2" s="1"/>
  <c r="AE1115" i="2"/>
  <c r="AB1115" i="2"/>
  <c r="AC1115" i="2" s="1"/>
  <c r="AD1115" i="2" s="1"/>
  <c r="AE1114" i="2"/>
  <c r="AB1114" i="2"/>
  <c r="AC1114" i="2" s="1"/>
  <c r="AD1114" i="2" s="1"/>
  <c r="AB1113" i="2"/>
  <c r="AC1113" i="2" s="1"/>
  <c r="AD1113" i="2" s="1"/>
  <c r="AE1113" i="2"/>
  <c r="AE1112" i="2"/>
  <c r="AB1112" i="2"/>
  <c r="AC1112" i="2" s="1"/>
  <c r="AD1112" i="2" s="1"/>
  <c r="AB1111" i="2"/>
  <c r="AC1111" i="2" s="1"/>
  <c r="AD1111" i="2" s="1"/>
  <c r="AE1111" i="2"/>
  <c r="AB1110" i="2"/>
  <c r="AC1110" i="2" s="1"/>
  <c r="AD1110" i="2" s="1"/>
  <c r="AE1110" i="2"/>
  <c r="AB1109" i="2"/>
  <c r="AC1109" i="2" s="1"/>
  <c r="AD1109" i="2" s="1"/>
  <c r="AE1109" i="2"/>
  <c r="AB1108" i="2"/>
  <c r="AC1108" i="2" s="1"/>
  <c r="AD1108" i="2" s="1"/>
  <c r="AE1108" i="2"/>
  <c r="AE1107" i="2"/>
  <c r="AB1107" i="2"/>
  <c r="AC1107" i="2" s="1"/>
  <c r="AD1107" i="2" s="1"/>
  <c r="AE1106" i="2"/>
  <c r="AB1106" i="2"/>
  <c r="AC1106" i="2" s="1"/>
  <c r="AD1106" i="2" s="1"/>
  <c r="AE1105" i="2"/>
  <c r="AB1105" i="2"/>
  <c r="AC1105" i="2" s="1"/>
  <c r="AD1105" i="2" s="1"/>
  <c r="AB1104" i="2"/>
  <c r="AC1104" i="2" s="1"/>
  <c r="AD1104" i="2" s="1"/>
  <c r="AE1104" i="2"/>
  <c r="AE1103" i="2"/>
  <c r="AB1103" i="2"/>
  <c r="AC1103" i="2" s="1"/>
  <c r="AD1103" i="2" s="1"/>
  <c r="AE1102" i="2"/>
  <c r="AB1102" i="2"/>
  <c r="AC1102" i="2" s="1"/>
  <c r="AD1102" i="2" s="1"/>
  <c r="AE1101" i="2"/>
  <c r="AB1101" i="2"/>
  <c r="AC1101" i="2" s="1"/>
  <c r="AD1101" i="2" s="1"/>
  <c r="AE1100" i="2"/>
  <c r="AB1100" i="2"/>
  <c r="AC1100" i="2" s="1"/>
  <c r="AD1100" i="2" s="1"/>
  <c r="AB1099" i="2"/>
  <c r="AC1099" i="2" s="1"/>
  <c r="AD1099" i="2" s="1"/>
  <c r="AE1099" i="2"/>
  <c r="AB1098" i="2"/>
  <c r="AC1098" i="2" s="1"/>
  <c r="AD1098" i="2" s="1"/>
  <c r="AE1098" i="2"/>
  <c r="AB1097" i="2"/>
  <c r="AC1097" i="2" s="1"/>
  <c r="AD1097" i="2" s="1"/>
  <c r="AE1097" i="2"/>
  <c r="AB1096" i="2"/>
  <c r="AC1096" i="2" s="1"/>
  <c r="AD1096" i="2" s="1"/>
  <c r="AE1096" i="2"/>
  <c r="AB1095" i="2"/>
  <c r="AC1095" i="2" s="1"/>
  <c r="AD1095" i="2" s="1"/>
  <c r="AE1095" i="2"/>
  <c r="AB1094" i="2"/>
  <c r="AC1094" i="2" s="1"/>
  <c r="AD1094" i="2" s="1"/>
  <c r="AE1094" i="2"/>
  <c r="AB1093" i="2"/>
  <c r="AC1093" i="2" s="1"/>
  <c r="AD1093" i="2" s="1"/>
  <c r="AE1093" i="2"/>
  <c r="AE1092" i="2"/>
  <c r="AB1092" i="2"/>
  <c r="AC1092" i="2" s="1"/>
  <c r="AD1092" i="2" s="1"/>
  <c r="AE1091" i="2"/>
  <c r="AB1091" i="2"/>
  <c r="AC1091" i="2" s="1"/>
  <c r="AD1091" i="2" s="1"/>
  <c r="AE1090" i="2"/>
  <c r="AB1090" i="2"/>
  <c r="AC1090" i="2" s="1"/>
  <c r="AD1090" i="2" s="1"/>
  <c r="AE1089" i="2"/>
  <c r="AB1089" i="2"/>
  <c r="AC1089" i="2" s="1"/>
  <c r="AD1089" i="2" s="1"/>
  <c r="AE1088" i="2"/>
  <c r="AB1088" i="2"/>
  <c r="AC1088" i="2" s="1"/>
  <c r="AD1088" i="2" s="1"/>
  <c r="AE1087" i="2"/>
  <c r="AB1087" i="2"/>
  <c r="AC1087" i="2" s="1"/>
  <c r="AD1087" i="2" s="1"/>
  <c r="AE1086" i="2"/>
  <c r="AB1086" i="2"/>
  <c r="AC1086" i="2" s="1"/>
  <c r="AD1086" i="2" s="1"/>
  <c r="AB1085" i="2"/>
  <c r="AC1085" i="2" s="1"/>
  <c r="AD1085" i="2" s="1"/>
  <c r="AE1085" i="2"/>
  <c r="AE1084" i="2"/>
  <c r="AB1084" i="2"/>
  <c r="AC1084" i="2" s="1"/>
  <c r="AD1084" i="2" s="1"/>
  <c r="AE1083" i="2"/>
  <c r="AB1083" i="2"/>
  <c r="AC1083" i="2" s="1"/>
  <c r="AD1083" i="2" s="1"/>
  <c r="AE1082" i="2"/>
  <c r="AB1082" i="2"/>
  <c r="AC1082" i="2" s="1"/>
  <c r="AD1082" i="2" s="1"/>
  <c r="AB1081" i="2"/>
  <c r="AC1081" i="2" s="1"/>
  <c r="AD1081" i="2" s="1"/>
  <c r="AE1081" i="2"/>
  <c r="AB1080" i="2"/>
  <c r="AC1080" i="2" s="1"/>
  <c r="AD1080" i="2" s="1"/>
  <c r="AE1080" i="2"/>
  <c r="AB1079" i="2"/>
  <c r="AC1079" i="2" s="1"/>
  <c r="AD1079" i="2" s="1"/>
  <c r="AE1079" i="2"/>
  <c r="AB1078" i="2"/>
  <c r="AC1078" i="2" s="1"/>
  <c r="AD1078" i="2" s="1"/>
  <c r="AE1078" i="2"/>
  <c r="AB1077" i="2"/>
  <c r="AC1077" i="2" s="1"/>
  <c r="AD1077" i="2" s="1"/>
  <c r="AE1077" i="2"/>
  <c r="AE1076" i="2"/>
  <c r="AB1076" i="2"/>
  <c r="AC1076" i="2" s="1"/>
  <c r="AD1076" i="2" s="1"/>
  <c r="AB1075" i="2"/>
  <c r="AC1075" i="2" s="1"/>
  <c r="AD1075" i="2" s="1"/>
  <c r="AE1075" i="2"/>
  <c r="AB1074" i="2"/>
  <c r="AC1074" i="2" s="1"/>
  <c r="AD1074" i="2" s="1"/>
  <c r="AE1074" i="2"/>
  <c r="AB1073" i="2"/>
  <c r="AC1073" i="2" s="1"/>
  <c r="AD1073" i="2" s="1"/>
  <c r="AE1073" i="2"/>
  <c r="AE1072" i="2"/>
  <c r="AB1072" i="2"/>
  <c r="AC1072" i="2" s="1"/>
  <c r="AD1072" i="2" s="1"/>
  <c r="AE1071" i="2"/>
  <c r="AB1071" i="2"/>
  <c r="AC1071" i="2" s="1"/>
  <c r="AD1071" i="2" s="1"/>
  <c r="AE1070" i="2"/>
  <c r="AB1070" i="2"/>
  <c r="AC1070" i="2" s="1"/>
  <c r="AD1070" i="2" s="1"/>
  <c r="AB1069" i="2"/>
  <c r="AC1069" i="2" s="1"/>
  <c r="AD1069" i="2" s="1"/>
  <c r="AE1069" i="2"/>
  <c r="AE1068" i="2"/>
  <c r="AB1068" i="2"/>
  <c r="AC1068" i="2" s="1"/>
  <c r="AD1068" i="2" s="1"/>
  <c r="AE1067" i="2"/>
  <c r="AB1067" i="2"/>
  <c r="AC1067" i="2" s="1"/>
  <c r="AD1067" i="2" s="1"/>
  <c r="AE1066" i="2"/>
  <c r="AB1066" i="2"/>
  <c r="AC1066" i="2" s="1"/>
  <c r="AD1066" i="2" s="1"/>
  <c r="AE1065" i="2"/>
  <c r="AB1065" i="2"/>
  <c r="AC1065" i="2" s="1"/>
  <c r="AD1065" i="2" s="1"/>
  <c r="AB1064" i="2"/>
  <c r="AC1064" i="2" s="1"/>
  <c r="AD1064" i="2" s="1"/>
  <c r="AE1064" i="2"/>
  <c r="AB1063" i="2"/>
  <c r="AC1063" i="2" s="1"/>
  <c r="AD1063" i="2" s="1"/>
  <c r="AE1063" i="2"/>
  <c r="AE1062" i="2"/>
  <c r="AB1062" i="2"/>
  <c r="AC1062" i="2" s="1"/>
  <c r="AD1062" i="2" s="1"/>
  <c r="AE1061" i="2"/>
  <c r="AB1061" i="2"/>
  <c r="AC1061" i="2" s="1"/>
  <c r="AD1061" i="2" s="1"/>
  <c r="AE1060" i="2"/>
  <c r="AB1060" i="2"/>
  <c r="AC1060" i="2" s="1"/>
  <c r="AD1060" i="2" s="1"/>
  <c r="AE1059" i="2"/>
  <c r="AB1059" i="2"/>
  <c r="AC1059" i="2" s="1"/>
  <c r="AD1059" i="2" s="1"/>
  <c r="AB1058" i="2"/>
  <c r="AC1058" i="2" s="1"/>
  <c r="AD1058" i="2" s="1"/>
  <c r="AE1058" i="2"/>
  <c r="AE1057" i="2"/>
  <c r="AB1057" i="2"/>
  <c r="AC1057" i="2" s="1"/>
  <c r="AD1057" i="2" s="1"/>
  <c r="AE1056" i="2"/>
  <c r="AB1056" i="2"/>
  <c r="AC1056" i="2" s="1"/>
  <c r="AD1056" i="2" s="1"/>
  <c r="AE1055" i="2"/>
  <c r="AB1055" i="2"/>
  <c r="AC1055" i="2" s="1"/>
  <c r="AD1055" i="2" s="1"/>
  <c r="AE1054" i="2"/>
  <c r="AB1054" i="2"/>
  <c r="AC1054" i="2" s="1"/>
  <c r="AD1054" i="2" s="1"/>
  <c r="AB1053" i="2"/>
  <c r="AC1053" i="2" s="1"/>
  <c r="AD1053" i="2" s="1"/>
  <c r="AE1053" i="2"/>
  <c r="AB1052" i="2"/>
  <c r="AC1052" i="2" s="1"/>
  <c r="AD1052" i="2" s="1"/>
  <c r="AE1052" i="2"/>
  <c r="AB1051" i="2"/>
  <c r="AC1051" i="2" s="1"/>
  <c r="AD1051" i="2" s="1"/>
  <c r="AE1051" i="2"/>
  <c r="AB1050" i="2"/>
  <c r="AC1050" i="2" s="1"/>
  <c r="AD1050" i="2" s="1"/>
  <c r="AE1050" i="2"/>
  <c r="AB1049" i="2"/>
  <c r="AC1049" i="2" s="1"/>
  <c r="AD1049" i="2" s="1"/>
  <c r="AE1049" i="2"/>
  <c r="AE1048" i="2"/>
  <c r="AB1048" i="2"/>
  <c r="AC1048" i="2" s="1"/>
  <c r="AD1048" i="2" s="1"/>
  <c r="AB1047" i="2"/>
  <c r="AC1047" i="2" s="1"/>
  <c r="AD1047" i="2" s="1"/>
  <c r="AE1047" i="2"/>
  <c r="AE1046" i="2"/>
  <c r="AB1046" i="2"/>
  <c r="AC1046" i="2" s="1"/>
  <c r="AD1046" i="2" s="1"/>
  <c r="AB1045" i="2"/>
  <c r="AC1045" i="2" s="1"/>
  <c r="AD1045" i="2" s="1"/>
  <c r="AE1045" i="2"/>
  <c r="AE1044" i="2"/>
  <c r="AB1044" i="2"/>
  <c r="AC1044" i="2" s="1"/>
  <c r="AD1044" i="2" s="1"/>
  <c r="AB1043" i="2"/>
  <c r="AC1043" i="2" s="1"/>
  <c r="AD1043" i="2" s="1"/>
  <c r="AE1043" i="2"/>
  <c r="AB1042" i="2"/>
  <c r="AC1042" i="2" s="1"/>
  <c r="AD1042" i="2" s="1"/>
  <c r="AE1042" i="2"/>
  <c r="AB1041" i="2"/>
  <c r="AC1041" i="2" s="1"/>
  <c r="AD1041" i="2" s="1"/>
  <c r="AE1041" i="2"/>
  <c r="AE1040" i="2"/>
  <c r="AB1040" i="2"/>
  <c r="AC1040" i="2" s="1"/>
  <c r="AD1040" i="2" s="1"/>
  <c r="AB1039" i="2"/>
  <c r="AC1039" i="2" s="1"/>
  <c r="AD1039" i="2" s="1"/>
  <c r="AE1039" i="2"/>
  <c r="AB1038" i="2"/>
  <c r="AC1038" i="2" s="1"/>
  <c r="AD1038" i="2" s="1"/>
  <c r="AE1038" i="2"/>
  <c r="AB1037" i="2"/>
  <c r="AC1037" i="2" s="1"/>
  <c r="AD1037" i="2" s="1"/>
  <c r="AE1037" i="2"/>
  <c r="AE1036" i="2"/>
  <c r="AB1036" i="2"/>
  <c r="AC1036" i="2" s="1"/>
  <c r="AD1036" i="2" s="1"/>
  <c r="AB1035" i="2"/>
  <c r="AC1035" i="2" s="1"/>
  <c r="AD1035" i="2" s="1"/>
  <c r="AE1035" i="2"/>
  <c r="AE1034" i="2"/>
  <c r="AB1034" i="2"/>
  <c r="AC1034" i="2" s="1"/>
  <c r="AD1034" i="2" s="1"/>
  <c r="AB1033" i="2"/>
  <c r="AC1033" i="2" s="1"/>
  <c r="AD1033" i="2" s="1"/>
  <c r="AE1033" i="2"/>
  <c r="AB1032" i="2"/>
  <c r="AC1032" i="2" s="1"/>
  <c r="AD1032" i="2" s="1"/>
  <c r="AE1032" i="2"/>
  <c r="AB1031" i="2"/>
  <c r="AC1031" i="2" s="1"/>
  <c r="AD1031" i="2" s="1"/>
  <c r="AE1031" i="2"/>
  <c r="AB1029" i="2"/>
  <c r="AC1029" i="2" s="1"/>
  <c r="AD1029" i="2" s="1"/>
  <c r="AE1029" i="2"/>
  <c r="AB1028" i="2"/>
  <c r="AC1028" i="2" s="1"/>
  <c r="AD1028" i="2" s="1"/>
  <c r="AE1028" i="2"/>
  <c r="AE1027" i="2"/>
  <c r="AB1027" i="2"/>
  <c r="AC1027" i="2" s="1"/>
  <c r="AD1027" i="2" s="1"/>
  <c r="AE1026" i="2"/>
  <c r="AB1026" i="2"/>
  <c r="AC1026" i="2" s="1"/>
  <c r="AD1026" i="2" s="1"/>
  <c r="AB1025" i="2"/>
  <c r="AC1025" i="2" s="1"/>
  <c r="AD1025" i="2" s="1"/>
  <c r="AE1025" i="2"/>
  <c r="AB1024" i="2"/>
  <c r="AC1024" i="2" s="1"/>
  <c r="AD1024" i="2" s="1"/>
  <c r="AE1024" i="2"/>
  <c r="AE1023" i="2"/>
  <c r="AB1023" i="2"/>
  <c r="AC1023" i="2" s="1"/>
  <c r="AD1023" i="2" s="1"/>
  <c r="AE1022" i="2"/>
  <c r="AB1022" i="2"/>
  <c r="AC1022" i="2" s="1"/>
  <c r="AD1022" i="2" s="1"/>
  <c r="AE1021" i="2"/>
  <c r="AB1021" i="2"/>
  <c r="AC1021" i="2" s="1"/>
  <c r="AD1021" i="2" s="1"/>
  <c r="AB1020" i="2"/>
  <c r="AC1020" i="2" s="1"/>
  <c r="AD1020" i="2" s="1"/>
  <c r="AE1020" i="2"/>
  <c r="AB1019" i="2"/>
  <c r="AC1019" i="2" s="1"/>
  <c r="AD1019" i="2" s="1"/>
  <c r="AE1019" i="2"/>
  <c r="AB1018" i="2"/>
  <c r="AC1018" i="2" s="1"/>
  <c r="AD1018" i="2" s="1"/>
  <c r="AE1018" i="2"/>
  <c r="AB1017" i="2"/>
  <c r="AC1017" i="2" s="1"/>
  <c r="AD1017" i="2" s="1"/>
  <c r="AE1017" i="2"/>
  <c r="AB1016" i="2"/>
  <c r="AC1016" i="2" s="1"/>
  <c r="AD1016" i="2" s="1"/>
  <c r="AE1016" i="2"/>
  <c r="AB1015" i="2"/>
  <c r="AC1015" i="2" s="1"/>
  <c r="AD1015" i="2" s="1"/>
  <c r="AE1015" i="2"/>
  <c r="AB1014" i="2"/>
  <c r="AC1014" i="2" s="1"/>
  <c r="AD1014" i="2" s="1"/>
  <c r="AE1014" i="2"/>
  <c r="AB1013" i="2"/>
  <c r="AC1013" i="2" s="1"/>
  <c r="AD1013" i="2" s="1"/>
  <c r="AE1013" i="2"/>
  <c r="AB1012" i="2"/>
  <c r="AC1012" i="2" s="1"/>
  <c r="AD1012" i="2" s="1"/>
  <c r="AE1012" i="2"/>
  <c r="AE1011" i="2"/>
  <c r="AB1011" i="2"/>
  <c r="AC1011" i="2" s="1"/>
  <c r="AD1011" i="2" s="1"/>
  <c r="AE1010" i="2"/>
  <c r="AB1010" i="2"/>
  <c r="AC1010" i="2" s="1"/>
  <c r="AD1010" i="2" s="1"/>
  <c r="AE1009" i="2"/>
  <c r="AB1009" i="2"/>
  <c r="AC1009" i="2" s="1"/>
  <c r="AD1009" i="2" s="1"/>
  <c r="AB1008" i="2"/>
  <c r="AC1008" i="2" s="1"/>
  <c r="AD1008" i="2" s="1"/>
  <c r="AE1008" i="2"/>
  <c r="AB1007" i="2"/>
  <c r="AC1007" i="2" s="1"/>
  <c r="AD1007" i="2" s="1"/>
  <c r="AE1007" i="2"/>
  <c r="AB1006" i="2"/>
  <c r="AC1006" i="2" s="1"/>
  <c r="AD1006" i="2" s="1"/>
  <c r="AE1006" i="2"/>
  <c r="AE1005" i="2"/>
  <c r="AB1005" i="2"/>
  <c r="AC1005" i="2" s="1"/>
  <c r="AD1005" i="2" s="1"/>
  <c r="AB1004" i="2"/>
  <c r="AC1004" i="2" s="1"/>
  <c r="AD1004" i="2" s="1"/>
  <c r="AE1004" i="2"/>
  <c r="AB1003" i="2"/>
  <c r="AC1003" i="2" s="1"/>
  <c r="AD1003" i="2" s="1"/>
  <c r="AE1003" i="2"/>
  <c r="AB1002" i="2"/>
  <c r="AC1002" i="2" s="1"/>
  <c r="AD1002" i="2" s="1"/>
  <c r="AE1002" i="2"/>
  <c r="AB1001" i="2"/>
  <c r="AC1001" i="2" s="1"/>
  <c r="AD1001" i="2" s="1"/>
  <c r="AE1001" i="2"/>
  <c r="AE1000" i="2"/>
  <c r="AB1000" i="2"/>
  <c r="AC1000" i="2" s="1"/>
  <c r="AD1000" i="2" s="1"/>
  <c r="AE999" i="2"/>
  <c r="AB999" i="2"/>
  <c r="AC999" i="2" s="1"/>
  <c r="AD999" i="2" s="1"/>
  <c r="AE998" i="2"/>
  <c r="AB998" i="2"/>
  <c r="AC998" i="2" s="1"/>
  <c r="AD998" i="2" s="1"/>
  <c r="AE997" i="2"/>
  <c r="AB997" i="2"/>
  <c r="AC997" i="2" s="1"/>
  <c r="AD997" i="2" s="1"/>
  <c r="AE996" i="2"/>
  <c r="AB996" i="2"/>
  <c r="AC996" i="2" s="1"/>
  <c r="AD996" i="2" s="1"/>
  <c r="AE995" i="2"/>
  <c r="AB995" i="2"/>
  <c r="AC995" i="2" s="1"/>
  <c r="AD995" i="2" s="1"/>
  <c r="AE994" i="2"/>
  <c r="AB994" i="2"/>
  <c r="AC994" i="2" s="1"/>
  <c r="AD994" i="2" s="1"/>
  <c r="AE993" i="2"/>
  <c r="AB993" i="2"/>
  <c r="AC993" i="2" s="1"/>
  <c r="AD993" i="2" s="1"/>
  <c r="AE992" i="2"/>
  <c r="AB992" i="2"/>
  <c r="AC992" i="2" s="1"/>
  <c r="AD992" i="2" s="1"/>
  <c r="AE991" i="2"/>
  <c r="AB991" i="2"/>
  <c r="AC991" i="2" s="1"/>
  <c r="AD991" i="2" s="1"/>
  <c r="AE990" i="2"/>
  <c r="AB990" i="2"/>
  <c r="AC990" i="2" s="1"/>
  <c r="AD990" i="2" s="1"/>
  <c r="AB989" i="2"/>
  <c r="AC989" i="2" s="1"/>
  <c r="AD989" i="2" s="1"/>
  <c r="AE989" i="2"/>
  <c r="AE988" i="2"/>
  <c r="AB988" i="2"/>
  <c r="AC988" i="2" s="1"/>
  <c r="AD988" i="2" s="1"/>
  <c r="AE987" i="2"/>
  <c r="AB987" i="2"/>
  <c r="AC987" i="2" s="1"/>
  <c r="AD987" i="2" s="1"/>
  <c r="AE986" i="2"/>
  <c r="AB986" i="2"/>
  <c r="AC986" i="2" s="1"/>
  <c r="AD986" i="2" s="1"/>
  <c r="AE985" i="2"/>
  <c r="AB985" i="2"/>
  <c r="AC985" i="2" s="1"/>
  <c r="AD985" i="2" s="1"/>
  <c r="AE984" i="2"/>
  <c r="AB984" i="2"/>
  <c r="AC984" i="2" s="1"/>
  <c r="AD984" i="2" s="1"/>
  <c r="AE983" i="2"/>
  <c r="AB983" i="2"/>
  <c r="AC983" i="2" s="1"/>
  <c r="AD983" i="2" s="1"/>
  <c r="AE982" i="2"/>
  <c r="AB982" i="2"/>
  <c r="AC982" i="2" s="1"/>
  <c r="AD982" i="2" s="1"/>
  <c r="AE981" i="2"/>
  <c r="AB981" i="2"/>
  <c r="AC981" i="2" s="1"/>
  <c r="AD981" i="2" s="1"/>
  <c r="AE980" i="2"/>
  <c r="AB980" i="2"/>
  <c r="AC980" i="2" s="1"/>
  <c r="AD980" i="2" s="1"/>
  <c r="AE979" i="2"/>
  <c r="AB979" i="2"/>
  <c r="AC979" i="2" s="1"/>
  <c r="AD979" i="2" s="1"/>
  <c r="AE978" i="2"/>
  <c r="AB978" i="2"/>
  <c r="AC978" i="2" s="1"/>
  <c r="AD978" i="2" s="1"/>
  <c r="AE977" i="2"/>
  <c r="AB977" i="2"/>
  <c r="AC977" i="2" s="1"/>
  <c r="AD977" i="2" s="1"/>
  <c r="AE976" i="2"/>
  <c r="AB976" i="2"/>
  <c r="AC976" i="2" s="1"/>
  <c r="AD976" i="2" s="1"/>
  <c r="AE975" i="2"/>
  <c r="AB975" i="2"/>
  <c r="AC975" i="2" s="1"/>
  <c r="AD975" i="2" s="1"/>
  <c r="AE974" i="2"/>
  <c r="AB974" i="2"/>
  <c r="AC974" i="2" s="1"/>
  <c r="AD974" i="2" s="1"/>
  <c r="AE973" i="2"/>
  <c r="AB973" i="2"/>
  <c r="AC973" i="2" s="1"/>
  <c r="AD973" i="2" s="1"/>
  <c r="AE972" i="2"/>
  <c r="AB972" i="2"/>
  <c r="AC972" i="2" s="1"/>
  <c r="AD972" i="2" s="1"/>
  <c r="AE971" i="2"/>
  <c r="AB971" i="2"/>
  <c r="AC971" i="2" s="1"/>
  <c r="AD971" i="2" s="1"/>
  <c r="AE970" i="2"/>
  <c r="AB970" i="2"/>
  <c r="AC970" i="2" s="1"/>
  <c r="AD970" i="2" s="1"/>
  <c r="AE969" i="2"/>
  <c r="AB969" i="2"/>
  <c r="AC969" i="2" s="1"/>
  <c r="AD969" i="2" s="1"/>
  <c r="AE968" i="2"/>
  <c r="AB968" i="2"/>
  <c r="AC968" i="2" s="1"/>
  <c r="AD968" i="2" s="1"/>
  <c r="AE967" i="2"/>
  <c r="AB967" i="2"/>
  <c r="AC967" i="2" s="1"/>
  <c r="AD967" i="2" s="1"/>
  <c r="AE966" i="2"/>
  <c r="AB966" i="2"/>
  <c r="AC966" i="2" s="1"/>
  <c r="AD966" i="2" s="1"/>
  <c r="AE965" i="2"/>
  <c r="AB965" i="2"/>
  <c r="AC965" i="2" s="1"/>
  <c r="AD965" i="2" s="1"/>
  <c r="AE964" i="2"/>
  <c r="AB964" i="2"/>
  <c r="AC964" i="2" s="1"/>
  <c r="AD964" i="2" s="1"/>
  <c r="AB963" i="2"/>
  <c r="AC963" i="2" s="1"/>
  <c r="AD963" i="2" s="1"/>
  <c r="AE963" i="2"/>
  <c r="AE962" i="2"/>
  <c r="AB962" i="2"/>
  <c r="AC962" i="2" s="1"/>
  <c r="AD962" i="2" s="1"/>
  <c r="AE961" i="2"/>
  <c r="AB961" i="2"/>
  <c r="AC961" i="2" s="1"/>
  <c r="AD961" i="2" s="1"/>
  <c r="AB960" i="2"/>
  <c r="AC960" i="2" s="1"/>
  <c r="AD960" i="2" s="1"/>
  <c r="AE960" i="2"/>
  <c r="AB959" i="2"/>
  <c r="AC959" i="2" s="1"/>
  <c r="AD959" i="2" s="1"/>
  <c r="AE959" i="2"/>
  <c r="AE958" i="2"/>
  <c r="AB958" i="2"/>
  <c r="AC958" i="2" s="1"/>
  <c r="AD958" i="2" s="1"/>
  <c r="AE957" i="2"/>
  <c r="AB957" i="2"/>
  <c r="AC957" i="2" s="1"/>
  <c r="AD957" i="2" s="1"/>
  <c r="AB956" i="2"/>
  <c r="AC956" i="2" s="1"/>
  <c r="AD956" i="2" s="1"/>
  <c r="AE956" i="2"/>
  <c r="AB955" i="2"/>
  <c r="AC955" i="2" s="1"/>
  <c r="AD955" i="2" s="1"/>
  <c r="AE955" i="2"/>
  <c r="AB954" i="2"/>
  <c r="AC954" i="2" s="1"/>
  <c r="AD954" i="2" s="1"/>
  <c r="AE954" i="2"/>
  <c r="AB953" i="2"/>
  <c r="AC953" i="2" s="1"/>
  <c r="AD953" i="2" s="1"/>
  <c r="AE953" i="2"/>
  <c r="AB952" i="2"/>
  <c r="AC952" i="2" s="1"/>
  <c r="AD952" i="2" s="1"/>
  <c r="AE952" i="2"/>
  <c r="AB951" i="2"/>
  <c r="AC951" i="2" s="1"/>
  <c r="AD951" i="2" s="1"/>
  <c r="AE951" i="2"/>
  <c r="AE950" i="2"/>
  <c r="AB950" i="2"/>
  <c r="AC950" i="2" s="1"/>
  <c r="AD950" i="2" s="1"/>
  <c r="AB949" i="2"/>
  <c r="AC949" i="2" s="1"/>
  <c r="AD949" i="2" s="1"/>
  <c r="AE949" i="2"/>
  <c r="AE948" i="2"/>
  <c r="AB948" i="2"/>
  <c r="AC948" i="2" s="1"/>
  <c r="AD948" i="2" s="1"/>
  <c r="AE947" i="2"/>
  <c r="AB947" i="2"/>
  <c r="AC947" i="2" s="1"/>
  <c r="AD947" i="2" s="1"/>
  <c r="AB946" i="2"/>
  <c r="AC946" i="2" s="1"/>
  <c r="AD946" i="2" s="1"/>
  <c r="AE946" i="2"/>
  <c r="AE945" i="2"/>
  <c r="AB945" i="2"/>
  <c r="AC945" i="2" s="1"/>
  <c r="AD945" i="2" s="1"/>
  <c r="AE944" i="2"/>
  <c r="AB944" i="2"/>
  <c r="AC944" i="2" s="1"/>
  <c r="AD944" i="2" s="1"/>
  <c r="AE943" i="2"/>
  <c r="AB943" i="2"/>
  <c r="AC943" i="2" s="1"/>
  <c r="AD943" i="2" s="1"/>
  <c r="AB942" i="2"/>
  <c r="AC942" i="2" s="1"/>
  <c r="AD942" i="2" s="1"/>
  <c r="AE942" i="2"/>
  <c r="AB941" i="2"/>
  <c r="AC941" i="2" s="1"/>
  <c r="AD941" i="2" s="1"/>
  <c r="AE941" i="2"/>
  <c r="AB940" i="2"/>
  <c r="AC940" i="2" s="1"/>
  <c r="AD940" i="2" s="1"/>
  <c r="AE940" i="2"/>
  <c r="AE939" i="2"/>
  <c r="AB939" i="2"/>
  <c r="AC939" i="2" s="1"/>
  <c r="AD939" i="2" s="1"/>
  <c r="AE938" i="2"/>
  <c r="AB938" i="2"/>
  <c r="AC938" i="2" s="1"/>
  <c r="AD938" i="2" s="1"/>
  <c r="AE937" i="2"/>
  <c r="AB937" i="2"/>
  <c r="AC937" i="2" s="1"/>
  <c r="AD937" i="2" s="1"/>
  <c r="AE936" i="2"/>
  <c r="AB936" i="2"/>
  <c r="AC936" i="2" s="1"/>
  <c r="AD936" i="2" s="1"/>
  <c r="AE935" i="2"/>
  <c r="AB935" i="2"/>
  <c r="AC935" i="2" s="1"/>
  <c r="AD935" i="2" s="1"/>
  <c r="AE934" i="2"/>
  <c r="AB934" i="2"/>
  <c r="AC934" i="2" s="1"/>
  <c r="AD934" i="2" s="1"/>
  <c r="AB933" i="2"/>
  <c r="AC933" i="2" s="1"/>
  <c r="AD933" i="2" s="1"/>
  <c r="AE933" i="2"/>
  <c r="AE932" i="2"/>
  <c r="AB932" i="2"/>
  <c r="AC932" i="2" s="1"/>
  <c r="AD932" i="2" s="1"/>
  <c r="AE931" i="2"/>
  <c r="AB931" i="2"/>
  <c r="AC931" i="2" s="1"/>
  <c r="AD931" i="2" s="1"/>
  <c r="AE930" i="2"/>
  <c r="AB930" i="2"/>
  <c r="AC930" i="2" s="1"/>
  <c r="AD930" i="2" s="1"/>
  <c r="AE929" i="2"/>
  <c r="AB929" i="2"/>
  <c r="AC929" i="2" s="1"/>
  <c r="AD929" i="2" s="1"/>
  <c r="AB928" i="2"/>
  <c r="AC928" i="2" s="1"/>
  <c r="AD928" i="2" s="1"/>
  <c r="AE928" i="2"/>
  <c r="AE927" i="2"/>
  <c r="AB927" i="2"/>
  <c r="AC927" i="2" s="1"/>
  <c r="AD927" i="2" s="1"/>
  <c r="AE926" i="2"/>
  <c r="AB926" i="2"/>
  <c r="AC926" i="2" s="1"/>
  <c r="AD926" i="2" s="1"/>
  <c r="AE925" i="2"/>
  <c r="AB925" i="2"/>
  <c r="AC925" i="2" s="1"/>
  <c r="AD925" i="2" s="1"/>
  <c r="AE924" i="2"/>
  <c r="AB924" i="2"/>
  <c r="AC924" i="2" s="1"/>
  <c r="AD924" i="2" s="1"/>
  <c r="AE923" i="2"/>
  <c r="AB923" i="2"/>
  <c r="AC923" i="2" s="1"/>
  <c r="AD923" i="2" s="1"/>
  <c r="AB922" i="2"/>
  <c r="AC922" i="2" s="1"/>
  <c r="AD922" i="2" s="1"/>
  <c r="AE922" i="2"/>
  <c r="AB921" i="2"/>
  <c r="AC921" i="2" s="1"/>
  <c r="AD921" i="2" s="1"/>
  <c r="AE921" i="2"/>
  <c r="AE920" i="2"/>
  <c r="AB920" i="2"/>
  <c r="AC920" i="2" s="1"/>
  <c r="AD920" i="2" s="1"/>
  <c r="AE919" i="2"/>
  <c r="AB919" i="2"/>
  <c r="AC919" i="2" s="1"/>
  <c r="AD919" i="2" s="1"/>
  <c r="AE918" i="2"/>
  <c r="AB918" i="2"/>
  <c r="AC918" i="2" s="1"/>
  <c r="AD918" i="2" s="1"/>
  <c r="AB917" i="2"/>
  <c r="AC917" i="2" s="1"/>
  <c r="AD917" i="2" s="1"/>
  <c r="AE917" i="2"/>
  <c r="AB916" i="2"/>
  <c r="AC916" i="2" s="1"/>
  <c r="AD916" i="2" s="1"/>
  <c r="AE916" i="2"/>
  <c r="AB915" i="2"/>
  <c r="AC915" i="2" s="1"/>
  <c r="AD915" i="2" s="1"/>
  <c r="AE915" i="2"/>
  <c r="AB914" i="2"/>
  <c r="AC914" i="2" s="1"/>
  <c r="AD914" i="2" s="1"/>
  <c r="AE914" i="2"/>
  <c r="AB913" i="2"/>
  <c r="AC913" i="2" s="1"/>
  <c r="AD913" i="2" s="1"/>
  <c r="AE913" i="2"/>
  <c r="AB912" i="2"/>
  <c r="AC912" i="2" s="1"/>
  <c r="AD912" i="2" s="1"/>
  <c r="AE912" i="2"/>
  <c r="AB911" i="2"/>
  <c r="AC911" i="2" s="1"/>
  <c r="AD911" i="2" s="1"/>
  <c r="AE911" i="2"/>
  <c r="AB910" i="2"/>
  <c r="AC910" i="2" s="1"/>
  <c r="AD910" i="2" s="1"/>
  <c r="AE910" i="2"/>
  <c r="AB909" i="2"/>
  <c r="AC909" i="2" s="1"/>
  <c r="AD909" i="2" s="1"/>
  <c r="AE909" i="2"/>
  <c r="AB908" i="2"/>
  <c r="AC908" i="2" s="1"/>
  <c r="AD908" i="2" s="1"/>
  <c r="AE908" i="2"/>
  <c r="AB907" i="2"/>
  <c r="AC907" i="2" s="1"/>
  <c r="AD907" i="2" s="1"/>
  <c r="AE907" i="2"/>
  <c r="AB906" i="2"/>
  <c r="AC906" i="2" s="1"/>
  <c r="AD906" i="2" s="1"/>
  <c r="AE906" i="2"/>
  <c r="AB905" i="2"/>
  <c r="AC905" i="2" s="1"/>
  <c r="AD905" i="2" s="1"/>
  <c r="AE905" i="2"/>
  <c r="AE904" i="2"/>
  <c r="AB904" i="2"/>
  <c r="AC904" i="2" s="1"/>
  <c r="AD904" i="2" s="1"/>
  <c r="AB903" i="2"/>
  <c r="AC903" i="2" s="1"/>
  <c r="AD903" i="2" s="1"/>
  <c r="AE903" i="2"/>
  <c r="AB902" i="2"/>
  <c r="AC902" i="2" s="1"/>
  <c r="AD902" i="2" s="1"/>
  <c r="AE902" i="2"/>
  <c r="AB901" i="2"/>
  <c r="AC901" i="2" s="1"/>
  <c r="AD901" i="2" s="1"/>
  <c r="AE901" i="2"/>
  <c r="AB900" i="2"/>
  <c r="AC900" i="2" s="1"/>
  <c r="AD900" i="2" s="1"/>
  <c r="AE900" i="2"/>
  <c r="AB899" i="2"/>
  <c r="AC899" i="2" s="1"/>
  <c r="AD899" i="2" s="1"/>
  <c r="AE899" i="2"/>
  <c r="AB898" i="2"/>
  <c r="AC898" i="2" s="1"/>
  <c r="AD898" i="2" s="1"/>
  <c r="AE898" i="2"/>
  <c r="AB897" i="2"/>
  <c r="AC897" i="2" s="1"/>
  <c r="AD897" i="2" s="1"/>
  <c r="AE897" i="2"/>
  <c r="AB896" i="2"/>
  <c r="AC896" i="2" s="1"/>
  <c r="AD896" i="2" s="1"/>
  <c r="AE896" i="2"/>
  <c r="AB895" i="2"/>
  <c r="AC895" i="2" s="1"/>
  <c r="AD895" i="2" s="1"/>
  <c r="AE895" i="2"/>
  <c r="AB894" i="2"/>
  <c r="AC894" i="2" s="1"/>
  <c r="AD894" i="2" s="1"/>
  <c r="AE894" i="2"/>
  <c r="AB893" i="2"/>
  <c r="AC893" i="2" s="1"/>
  <c r="AD893" i="2" s="1"/>
  <c r="AE893" i="2"/>
  <c r="AE892" i="2"/>
  <c r="AB892" i="2"/>
  <c r="AC892" i="2" s="1"/>
  <c r="AD892" i="2" s="1"/>
  <c r="AB891" i="2"/>
  <c r="AC891" i="2" s="1"/>
  <c r="AD891" i="2" s="1"/>
  <c r="AE891" i="2"/>
  <c r="AE890" i="2"/>
  <c r="AB890" i="2"/>
  <c r="AC890" i="2" s="1"/>
  <c r="AD890" i="2" s="1"/>
  <c r="AB889" i="2"/>
  <c r="AC889" i="2" s="1"/>
  <c r="AD889" i="2" s="1"/>
  <c r="AE889" i="2"/>
  <c r="AB888" i="2"/>
  <c r="AC888" i="2" s="1"/>
  <c r="AD888" i="2" s="1"/>
  <c r="AE888" i="2"/>
  <c r="AE887" i="2"/>
  <c r="AB887" i="2"/>
  <c r="AC887" i="2" s="1"/>
  <c r="AD887" i="2" s="1"/>
  <c r="AB886" i="2"/>
  <c r="AC886" i="2" s="1"/>
  <c r="AD886" i="2" s="1"/>
  <c r="AE886" i="2"/>
  <c r="AB885" i="2"/>
  <c r="AC885" i="2" s="1"/>
  <c r="AD885" i="2" s="1"/>
  <c r="AE885" i="2"/>
  <c r="AB884" i="2"/>
  <c r="AC884" i="2" s="1"/>
  <c r="AD884" i="2" s="1"/>
  <c r="AE884" i="2"/>
  <c r="AB883" i="2"/>
  <c r="AC883" i="2" s="1"/>
  <c r="AD883" i="2" s="1"/>
  <c r="AE883" i="2"/>
  <c r="AE882" i="2"/>
  <c r="AB882" i="2"/>
  <c r="AC882" i="2" s="1"/>
  <c r="AD882" i="2" s="1"/>
  <c r="AE881" i="2"/>
  <c r="AB881" i="2"/>
  <c r="AC881" i="2" s="1"/>
  <c r="AD881" i="2" s="1"/>
  <c r="AB880" i="2"/>
  <c r="AC880" i="2" s="1"/>
  <c r="AD880" i="2" s="1"/>
  <c r="AE880" i="2"/>
  <c r="AB879" i="2"/>
  <c r="AC879" i="2" s="1"/>
  <c r="AD879" i="2" s="1"/>
  <c r="AE879" i="2"/>
  <c r="AB878" i="2"/>
  <c r="AC878" i="2" s="1"/>
  <c r="AD878" i="2" s="1"/>
  <c r="AE878" i="2"/>
  <c r="AB877" i="2"/>
  <c r="AC877" i="2" s="1"/>
  <c r="AD877" i="2" s="1"/>
  <c r="AE877" i="2"/>
  <c r="AB876" i="2"/>
  <c r="AC876" i="2" s="1"/>
  <c r="AD876" i="2" s="1"/>
  <c r="AE876" i="2"/>
  <c r="AB875" i="2"/>
  <c r="AC875" i="2" s="1"/>
  <c r="AD875" i="2" s="1"/>
  <c r="AE875" i="2"/>
  <c r="AE874" i="2"/>
  <c r="AB874" i="2"/>
  <c r="AC874" i="2" s="1"/>
  <c r="AD874" i="2" s="1"/>
  <c r="AE873" i="2"/>
  <c r="AB873" i="2"/>
  <c r="AC873" i="2" s="1"/>
  <c r="AD873" i="2" s="1"/>
  <c r="AB872" i="2"/>
  <c r="AC872" i="2" s="1"/>
  <c r="AD872" i="2" s="1"/>
  <c r="AE872" i="2"/>
  <c r="AE871" i="2"/>
  <c r="AB871" i="2"/>
  <c r="AC871" i="2" s="1"/>
  <c r="AD871" i="2" s="1"/>
  <c r="AE870" i="2"/>
  <c r="AB870" i="2"/>
  <c r="AC870" i="2" s="1"/>
  <c r="AD870" i="2" s="1"/>
  <c r="AE869" i="2"/>
  <c r="AB869" i="2"/>
  <c r="AC869" i="2" s="1"/>
  <c r="AD869" i="2" s="1"/>
  <c r="AE868" i="2"/>
  <c r="AB868" i="2"/>
  <c r="AC868" i="2" s="1"/>
  <c r="AD868" i="2" s="1"/>
  <c r="AE867" i="2"/>
  <c r="AB867" i="2"/>
  <c r="AC867" i="2" s="1"/>
  <c r="AD867" i="2" s="1"/>
  <c r="AB866" i="2"/>
  <c r="AC866" i="2" s="1"/>
  <c r="AD866" i="2" s="1"/>
  <c r="AE866" i="2"/>
  <c r="AB865" i="2"/>
  <c r="AC865" i="2" s="1"/>
  <c r="AD865" i="2" s="1"/>
  <c r="AE865" i="2"/>
  <c r="AB864" i="2"/>
  <c r="AC864" i="2" s="1"/>
  <c r="AD864" i="2" s="1"/>
  <c r="AE864" i="2"/>
  <c r="AB863" i="2"/>
  <c r="AC863" i="2" s="1"/>
  <c r="AD863" i="2" s="1"/>
  <c r="AE863" i="2"/>
  <c r="AB862" i="2"/>
  <c r="AC862" i="2" s="1"/>
  <c r="AD862" i="2" s="1"/>
  <c r="AE862" i="2"/>
  <c r="AB861" i="2"/>
  <c r="AC861" i="2" s="1"/>
  <c r="AD861" i="2" s="1"/>
  <c r="AE861" i="2"/>
  <c r="AB860" i="2"/>
  <c r="AC860" i="2" s="1"/>
  <c r="AD860" i="2" s="1"/>
  <c r="AE860" i="2"/>
  <c r="AE859" i="2"/>
  <c r="AB859" i="2"/>
  <c r="AC859" i="2" s="1"/>
  <c r="AD859" i="2" s="1"/>
  <c r="AE858" i="2"/>
  <c r="AB858" i="2"/>
  <c r="AC858" i="2" s="1"/>
  <c r="AD858" i="2" s="1"/>
  <c r="AB857" i="2"/>
  <c r="AC857" i="2" s="1"/>
  <c r="AD857" i="2" s="1"/>
  <c r="AE857" i="2"/>
  <c r="AE856" i="2"/>
  <c r="AB856" i="2"/>
  <c r="AC856" i="2" s="1"/>
  <c r="AD856" i="2" s="1"/>
  <c r="AE855" i="2"/>
  <c r="AB855" i="2"/>
  <c r="AC855" i="2" s="1"/>
  <c r="AD855" i="2" s="1"/>
  <c r="AE854" i="2"/>
  <c r="AB854" i="2"/>
  <c r="AC854" i="2" s="1"/>
  <c r="AD854" i="2" s="1"/>
  <c r="AE853" i="2"/>
  <c r="AB853" i="2"/>
  <c r="AC853" i="2" s="1"/>
  <c r="AD853" i="2" s="1"/>
  <c r="AE852" i="2"/>
  <c r="AB852" i="2"/>
  <c r="AC852" i="2" s="1"/>
  <c r="AD852" i="2" s="1"/>
  <c r="AE851" i="2"/>
  <c r="AB851" i="2"/>
  <c r="AC851" i="2" s="1"/>
  <c r="AD851" i="2" s="1"/>
  <c r="AB850" i="2"/>
  <c r="AC850" i="2" s="1"/>
  <c r="AD850" i="2" s="1"/>
  <c r="AE850" i="2"/>
  <c r="AE849" i="2"/>
  <c r="AB849" i="2"/>
  <c r="AC849" i="2" s="1"/>
  <c r="AD849" i="2" s="1"/>
  <c r="AB848" i="2"/>
  <c r="AC848" i="2" s="1"/>
  <c r="AD848" i="2" s="1"/>
  <c r="AE848" i="2"/>
  <c r="AE847" i="2"/>
  <c r="AB847" i="2"/>
  <c r="AC847" i="2" s="1"/>
  <c r="AD847" i="2" s="1"/>
  <c r="AE846" i="2"/>
  <c r="AB846" i="2"/>
  <c r="AC846" i="2" s="1"/>
  <c r="AD846" i="2" s="1"/>
  <c r="AE845" i="2"/>
  <c r="AB845" i="2"/>
  <c r="AC845" i="2" s="1"/>
  <c r="AD845" i="2" s="1"/>
  <c r="AE844" i="2"/>
  <c r="AB844" i="2"/>
  <c r="AC844" i="2" s="1"/>
  <c r="AD844" i="2" s="1"/>
  <c r="AB843" i="2"/>
  <c r="AC843" i="2" s="1"/>
  <c r="AD843" i="2" s="1"/>
  <c r="AE843" i="2"/>
  <c r="AE842" i="2"/>
  <c r="AB842" i="2"/>
  <c r="AC842" i="2" s="1"/>
  <c r="AD842" i="2" s="1"/>
  <c r="AE841" i="2"/>
  <c r="AB841" i="2"/>
  <c r="AC841" i="2" s="1"/>
  <c r="AD841" i="2" s="1"/>
  <c r="AE840" i="2"/>
  <c r="AB840" i="2"/>
  <c r="AC840" i="2" s="1"/>
  <c r="AD840" i="2" s="1"/>
  <c r="AE839" i="2"/>
  <c r="AB839" i="2"/>
  <c r="AC839" i="2" s="1"/>
  <c r="AD839" i="2" s="1"/>
  <c r="AB838" i="2"/>
  <c r="AC838" i="2" s="1"/>
  <c r="AD838" i="2" s="1"/>
  <c r="AE838" i="2"/>
  <c r="AE837" i="2"/>
  <c r="AB837" i="2"/>
  <c r="AC837" i="2" s="1"/>
  <c r="AD837" i="2" s="1"/>
  <c r="AB836" i="2"/>
  <c r="AC836" i="2" s="1"/>
  <c r="AD836" i="2" s="1"/>
  <c r="AE836" i="2"/>
  <c r="AE835" i="2"/>
  <c r="AB835" i="2"/>
  <c r="AC835" i="2" s="1"/>
  <c r="AD835" i="2" s="1"/>
  <c r="AB834" i="2"/>
  <c r="AC834" i="2" s="1"/>
  <c r="AD834" i="2" s="1"/>
  <c r="AE834" i="2"/>
  <c r="AB833" i="2"/>
  <c r="AC833" i="2" s="1"/>
  <c r="AD833" i="2" s="1"/>
  <c r="AE833" i="2"/>
  <c r="AE832" i="2"/>
  <c r="AB832" i="2"/>
  <c r="AC832" i="2" s="1"/>
  <c r="AD832" i="2" s="1"/>
  <c r="AB831" i="2"/>
  <c r="AC831" i="2" s="1"/>
  <c r="AD831" i="2" s="1"/>
  <c r="AE831" i="2"/>
  <c r="AB830" i="2"/>
  <c r="AC830" i="2" s="1"/>
  <c r="AD830" i="2" s="1"/>
  <c r="AE830" i="2"/>
  <c r="AE829" i="2"/>
  <c r="AB829" i="2"/>
  <c r="AC829" i="2" s="1"/>
  <c r="AD829" i="2" s="1"/>
  <c r="AB828" i="2"/>
  <c r="AC828" i="2" s="1"/>
  <c r="AD828" i="2" s="1"/>
  <c r="AE828" i="2"/>
  <c r="AE827" i="2"/>
  <c r="AB827" i="2"/>
  <c r="AC827" i="2" s="1"/>
  <c r="AD827" i="2" s="1"/>
  <c r="AB826" i="2"/>
  <c r="AC826" i="2" s="1"/>
  <c r="AD826" i="2" s="1"/>
  <c r="AE826" i="2"/>
  <c r="AE825" i="2"/>
  <c r="AB825" i="2"/>
  <c r="AC825" i="2" s="1"/>
  <c r="AD825" i="2" s="1"/>
  <c r="AB824" i="2"/>
  <c r="AC824" i="2" s="1"/>
  <c r="AD824" i="2" s="1"/>
  <c r="AE824" i="2"/>
  <c r="AE823" i="2"/>
  <c r="AB823" i="2"/>
  <c r="AC823" i="2" s="1"/>
  <c r="AD823" i="2" s="1"/>
  <c r="AB822" i="2"/>
  <c r="AC822" i="2" s="1"/>
  <c r="AD822" i="2" s="1"/>
  <c r="AE822" i="2"/>
  <c r="AE821" i="2"/>
  <c r="AB821" i="2"/>
  <c r="AC821" i="2" s="1"/>
  <c r="AD821" i="2" s="1"/>
  <c r="AB820" i="2"/>
  <c r="AC820" i="2" s="1"/>
  <c r="AD820" i="2" s="1"/>
  <c r="AE820" i="2"/>
  <c r="AE819" i="2"/>
  <c r="AB819" i="2"/>
  <c r="AC819" i="2" s="1"/>
  <c r="AD819" i="2" s="1"/>
  <c r="AE818" i="2"/>
  <c r="AB818" i="2"/>
  <c r="AC818" i="2" s="1"/>
  <c r="AD818" i="2" s="1"/>
  <c r="AB817" i="2"/>
  <c r="AC817" i="2" s="1"/>
  <c r="AD817" i="2" s="1"/>
  <c r="AE817" i="2"/>
  <c r="AB816" i="2"/>
  <c r="AC816" i="2" s="1"/>
  <c r="AD816" i="2" s="1"/>
  <c r="AE816" i="2"/>
  <c r="AE815" i="2"/>
  <c r="AB815" i="2"/>
  <c r="AC815" i="2" s="1"/>
  <c r="AD815" i="2" s="1"/>
  <c r="AB814" i="2"/>
  <c r="AC814" i="2" s="1"/>
  <c r="AD814" i="2" s="1"/>
  <c r="AE814" i="2"/>
  <c r="AB813" i="2"/>
  <c r="AC813" i="2" s="1"/>
  <c r="AD813" i="2" s="1"/>
  <c r="AE813" i="2"/>
  <c r="AE812" i="2"/>
  <c r="AB812" i="2"/>
  <c r="AC812" i="2" s="1"/>
  <c r="AD812" i="2" s="1"/>
  <c r="AE811" i="2"/>
  <c r="AB811" i="2"/>
  <c r="AC811" i="2" s="1"/>
  <c r="AD811" i="2" s="1"/>
  <c r="AE810" i="2"/>
  <c r="AB810" i="2"/>
  <c r="AC810" i="2" s="1"/>
  <c r="AD810" i="2" s="1"/>
  <c r="AE809" i="2"/>
  <c r="AB809" i="2"/>
  <c r="AC809" i="2" s="1"/>
  <c r="AD809" i="2" s="1"/>
  <c r="AE808" i="2"/>
  <c r="AB808" i="2"/>
  <c r="AC808" i="2" s="1"/>
  <c r="AD808" i="2" s="1"/>
  <c r="AE807" i="2"/>
  <c r="AB807" i="2"/>
  <c r="AC807" i="2" s="1"/>
  <c r="AD807" i="2" s="1"/>
  <c r="AE806" i="2"/>
  <c r="AB806" i="2"/>
  <c r="AC806" i="2" s="1"/>
  <c r="AD806" i="2" s="1"/>
  <c r="AB805" i="2"/>
  <c r="AC805" i="2" s="1"/>
  <c r="AD805" i="2" s="1"/>
  <c r="AE805" i="2"/>
  <c r="AB804" i="2"/>
  <c r="AC804" i="2" s="1"/>
  <c r="AD804" i="2" s="1"/>
  <c r="AE804" i="2"/>
  <c r="AB803" i="2"/>
  <c r="AC803" i="2" s="1"/>
  <c r="AD803" i="2" s="1"/>
  <c r="AE803" i="2"/>
  <c r="AB802" i="2"/>
  <c r="AC802" i="2" s="1"/>
  <c r="AD802" i="2" s="1"/>
  <c r="AE802" i="2"/>
  <c r="AE801" i="2"/>
  <c r="AB801" i="2"/>
  <c r="AC801" i="2" s="1"/>
  <c r="AD801" i="2" s="1"/>
  <c r="AE800" i="2"/>
  <c r="AB800" i="2"/>
  <c r="AC800" i="2" s="1"/>
  <c r="AD800" i="2" s="1"/>
  <c r="AE799" i="2"/>
  <c r="AB799" i="2"/>
  <c r="AC799" i="2" s="1"/>
  <c r="AD799" i="2" s="1"/>
  <c r="AE798" i="2"/>
  <c r="AB798" i="2"/>
  <c r="AC798" i="2" s="1"/>
  <c r="AD798" i="2" s="1"/>
  <c r="AE797" i="2"/>
  <c r="AB797" i="2"/>
  <c r="AC797" i="2" s="1"/>
  <c r="AD797" i="2" s="1"/>
  <c r="AE796" i="2"/>
  <c r="AB796" i="2"/>
  <c r="AC796" i="2" s="1"/>
  <c r="AD796" i="2" s="1"/>
  <c r="AB795" i="2"/>
  <c r="AC795" i="2" s="1"/>
  <c r="AD795" i="2" s="1"/>
  <c r="AE795" i="2"/>
  <c r="AE794" i="2"/>
  <c r="AB794" i="2"/>
  <c r="AC794" i="2" s="1"/>
  <c r="AD794" i="2" s="1"/>
  <c r="AB793" i="2"/>
  <c r="AC793" i="2" s="1"/>
  <c r="AD793" i="2" s="1"/>
  <c r="AE793" i="2"/>
  <c r="AB792" i="2"/>
  <c r="AC792" i="2" s="1"/>
  <c r="AD792" i="2" s="1"/>
  <c r="AE792" i="2"/>
  <c r="AE791" i="2"/>
  <c r="AB791" i="2"/>
  <c r="AC791" i="2" s="1"/>
  <c r="AD791" i="2" s="1"/>
  <c r="AE790" i="2"/>
  <c r="AB790" i="2"/>
  <c r="AC790" i="2" s="1"/>
  <c r="AD790" i="2" s="1"/>
  <c r="AB789" i="2"/>
  <c r="AC789" i="2" s="1"/>
  <c r="AD789" i="2" s="1"/>
  <c r="AE789" i="2"/>
  <c r="AB788" i="2"/>
  <c r="AC788" i="2" s="1"/>
  <c r="AD788" i="2" s="1"/>
  <c r="AE788" i="2"/>
  <c r="AB787" i="2"/>
  <c r="AC787" i="2" s="1"/>
  <c r="AD787" i="2" s="1"/>
  <c r="AE787" i="2"/>
  <c r="AB786" i="2"/>
  <c r="AC786" i="2" s="1"/>
  <c r="AD786" i="2" s="1"/>
  <c r="AE786" i="2"/>
  <c r="AE785" i="2"/>
  <c r="AB785" i="2"/>
  <c r="AC785" i="2" s="1"/>
  <c r="AD785" i="2" s="1"/>
  <c r="AB784" i="2"/>
  <c r="AC784" i="2" s="1"/>
  <c r="AD784" i="2" s="1"/>
  <c r="AE784" i="2"/>
  <c r="AB783" i="2"/>
  <c r="AC783" i="2" s="1"/>
  <c r="AD783" i="2" s="1"/>
  <c r="AE783" i="2"/>
  <c r="AB782" i="2"/>
  <c r="AC782" i="2" s="1"/>
  <c r="AD782" i="2" s="1"/>
  <c r="AE782" i="2"/>
  <c r="AB781" i="2"/>
  <c r="AC781" i="2" s="1"/>
  <c r="AD781" i="2" s="1"/>
  <c r="AE781" i="2"/>
  <c r="AE780" i="2"/>
  <c r="AB780" i="2"/>
  <c r="AC780" i="2" s="1"/>
  <c r="AD780" i="2" s="1"/>
  <c r="AE779" i="2"/>
  <c r="AB779" i="2"/>
  <c r="AC779" i="2" s="1"/>
  <c r="AD779" i="2" s="1"/>
  <c r="AE778" i="2"/>
  <c r="AB778" i="2"/>
  <c r="AC778" i="2" s="1"/>
  <c r="AD778" i="2" s="1"/>
  <c r="AE777" i="2"/>
  <c r="AB777" i="2"/>
  <c r="AC777" i="2" s="1"/>
  <c r="AD777" i="2" s="1"/>
  <c r="AB776" i="2"/>
  <c r="AC776" i="2" s="1"/>
  <c r="AD776" i="2" s="1"/>
  <c r="AE776" i="2"/>
  <c r="AB775" i="2"/>
  <c r="AC775" i="2" s="1"/>
  <c r="AD775" i="2" s="1"/>
  <c r="AE775" i="2"/>
  <c r="AE774" i="2"/>
  <c r="AB774" i="2"/>
  <c r="AC774" i="2" s="1"/>
  <c r="AD774" i="2" s="1"/>
  <c r="AB772" i="2"/>
  <c r="AC772" i="2" s="1"/>
  <c r="AD772" i="2" s="1"/>
  <c r="AE772" i="2"/>
  <c r="AE771" i="2"/>
  <c r="AB771" i="2"/>
  <c r="AC771" i="2" s="1"/>
  <c r="AD771" i="2" s="1"/>
  <c r="AE770" i="2"/>
  <c r="AB770" i="2"/>
  <c r="AC770" i="2" s="1"/>
  <c r="AD770" i="2" s="1"/>
  <c r="AE769" i="2"/>
  <c r="AB769" i="2"/>
  <c r="AC769" i="2" s="1"/>
  <c r="AD769" i="2" s="1"/>
  <c r="AE768" i="2"/>
  <c r="AB768" i="2"/>
  <c r="AC768" i="2" s="1"/>
  <c r="AD768" i="2" s="1"/>
  <c r="AE767" i="2"/>
  <c r="AB767" i="2"/>
  <c r="AC767" i="2" s="1"/>
  <c r="AD767" i="2" s="1"/>
  <c r="AE766" i="2"/>
  <c r="AB766" i="2"/>
  <c r="AC766" i="2" s="1"/>
  <c r="AD766" i="2" s="1"/>
  <c r="AE765" i="2"/>
  <c r="AB765" i="2"/>
  <c r="AC765" i="2" s="1"/>
  <c r="AD765" i="2" s="1"/>
  <c r="AE764" i="2"/>
  <c r="AB764" i="2"/>
  <c r="AC764" i="2" s="1"/>
  <c r="AD764" i="2" s="1"/>
  <c r="AE763" i="2"/>
  <c r="AB763" i="2"/>
  <c r="AC763" i="2" s="1"/>
  <c r="AD763" i="2" s="1"/>
  <c r="AE762" i="2"/>
  <c r="AB762" i="2"/>
  <c r="AC762" i="2" s="1"/>
  <c r="AD762" i="2" s="1"/>
  <c r="AE761" i="2"/>
  <c r="AB761" i="2"/>
  <c r="AC761" i="2" s="1"/>
  <c r="AD761" i="2" s="1"/>
  <c r="AE760" i="2"/>
  <c r="AB760" i="2"/>
  <c r="AC760" i="2" s="1"/>
  <c r="AD760" i="2" s="1"/>
  <c r="AE759" i="2"/>
  <c r="AB759" i="2"/>
  <c r="AC759" i="2" s="1"/>
  <c r="AD759" i="2" s="1"/>
  <c r="AE758" i="2"/>
  <c r="AB758" i="2"/>
  <c r="AC758" i="2" s="1"/>
  <c r="AD758" i="2" s="1"/>
  <c r="AE757" i="2"/>
  <c r="AB757" i="2"/>
  <c r="AC757" i="2" s="1"/>
  <c r="AD757" i="2" s="1"/>
  <c r="AE756" i="2"/>
  <c r="AB756" i="2"/>
  <c r="AC756" i="2" s="1"/>
  <c r="AD756" i="2" s="1"/>
  <c r="AE755" i="2"/>
  <c r="AB755" i="2"/>
  <c r="AC755" i="2" s="1"/>
  <c r="AD755" i="2" s="1"/>
  <c r="AE754" i="2"/>
  <c r="AB754" i="2"/>
  <c r="AC754" i="2" s="1"/>
  <c r="AD754" i="2" s="1"/>
  <c r="AE753" i="2"/>
  <c r="AB753" i="2"/>
  <c r="AC753" i="2" s="1"/>
  <c r="AD753" i="2" s="1"/>
  <c r="AB752" i="2"/>
  <c r="AC752" i="2" s="1"/>
  <c r="AD752" i="2" s="1"/>
  <c r="AE752" i="2"/>
  <c r="AE751" i="2"/>
  <c r="AB751" i="2"/>
  <c r="AC751" i="2" s="1"/>
  <c r="AD751" i="2" s="1"/>
  <c r="AE750" i="2"/>
  <c r="AB750" i="2"/>
  <c r="AC750" i="2" s="1"/>
  <c r="AD750" i="2" s="1"/>
  <c r="AE749" i="2"/>
  <c r="AB749" i="2"/>
  <c r="AC749" i="2" s="1"/>
  <c r="AD749" i="2" s="1"/>
  <c r="AE748" i="2"/>
  <c r="AB748" i="2"/>
  <c r="AC748" i="2" s="1"/>
  <c r="AD748" i="2" s="1"/>
  <c r="AB747" i="2"/>
  <c r="AC747" i="2" s="1"/>
  <c r="AD747" i="2" s="1"/>
  <c r="AE747" i="2"/>
  <c r="AB746" i="2"/>
  <c r="AC746" i="2" s="1"/>
  <c r="AD746" i="2" s="1"/>
  <c r="AE746" i="2"/>
  <c r="AE745" i="2"/>
  <c r="AB745" i="2"/>
  <c r="AC745" i="2" s="1"/>
  <c r="AD745" i="2" s="1"/>
  <c r="AE744" i="2"/>
  <c r="AB744" i="2"/>
  <c r="AC744" i="2" s="1"/>
  <c r="AD744" i="2" s="1"/>
  <c r="AE743" i="2"/>
  <c r="AB743" i="2"/>
  <c r="AC743" i="2" s="1"/>
  <c r="AD743" i="2" s="1"/>
  <c r="AE742" i="2"/>
  <c r="AB742" i="2"/>
  <c r="AC742" i="2" s="1"/>
  <c r="AD742" i="2" s="1"/>
  <c r="AE741" i="2"/>
  <c r="AB741" i="2"/>
  <c r="AC741" i="2" s="1"/>
  <c r="AD741" i="2" s="1"/>
  <c r="AB740" i="2"/>
  <c r="AC740" i="2" s="1"/>
  <c r="AD740" i="2" s="1"/>
  <c r="AE740" i="2"/>
  <c r="AE739" i="2"/>
  <c r="AB739" i="2"/>
  <c r="AC739" i="2" s="1"/>
  <c r="AD739" i="2" s="1"/>
  <c r="AE738" i="2"/>
  <c r="AB738" i="2"/>
  <c r="AC738" i="2" s="1"/>
  <c r="AD738" i="2" s="1"/>
  <c r="AE737" i="2"/>
  <c r="AB737" i="2"/>
  <c r="AC737" i="2" s="1"/>
  <c r="AD737" i="2" s="1"/>
  <c r="AE736" i="2"/>
  <c r="AB736" i="2"/>
  <c r="AC736" i="2" s="1"/>
  <c r="AD736" i="2" s="1"/>
  <c r="AE735" i="2"/>
  <c r="AB735" i="2"/>
  <c r="AC735" i="2" s="1"/>
  <c r="AD735" i="2" s="1"/>
  <c r="AE734" i="2"/>
  <c r="AB734" i="2"/>
  <c r="AC734" i="2" s="1"/>
  <c r="AD734" i="2" s="1"/>
  <c r="AE733" i="2"/>
  <c r="AB733" i="2"/>
  <c r="AC733" i="2" s="1"/>
  <c r="AD733" i="2" s="1"/>
  <c r="AE732" i="2"/>
  <c r="AB732" i="2"/>
  <c r="AC732" i="2" s="1"/>
  <c r="AD732" i="2" s="1"/>
  <c r="AB731" i="2"/>
  <c r="AC731" i="2" s="1"/>
  <c r="AD731" i="2" s="1"/>
  <c r="AE731" i="2"/>
  <c r="AB730" i="2"/>
  <c r="AC730" i="2" s="1"/>
  <c r="AD730" i="2" s="1"/>
  <c r="AE730" i="2"/>
  <c r="AB729" i="2"/>
  <c r="AC729" i="2" s="1"/>
  <c r="AD729" i="2" s="1"/>
  <c r="AE729" i="2"/>
  <c r="AE728" i="2"/>
  <c r="AB728" i="2"/>
  <c r="AC728" i="2" s="1"/>
  <c r="AD728" i="2" s="1"/>
  <c r="AB727" i="2"/>
  <c r="AC727" i="2" s="1"/>
  <c r="AD727" i="2" s="1"/>
  <c r="AE727" i="2"/>
  <c r="AE726" i="2"/>
  <c r="AB726" i="2"/>
  <c r="AC726" i="2" s="1"/>
  <c r="AD726" i="2" s="1"/>
  <c r="AB725" i="2"/>
  <c r="AC725" i="2" s="1"/>
  <c r="AD725" i="2" s="1"/>
  <c r="AE725" i="2"/>
  <c r="AB724" i="2"/>
  <c r="AC724" i="2" s="1"/>
  <c r="AD724" i="2" s="1"/>
  <c r="AE724" i="2"/>
  <c r="AE723" i="2"/>
  <c r="AB723" i="2"/>
  <c r="AC723" i="2" s="1"/>
  <c r="AD723" i="2" s="1"/>
  <c r="AE722" i="2"/>
  <c r="AB722" i="2"/>
  <c r="AC722" i="2" s="1"/>
  <c r="AD722" i="2" s="1"/>
  <c r="AE721" i="2"/>
  <c r="AB721" i="2"/>
  <c r="AC721" i="2" s="1"/>
  <c r="AD721" i="2" s="1"/>
  <c r="AE720" i="2"/>
  <c r="AB720" i="2"/>
  <c r="AC720" i="2" s="1"/>
  <c r="AD720" i="2" s="1"/>
  <c r="AB719" i="2"/>
  <c r="AC719" i="2" s="1"/>
  <c r="AD719" i="2" s="1"/>
  <c r="AE719" i="2"/>
  <c r="AE718" i="2"/>
  <c r="AB718" i="2"/>
  <c r="AC718" i="2" s="1"/>
  <c r="AD718" i="2" s="1"/>
  <c r="AB717" i="2"/>
  <c r="AC717" i="2" s="1"/>
  <c r="AD717" i="2" s="1"/>
  <c r="AE717" i="2"/>
  <c r="AB716" i="2"/>
  <c r="AC716" i="2" s="1"/>
  <c r="AD716" i="2" s="1"/>
  <c r="AE716" i="2"/>
  <c r="AB715" i="2"/>
  <c r="AC715" i="2" s="1"/>
  <c r="AD715" i="2" s="1"/>
  <c r="AE715" i="2"/>
  <c r="AB714" i="2"/>
  <c r="AC714" i="2" s="1"/>
  <c r="AD714" i="2" s="1"/>
  <c r="AE714" i="2"/>
  <c r="AB713" i="2"/>
  <c r="AC713" i="2" s="1"/>
  <c r="AD713" i="2" s="1"/>
  <c r="AE713" i="2"/>
  <c r="AE712" i="2"/>
  <c r="AB712" i="2"/>
  <c r="AC712" i="2" s="1"/>
  <c r="AD712" i="2" s="1"/>
  <c r="AE711" i="2"/>
  <c r="AB711" i="2"/>
  <c r="AC711" i="2" s="1"/>
  <c r="AD711" i="2" s="1"/>
  <c r="AE710" i="2"/>
  <c r="AB710" i="2"/>
  <c r="AC710" i="2" s="1"/>
  <c r="AD710" i="2" s="1"/>
  <c r="AB709" i="2"/>
  <c r="AC709" i="2" s="1"/>
  <c r="AD709" i="2" s="1"/>
  <c r="AE709" i="2"/>
  <c r="AE708" i="2"/>
  <c r="AB708" i="2"/>
  <c r="AC708" i="2" s="1"/>
  <c r="AD708" i="2" s="1"/>
  <c r="AB707" i="2"/>
  <c r="AC707" i="2" s="1"/>
  <c r="AD707" i="2" s="1"/>
  <c r="AE707" i="2"/>
  <c r="AB706" i="2"/>
  <c r="AC706" i="2" s="1"/>
  <c r="AD706" i="2" s="1"/>
  <c r="AE706" i="2"/>
  <c r="AE705" i="2"/>
  <c r="AB705" i="2"/>
  <c r="AC705" i="2" s="1"/>
  <c r="AD705" i="2" s="1"/>
  <c r="AE704" i="2"/>
  <c r="AB704" i="2"/>
  <c r="AC704" i="2" s="1"/>
  <c r="AD704" i="2" s="1"/>
  <c r="AE703" i="2"/>
  <c r="AB703" i="2"/>
  <c r="AC703" i="2" s="1"/>
  <c r="AD703" i="2" s="1"/>
  <c r="AE702" i="2"/>
  <c r="AB702" i="2"/>
  <c r="AC702" i="2" s="1"/>
  <c r="AD702" i="2" s="1"/>
  <c r="AE701" i="2"/>
  <c r="AB701" i="2"/>
  <c r="AC701" i="2" s="1"/>
  <c r="AD701" i="2" s="1"/>
  <c r="AE700" i="2"/>
  <c r="AB700" i="2"/>
  <c r="AC700" i="2" s="1"/>
  <c r="AD700" i="2" s="1"/>
  <c r="AE699" i="2"/>
  <c r="AB699" i="2"/>
  <c r="AC699" i="2" s="1"/>
  <c r="AD699" i="2" s="1"/>
  <c r="AE698" i="2"/>
  <c r="AB698" i="2"/>
  <c r="AC698" i="2" s="1"/>
  <c r="AD698" i="2" s="1"/>
  <c r="AB697" i="2"/>
  <c r="AC697" i="2" s="1"/>
  <c r="AD697" i="2" s="1"/>
  <c r="AE697" i="2"/>
  <c r="AB696" i="2"/>
  <c r="AC696" i="2" s="1"/>
  <c r="AD696" i="2" s="1"/>
  <c r="AE696" i="2"/>
  <c r="AB695" i="2"/>
  <c r="AC695" i="2" s="1"/>
  <c r="AD695" i="2" s="1"/>
  <c r="AE695" i="2"/>
  <c r="AB694" i="2"/>
  <c r="AC694" i="2" s="1"/>
  <c r="AD694" i="2" s="1"/>
  <c r="AE694" i="2"/>
  <c r="AB693" i="2"/>
  <c r="AC693" i="2" s="1"/>
  <c r="AD693" i="2" s="1"/>
  <c r="AE693" i="2"/>
  <c r="AB692" i="2"/>
  <c r="AC692" i="2" s="1"/>
  <c r="AD692" i="2" s="1"/>
  <c r="AE692" i="2"/>
  <c r="AB691" i="2"/>
  <c r="AC691" i="2" s="1"/>
  <c r="AD691" i="2" s="1"/>
  <c r="AE691" i="2"/>
  <c r="AE690" i="2"/>
  <c r="AB690" i="2"/>
  <c r="AC690" i="2" s="1"/>
  <c r="AD690" i="2" s="1"/>
  <c r="AB689" i="2"/>
  <c r="AC689" i="2" s="1"/>
  <c r="AD689" i="2" s="1"/>
  <c r="AE689" i="2"/>
  <c r="AE688" i="2"/>
  <c r="AB688" i="2"/>
  <c r="AC688" i="2" s="1"/>
  <c r="AD688" i="2" s="1"/>
  <c r="AB687" i="2"/>
  <c r="AC687" i="2" s="1"/>
  <c r="AD687" i="2" s="1"/>
  <c r="AE687" i="2"/>
  <c r="AB686" i="2"/>
  <c r="AC686" i="2" s="1"/>
  <c r="AD686" i="2" s="1"/>
  <c r="AE686" i="2"/>
  <c r="AE685" i="2"/>
  <c r="AB685" i="2"/>
  <c r="AC685" i="2" s="1"/>
  <c r="AD685" i="2" s="1"/>
  <c r="AE684" i="2"/>
  <c r="AB684" i="2"/>
  <c r="AC684" i="2" s="1"/>
  <c r="AD684" i="2" s="1"/>
  <c r="AE683" i="2"/>
  <c r="AB683" i="2"/>
  <c r="AC683" i="2" s="1"/>
  <c r="AD683" i="2" s="1"/>
  <c r="AB682" i="2"/>
  <c r="AC682" i="2" s="1"/>
  <c r="AD682" i="2" s="1"/>
  <c r="AE682" i="2"/>
  <c r="AE681" i="2"/>
  <c r="AB681" i="2"/>
  <c r="AC681" i="2" s="1"/>
  <c r="AD681" i="2" s="1"/>
  <c r="AB680" i="2"/>
  <c r="AC680" i="2" s="1"/>
  <c r="AD680" i="2" s="1"/>
  <c r="AE680" i="2"/>
  <c r="AE679" i="2"/>
  <c r="AB679" i="2"/>
  <c r="AC679" i="2" s="1"/>
  <c r="AD679" i="2" s="1"/>
  <c r="AE678" i="2"/>
  <c r="AB678" i="2"/>
  <c r="AC678" i="2" s="1"/>
  <c r="AD678" i="2" s="1"/>
  <c r="AB677" i="2"/>
  <c r="AC677" i="2" s="1"/>
  <c r="AD677" i="2" s="1"/>
  <c r="AE677" i="2"/>
  <c r="AB676" i="2"/>
  <c r="AC676" i="2" s="1"/>
  <c r="AD676" i="2" s="1"/>
  <c r="AE676" i="2"/>
  <c r="AE675" i="2"/>
  <c r="AB675" i="2"/>
  <c r="AC675" i="2" s="1"/>
  <c r="AD675" i="2" s="1"/>
  <c r="AB674" i="2"/>
  <c r="AC674" i="2" s="1"/>
  <c r="AD674" i="2" s="1"/>
  <c r="AE674" i="2"/>
  <c r="AB673" i="2"/>
  <c r="AC673" i="2" s="1"/>
  <c r="AD673" i="2" s="1"/>
  <c r="AE673" i="2"/>
  <c r="AE672" i="2"/>
  <c r="AB672" i="2"/>
  <c r="AC672" i="2" s="1"/>
  <c r="AD672" i="2" s="1"/>
  <c r="AE671" i="2"/>
  <c r="AB671" i="2"/>
  <c r="AC671" i="2" s="1"/>
  <c r="AD671" i="2" s="1"/>
  <c r="AB670" i="2"/>
  <c r="AC670" i="2" s="1"/>
  <c r="AD670" i="2" s="1"/>
  <c r="AE670" i="2"/>
  <c r="AE669" i="2"/>
  <c r="AB669" i="2"/>
  <c r="AC669" i="2" s="1"/>
  <c r="AD669" i="2" s="1"/>
  <c r="AB668" i="2"/>
  <c r="AC668" i="2" s="1"/>
  <c r="AD668" i="2" s="1"/>
  <c r="AE668" i="2"/>
  <c r="AE667" i="2"/>
  <c r="AB667" i="2"/>
  <c r="AC667" i="2" s="1"/>
  <c r="AD667" i="2" s="1"/>
  <c r="AE666" i="2"/>
  <c r="AB666" i="2"/>
  <c r="AC666" i="2" s="1"/>
  <c r="AD666" i="2" s="1"/>
  <c r="AB665" i="2"/>
  <c r="AC665" i="2" s="1"/>
  <c r="AD665" i="2" s="1"/>
  <c r="AE665" i="2"/>
  <c r="AE664" i="2"/>
  <c r="AB664" i="2"/>
  <c r="AC664" i="2" s="1"/>
  <c r="AD664" i="2" s="1"/>
  <c r="AB663" i="2"/>
  <c r="AC663" i="2" s="1"/>
  <c r="AD663" i="2" s="1"/>
  <c r="AE663" i="2"/>
  <c r="AE662" i="2"/>
  <c r="AB662" i="2"/>
  <c r="AC662" i="2" s="1"/>
  <c r="AD662" i="2" s="1"/>
  <c r="AE661" i="2"/>
  <c r="AB661" i="2"/>
  <c r="AC661" i="2" s="1"/>
  <c r="AD661" i="2" s="1"/>
  <c r="AB660" i="2"/>
  <c r="AC660" i="2" s="1"/>
  <c r="AD660" i="2" s="1"/>
  <c r="AE660" i="2"/>
  <c r="AB659" i="2"/>
  <c r="AC659" i="2" s="1"/>
  <c r="AD659" i="2" s="1"/>
  <c r="AE659" i="2"/>
  <c r="AB658" i="2"/>
  <c r="AC658" i="2" s="1"/>
  <c r="AD658" i="2" s="1"/>
  <c r="AE658" i="2"/>
  <c r="AB657" i="2"/>
  <c r="AC657" i="2" s="1"/>
  <c r="AD657" i="2" s="1"/>
  <c r="AE657" i="2"/>
  <c r="AB656" i="2"/>
  <c r="AC656" i="2" s="1"/>
  <c r="AD656" i="2" s="1"/>
  <c r="AE656" i="2"/>
  <c r="AB655" i="2"/>
  <c r="AC655" i="2" s="1"/>
  <c r="AD655" i="2" s="1"/>
  <c r="AE655" i="2"/>
  <c r="AB654" i="2"/>
  <c r="AC654" i="2" s="1"/>
  <c r="AD654" i="2" s="1"/>
  <c r="AE654" i="2"/>
  <c r="AB653" i="2"/>
  <c r="AC653" i="2" s="1"/>
  <c r="AD653" i="2" s="1"/>
  <c r="AE653" i="2"/>
  <c r="AB652" i="2"/>
  <c r="AC652" i="2" s="1"/>
  <c r="AD652" i="2" s="1"/>
  <c r="AE652" i="2"/>
  <c r="AB651" i="2"/>
  <c r="AC651" i="2" s="1"/>
  <c r="AD651" i="2" s="1"/>
  <c r="AE651" i="2"/>
  <c r="AB650" i="2"/>
  <c r="AC650" i="2" s="1"/>
  <c r="AD650" i="2" s="1"/>
  <c r="AE650" i="2"/>
  <c r="AE649" i="2"/>
  <c r="AB649" i="2"/>
  <c r="AC649" i="2" s="1"/>
  <c r="AD649" i="2" s="1"/>
  <c r="AB648" i="2"/>
  <c r="AC648" i="2" s="1"/>
  <c r="AD648" i="2" s="1"/>
  <c r="AE648" i="2"/>
  <c r="AE647" i="2"/>
  <c r="AB647" i="2"/>
  <c r="AC647" i="2" s="1"/>
  <c r="AD647" i="2" s="1"/>
  <c r="AE646" i="2"/>
  <c r="AB646" i="2"/>
  <c r="AC646" i="2" s="1"/>
  <c r="AD646" i="2" s="1"/>
  <c r="AE645" i="2"/>
  <c r="AB645" i="2"/>
  <c r="AC645" i="2" s="1"/>
  <c r="AD645" i="2" s="1"/>
  <c r="AB644" i="2"/>
  <c r="AC644" i="2" s="1"/>
  <c r="AD644" i="2" s="1"/>
  <c r="AE644" i="2"/>
  <c r="AB643" i="2"/>
  <c r="AC643" i="2" s="1"/>
  <c r="AD643" i="2" s="1"/>
  <c r="AE643" i="2"/>
  <c r="AB642" i="2"/>
  <c r="AC642" i="2" s="1"/>
  <c r="AD642" i="2" s="1"/>
  <c r="AE642" i="2"/>
  <c r="AE641" i="2"/>
  <c r="AB641" i="2"/>
  <c r="AC641" i="2" s="1"/>
  <c r="AD641" i="2" s="1"/>
  <c r="AE640" i="2"/>
  <c r="AB640" i="2"/>
  <c r="AC640" i="2" s="1"/>
  <c r="AD640" i="2" s="1"/>
  <c r="AB639" i="2"/>
  <c r="AC639" i="2" s="1"/>
  <c r="AD639" i="2" s="1"/>
  <c r="AE639" i="2"/>
  <c r="AE638" i="2"/>
  <c r="AB638" i="2"/>
  <c r="AC638" i="2" s="1"/>
  <c r="AD638" i="2" s="1"/>
  <c r="AB637" i="2"/>
  <c r="AC637" i="2" s="1"/>
  <c r="AD637" i="2" s="1"/>
  <c r="AE637" i="2"/>
  <c r="AE636" i="2"/>
  <c r="AB636" i="2"/>
  <c r="AC636" i="2" s="1"/>
  <c r="AD636" i="2" s="1"/>
  <c r="AE635" i="2"/>
  <c r="AB635" i="2"/>
  <c r="AC635" i="2" s="1"/>
  <c r="AD635" i="2" s="1"/>
  <c r="AE634" i="2"/>
  <c r="AB634" i="2"/>
  <c r="AC634" i="2" s="1"/>
  <c r="AD634" i="2" s="1"/>
  <c r="AB633" i="2"/>
  <c r="AC633" i="2" s="1"/>
  <c r="AD633" i="2" s="1"/>
  <c r="AE633" i="2"/>
  <c r="AB632" i="2"/>
  <c r="AC632" i="2" s="1"/>
  <c r="AD632" i="2" s="1"/>
  <c r="AE632" i="2"/>
  <c r="AB631" i="2"/>
  <c r="AC631" i="2" s="1"/>
  <c r="AD631" i="2" s="1"/>
  <c r="AE631" i="2"/>
  <c r="AB630" i="2"/>
  <c r="AC630" i="2" s="1"/>
  <c r="AD630" i="2" s="1"/>
  <c r="AE630" i="2"/>
  <c r="AE629" i="2"/>
  <c r="AB629" i="2"/>
  <c r="AC629" i="2" s="1"/>
  <c r="AD629" i="2" s="1"/>
  <c r="AE628" i="2"/>
  <c r="AB628" i="2"/>
  <c r="AC628" i="2" s="1"/>
  <c r="AD628" i="2" s="1"/>
  <c r="AE627" i="2"/>
  <c r="AB627" i="2"/>
  <c r="AC627" i="2" s="1"/>
  <c r="AD627" i="2" s="1"/>
  <c r="AE626" i="2"/>
  <c r="AB626" i="2"/>
  <c r="AC626" i="2" s="1"/>
  <c r="AD626" i="2" s="1"/>
  <c r="AE625" i="2"/>
  <c r="AB625" i="2"/>
  <c r="AC625" i="2" s="1"/>
  <c r="AD625" i="2" s="1"/>
  <c r="AB624" i="2"/>
  <c r="AC624" i="2" s="1"/>
  <c r="AD624" i="2" s="1"/>
  <c r="AE624" i="2"/>
  <c r="AB623" i="2"/>
  <c r="AC623" i="2" s="1"/>
  <c r="AD623" i="2" s="1"/>
  <c r="AE623" i="2"/>
  <c r="AB622" i="2"/>
  <c r="AC622" i="2" s="1"/>
  <c r="AD622" i="2" s="1"/>
  <c r="AE622" i="2"/>
  <c r="AB621" i="2"/>
  <c r="AC621" i="2" s="1"/>
  <c r="AD621" i="2" s="1"/>
  <c r="AE621" i="2"/>
  <c r="AB620" i="2"/>
  <c r="AC620" i="2" s="1"/>
  <c r="AD620" i="2" s="1"/>
  <c r="AE620" i="2"/>
  <c r="AB619" i="2"/>
  <c r="AC619" i="2" s="1"/>
  <c r="AD619" i="2" s="1"/>
  <c r="AE619" i="2"/>
  <c r="AB618" i="2"/>
  <c r="AC618" i="2" s="1"/>
  <c r="AD618" i="2" s="1"/>
  <c r="AE618" i="2"/>
  <c r="AE617" i="2"/>
  <c r="AB617" i="2"/>
  <c r="AC617" i="2" s="1"/>
  <c r="AD617" i="2" s="1"/>
  <c r="AB616" i="2"/>
  <c r="AC616" i="2" s="1"/>
  <c r="AD616" i="2" s="1"/>
  <c r="AE616" i="2"/>
  <c r="AE614" i="2"/>
  <c r="AB614" i="2"/>
  <c r="AC614" i="2" s="1"/>
  <c r="AD614" i="2" s="1"/>
  <c r="AB613" i="2"/>
  <c r="AC613" i="2" s="1"/>
  <c r="AD613" i="2" s="1"/>
  <c r="AE613" i="2"/>
  <c r="AB612" i="2"/>
  <c r="AC612" i="2" s="1"/>
  <c r="AD612" i="2" s="1"/>
  <c r="AE612" i="2"/>
  <c r="AB611" i="2"/>
  <c r="AC611" i="2" s="1"/>
  <c r="AD611" i="2" s="1"/>
  <c r="AE611" i="2"/>
  <c r="AB610" i="2"/>
  <c r="AC610" i="2" s="1"/>
  <c r="AD610" i="2" s="1"/>
  <c r="AE610" i="2"/>
  <c r="AB609" i="2"/>
  <c r="AC609" i="2" s="1"/>
  <c r="AD609" i="2" s="1"/>
  <c r="AE609" i="2"/>
  <c r="AB608" i="2"/>
  <c r="AC608" i="2" s="1"/>
  <c r="AD608" i="2" s="1"/>
  <c r="AE608" i="2"/>
  <c r="AB607" i="2"/>
  <c r="AC607" i="2" s="1"/>
  <c r="AD607" i="2" s="1"/>
  <c r="AE607" i="2"/>
  <c r="AE606" i="2"/>
  <c r="AB606" i="2"/>
  <c r="AC606" i="2" s="1"/>
  <c r="AD606" i="2" s="1"/>
  <c r="AB605" i="2"/>
  <c r="AC605" i="2" s="1"/>
  <c r="AD605" i="2" s="1"/>
  <c r="AE605" i="2"/>
  <c r="AB604" i="2"/>
  <c r="AC604" i="2" s="1"/>
  <c r="AD604" i="2" s="1"/>
  <c r="AE604" i="2"/>
  <c r="AB603" i="2"/>
  <c r="AC603" i="2" s="1"/>
  <c r="AD603" i="2" s="1"/>
  <c r="AE603" i="2"/>
  <c r="AB602" i="2"/>
  <c r="AC602" i="2" s="1"/>
  <c r="AD602" i="2" s="1"/>
  <c r="AE602" i="2"/>
  <c r="AE601" i="2"/>
  <c r="AB601" i="2"/>
  <c r="AC601" i="2" s="1"/>
  <c r="AD601" i="2" s="1"/>
  <c r="AE600" i="2"/>
  <c r="AB600" i="2"/>
  <c r="AC600" i="2" s="1"/>
  <c r="AD600" i="2" s="1"/>
  <c r="AE599" i="2"/>
  <c r="AB599" i="2"/>
  <c r="AC599" i="2" s="1"/>
  <c r="AD599" i="2" s="1"/>
  <c r="AB598" i="2"/>
  <c r="AC598" i="2" s="1"/>
  <c r="AD598" i="2" s="1"/>
  <c r="AE598" i="2"/>
  <c r="AE597" i="2"/>
  <c r="AB597" i="2"/>
  <c r="AC597" i="2" s="1"/>
  <c r="AD597" i="2" s="1"/>
  <c r="AB596" i="2"/>
  <c r="AC596" i="2" s="1"/>
  <c r="AD596" i="2" s="1"/>
  <c r="AE596" i="2"/>
  <c r="AB595" i="2"/>
  <c r="AC595" i="2" s="1"/>
  <c r="AD595" i="2" s="1"/>
  <c r="AE595" i="2"/>
  <c r="AE594" i="2"/>
  <c r="AB594" i="2"/>
  <c r="AC594" i="2" s="1"/>
  <c r="AD594" i="2" s="1"/>
  <c r="AB593" i="2"/>
  <c r="AC593" i="2" s="1"/>
  <c r="AD593" i="2" s="1"/>
  <c r="AE593" i="2"/>
  <c r="AE592" i="2"/>
  <c r="AB592" i="2"/>
  <c r="AC592" i="2" s="1"/>
  <c r="AD592" i="2" s="1"/>
  <c r="AB591" i="2"/>
  <c r="AC591" i="2" s="1"/>
  <c r="AD591" i="2" s="1"/>
  <c r="AE591" i="2"/>
  <c r="AE590" i="2"/>
  <c r="AB590" i="2"/>
  <c r="AC590" i="2" s="1"/>
  <c r="AD590" i="2" s="1"/>
  <c r="AB589" i="2"/>
  <c r="AC589" i="2" s="1"/>
  <c r="AD589" i="2" s="1"/>
  <c r="AE589" i="2"/>
  <c r="AB588" i="2"/>
  <c r="AC588" i="2" s="1"/>
  <c r="AD588" i="2" s="1"/>
  <c r="AE588" i="2"/>
  <c r="AB587" i="2"/>
  <c r="AC587" i="2" s="1"/>
  <c r="AD587" i="2" s="1"/>
  <c r="AE587" i="2"/>
  <c r="AB586" i="2"/>
  <c r="AC586" i="2" s="1"/>
  <c r="AD586" i="2" s="1"/>
  <c r="AE586" i="2"/>
  <c r="AB585" i="2"/>
  <c r="AC585" i="2" s="1"/>
  <c r="AD585" i="2" s="1"/>
  <c r="AE585" i="2"/>
  <c r="AB584" i="2"/>
  <c r="AC584" i="2" s="1"/>
  <c r="AD584" i="2" s="1"/>
  <c r="AE584" i="2"/>
  <c r="AB583" i="2"/>
  <c r="AC583" i="2" s="1"/>
  <c r="AD583" i="2" s="1"/>
  <c r="AE583" i="2"/>
  <c r="AB582" i="2"/>
  <c r="AC582" i="2" s="1"/>
  <c r="AD582" i="2" s="1"/>
  <c r="AE582" i="2"/>
  <c r="AB581" i="2"/>
  <c r="AC581" i="2" s="1"/>
  <c r="AD581" i="2" s="1"/>
  <c r="AE581" i="2"/>
  <c r="AE580" i="2"/>
  <c r="AB580" i="2"/>
  <c r="AC580" i="2" s="1"/>
  <c r="AD580" i="2" s="1"/>
  <c r="AE579" i="2"/>
  <c r="AB579" i="2"/>
  <c r="AC579" i="2" s="1"/>
  <c r="AD579" i="2" s="1"/>
  <c r="AB578" i="2"/>
  <c r="AC578" i="2" s="1"/>
  <c r="AD578" i="2" s="1"/>
  <c r="AE578" i="2"/>
  <c r="AB577" i="2"/>
  <c r="AC577" i="2" s="1"/>
  <c r="AD577" i="2" s="1"/>
  <c r="AE577" i="2"/>
  <c r="AB576" i="2"/>
  <c r="AC576" i="2" s="1"/>
  <c r="AD576" i="2" s="1"/>
  <c r="AE576" i="2"/>
  <c r="AE575" i="2"/>
  <c r="AB575" i="2"/>
  <c r="AC575" i="2" s="1"/>
  <c r="AD575" i="2" s="1"/>
  <c r="AB574" i="2"/>
  <c r="AC574" i="2" s="1"/>
  <c r="AD574" i="2" s="1"/>
  <c r="AE574" i="2"/>
  <c r="AB573" i="2"/>
  <c r="AC573" i="2" s="1"/>
  <c r="AD573" i="2" s="1"/>
  <c r="AE573" i="2"/>
  <c r="AB572" i="2"/>
  <c r="AC572" i="2" s="1"/>
  <c r="AD572" i="2" s="1"/>
  <c r="AE572" i="2"/>
  <c r="AE571" i="2"/>
  <c r="AB571" i="2"/>
  <c r="AC571" i="2" s="1"/>
  <c r="AD571" i="2" s="1"/>
  <c r="AB570" i="2"/>
  <c r="AC570" i="2" s="1"/>
  <c r="AD570" i="2" s="1"/>
  <c r="AE570" i="2"/>
  <c r="AB569" i="2"/>
  <c r="AC569" i="2" s="1"/>
  <c r="AD569" i="2" s="1"/>
  <c r="AE569" i="2"/>
  <c r="AB568" i="2"/>
  <c r="AC568" i="2" s="1"/>
  <c r="AD568" i="2" s="1"/>
  <c r="AE568" i="2"/>
  <c r="AE567" i="2"/>
  <c r="AB567" i="2"/>
  <c r="AC567" i="2" s="1"/>
  <c r="AD567" i="2" s="1"/>
  <c r="AB566" i="2"/>
  <c r="AC566" i="2" s="1"/>
  <c r="AD566" i="2" s="1"/>
  <c r="AE566" i="2"/>
  <c r="AE565" i="2"/>
  <c r="AB565" i="2"/>
  <c r="AC565" i="2" s="1"/>
  <c r="AD565" i="2" s="1"/>
  <c r="AB564" i="2"/>
  <c r="AC564" i="2" s="1"/>
  <c r="AD564" i="2" s="1"/>
  <c r="AE564" i="2"/>
  <c r="AB563" i="2"/>
  <c r="AC563" i="2" s="1"/>
  <c r="AD563" i="2" s="1"/>
  <c r="AE563" i="2"/>
  <c r="AE562" i="2"/>
  <c r="AB562" i="2"/>
  <c r="AC562" i="2" s="1"/>
  <c r="AD562" i="2" s="1"/>
  <c r="AB561" i="2"/>
  <c r="AC561" i="2" s="1"/>
  <c r="AD561" i="2" s="1"/>
  <c r="AE561" i="2"/>
  <c r="AE560" i="2"/>
  <c r="AB560" i="2"/>
  <c r="AC560" i="2" s="1"/>
  <c r="AD560" i="2" s="1"/>
  <c r="AE559" i="2"/>
  <c r="AB559" i="2"/>
  <c r="AC559" i="2" s="1"/>
  <c r="AD559" i="2" s="1"/>
  <c r="AB558" i="2"/>
  <c r="AC558" i="2" s="1"/>
  <c r="AD558" i="2" s="1"/>
  <c r="AE558" i="2"/>
  <c r="AE557" i="2"/>
  <c r="AB557" i="2"/>
  <c r="AC557" i="2" s="1"/>
  <c r="AD557" i="2" s="1"/>
  <c r="AB556" i="2"/>
  <c r="AC556" i="2" s="1"/>
  <c r="AD556" i="2" s="1"/>
  <c r="AE556" i="2"/>
  <c r="AB555" i="2"/>
  <c r="AC555" i="2" s="1"/>
  <c r="AD555" i="2" s="1"/>
  <c r="AE555" i="2"/>
  <c r="AE554" i="2"/>
  <c r="AB554" i="2"/>
  <c r="AC554" i="2" s="1"/>
  <c r="AD554" i="2" s="1"/>
  <c r="AE553" i="2"/>
  <c r="AB553" i="2"/>
  <c r="AC553" i="2" s="1"/>
  <c r="AD553" i="2" s="1"/>
  <c r="AE552" i="2"/>
  <c r="AB552" i="2"/>
  <c r="AC552" i="2" s="1"/>
  <c r="AD552" i="2" s="1"/>
  <c r="AB550" i="2"/>
  <c r="AC550" i="2" s="1"/>
  <c r="AD550" i="2" s="1"/>
  <c r="AE550" i="2"/>
  <c r="AE549" i="2"/>
  <c r="AB549" i="2"/>
  <c r="AC549" i="2" s="1"/>
  <c r="AD549" i="2" s="1"/>
  <c r="AE548" i="2"/>
  <c r="AB548" i="2"/>
  <c r="AC548" i="2" s="1"/>
  <c r="AD548" i="2" s="1"/>
  <c r="AB547" i="2"/>
  <c r="AC547" i="2" s="1"/>
  <c r="AD547" i="2" s="1"/>
  <c r="AE547" i="2"/>
  <c r="AE546" i="2"/>
  <c r="AB546" i="2"/>
  <c r="AC546" i="2" s="1"/>
  <c r="AD546" i="2" s="1"/>
  <c r="AB545" i="2"/>
  <c r="AC545" i="2" s="1"/>
  <c r="AD545" i="2" s="1"/>
  <c r="AE545" i="2"/>
  <c r="AE544" i="2"/>
  <c r="AB544" i="2"/>
  <c r="AC544" i="2" s="1"/>
  <c r="AD544" i="2" s="1"/>
  <c r="AE543" i="2"/>
  <c r="AB543" i="2"/>
  <c r="AC543" i="2" s="1"/>
  <c r="AD543" i="2" s="1"/>
  <c r="AB542" i="2"/>
  <c r="AC542" i="2" s="1"/>
  <c r="AD542" i="2" s="1"/>
  <c r="AE542" i="2"/>
  <c r="AE541" i="2"/>
  <c r="AB541" i="2"/>
  <c r="AC541" i="2" s="1"/>
  <c r="AD541" i="2" s="1"/>
  <c r="AB540" i="2"/>
  <c r="AC540" i="2" s="1"/>
  <c r="AD540" i="2" s="1"/>
  <c r="AE540" i="2"/>
  <c r="AB539" i="2"/>
  <c r="AC539" i="2" s="1"/>
  <c r="AD539" i="2" s="1"/>
  <c r="AE539" i="2"/>
  <c r="AB538" i="2"/>
  <c r="AC538" i="2" s="1"/>
  <c r="AD538" i="2" s="1"/>
  <c r="AE538" i="2"/>
  <c r="AB537" i="2"/>
  <c r="AC537" i="2" s="1"/>
  <c r="AD537" i="2" s="1"/>
  <c r="AE537" i="2"/>
  <c r="AE536" i="2"/>
  <c r="AB536" i="2"/>
  <c r="AC536" i="2" s="1"/>
  <c r="AD536" i="2" s="1"/>
  <c r="AE535" i="2"/>
  <c r="AB535" i="2"/>
  <c r="AC535" i="2" s="1"/>
  <c r="AD535" i="2" s="1"/>
  <c r="AE534" i="2"/>
  <c r="AB534" i="2"/>
  <c r="AC534" i="2" s="1"/>
  <c r="AD534" i="2" s="1"/>
  <c r="AB533" i="2"/>
  <c r="AC533" i="2" s="1"/>
  <c r="AD533" i="2" s="1"/>
  <c r="AE533" i="2"/>
  <c r="AB532" i="2"/>
  <c r="AC532" i="2" s="1"/>
  <c r="AD532" i="2" s="1"/>
  <c r="AE532" i="2"/>
  <c r="AB531" i="2"/>
  <c r="AC531" i="2" s="1"/>
  <c r="AD531" i="2" s="1"/>
  <c r="AE531" i="2"/>
  <c r="AB530" i="2"/>
  <c r="AC530" i="2" s="1"/>
  <c r="AD530" i="2" s="1"/>
  <c r="AE530" i="2"/>
  <c r="AE529" i="2"/>
  <c r="AB529" i="2"/>
  <c r="AC529" i="2" s="1"/>
  <c r="AD529" i="2" s="1"/>
  <c r="AB528" i="2"/>
  <c r="AC528" i="2" s="1"/>
  <c r="AD528" i="2" s="1"/>
  <c r="AE528" i="2"/>
  <c r="AE527" i="2"/>
  <c r="AB527" i="2"/>
  <c r="AC527" i="2" s="1"/>
  <c r="AD527" i="2" s="1"/>
  <c r="AB526" i="2"/>
  <c r="AC526" i="2" s="1"/>
  <c r="AD526" i="2" s="1"/>
  <c r="AE526" i="2"/>
  <c r="AE525" i="2"/>
  <c r="AB525" i="2"/>
  <c r="AC525" i="2" s="1"/>
  <c r="AD525" i="2" s="1"/>
  <c r="AB524" i="2"/>
  <c r="AC524" i="2" s="1"/>
  <c r="AD524" i="2" s="1"/>
  <c r="AE524" i="2"/>
  <c r="AE523" i="2"/>
  <c r="AB523" i="2"/>
  <c r="AC523" i="2" s="1"/>
  <c r="AD523" i="2" s="1"/>
  <c r="AE522" i="2"/>
  <c r="AB522" i="2"/>
  <c r="AC522" i="2" s="1"/>
  <c r="AD522" i="2" s="1"/>
  <c r="AE521" i="2"/>
  <c r="AB521" i="2"/>
  <c r="AC521" i="2" s="1"/>
  <c r="AD521" i="2" s="1"/>
  <c r="AE520" i="2"/>
  <c r="AB520" i="2"/>
  <c r="AC520" i="2" s="1"/>
  <c r="AD520" i="2" s="1"/>
  <c r="AE519" i="2"/>
  <c r="AB519" i="2"/>
  <c r="AC519" i="2" s="1"/>
  <c r="AD519" i="2" s="1"/>
  <c r="AE518" i="2"/>
  <c r="AB518" i="2"/>
  <c r="AC518" i="2" s="1"/>
  <c r="AD518" i="2" s="1"/>
  <c r="AB517" i="2"/>
  <c r="AC517" i="2" s="1"/>
  <c r="AD517" i="2" s="1"/>
  <c r="AE517" i="2"/>
  <c r="AE515" i="2"/>
  <c r="AB515" i="2"/>
  <c r="AC515" i="2" s="1"/>
  <c r="AD515" i="2" s="1"/>
  <c r="AB514" i="2"/>
  <c r="AC514" i="2" s="1"/>
  <c r="AD514" i="2" s="1"/>
  <c r="AE514" i="2"/>
  <c r="AE513" i="2"/>
  <c r="AB513" i="2"/>
  <c r="AC513" i="2" s="1"/>
  <c r="AD513" i="2" s="1"/>
  <c r="AE512" i="2"/>
  <c r="AB512" i="2"/>
  <c r="AC512" i="2" s="1"/>
  <c r="AD512" i="2" s="1"/>
  <c r="AE511" i="2"/>
  <c r="AB511" i="2"/>
  <c r="AC511" i="2" s="1"/>
  <c r="AD511" i="2" s="1"/>
  <c r="AB510" i="2"/>
  <c r="AC510" i="2" s="1"/>
  <c r="AD510" i="2" s="1"/>
  <c r="AE510" i="2"/>
  <c r="AB509" i="2"/>
  <c r="AC509" i="2" s="1"/>
  <c r="AD509" i="2" s="1"/>
  <c r="AE509" i="2"/>
  <c r="AB508" i="2"/>
  <c r="AC508" i="2" s="1"/>
  <c r="AD508" i="2" s="1"/>
  <c r="AE508" i="2"/>
  <c r="AE507" i="2"/>
  <c r="AB507" i="2"/>
  <c r="AC507" i="2" s="1"/>
  <c r="AD507" i="2" s="1"/>
  <c r="AB506" i="2"/>
  <c r="AC506" i="2" s="1"/>
  <c r="AD506" i="2" s="1"/>
  <c r="AE506" i="2"/>
  <c r="AE505" i="2"/>
  <c r="AB505" i="2"/>
  <c r="AC505" i="2" s="1"/>
  <c r="AD505" i="2" s="1"/>
  <c r="AB504" i="2"/>
  <c r="AC504" i="2" s="1"/>
  <c r="AD504" i="2" s="1"/>
  <c r="AE504" i="2"/>
  <c r="AB503" i="2"/>
  <c r="AC503" i="2" s="1"/>
  <c r="AD503" i="2" s="1"/>
  <c r="AE503" i="2"/>
  <c r="AB502" i="2"/>
  <c r="AC502" i="2" s="1"/>
  <c r="AD502" i="2" s="1"/>
  <c r="AE502" i="2"/>
  <c r="AB501" i="2"/>
  <c r="AC501" i="2" s="1"/>
  <c r="AD501" i="2" s="1"/>
  <c r="AE501" i="2"/>
  <c r="AE500" i="2"/>
  <c r="AB500" i="2"/>
  <c r="AC500" i="2" s="1"/>
  <c r="AD500" i="2" s="1"/>
  <c r="AB499" i="2"/>
  <c r="AC499" i="2" s="1"/>
  <c r="AD499" i="2" s="1"/>
  <c r="AE499" i="2"/>
  <c r="AE498" i="2"/>
  <c r="AB498" i="2"/>
  <c r="AC498" i="2" s="1"/>
  <c r="AD498" i="2" s="1"/>
  <c r="AB497" i="2"/>
  <c r="AC497" i="2" s="1"/>
  <c r="AD497" i="2" s="1"/>
  <c r="AE497" i="2"/>
  <c r="AB496" i="2"/>
  <c r="AC496" i="2" s="1"/>
  <c r="AD496" i="2" s="1"/>
  <c r="AE496" i="2"/>
  <c r="AB495" i="2"/>
  <c r="AC495" i="2" s="1"/>
  <c r="AD495" i="2" s="1"/>
  <c r="AE495" i="2"/>
  <c r="AB494" i="2"/>
  <c r="AC494" i="2" s="1"/>
  <c r="AD494" i="2" s="1"/>
  <c r="AE494" i="2"/>
  <c r="AB493" i="2"/>
  <c r="AC493" i="2" s="1"/>
  <c r="AD493" i="2" s="1"/>
  <c r="AE493" i="2"/>
  <c r="AB492" i="2"/>
  <c r="AC492" i="2" s="1"/>
  <c r="AD492" i="2" s="1"/>
  <c r="AE492" i="2"/>
  <c r="AE491" i="2"/>
  <c r="AB491" i="2"/>
  <c r="AC491" i="2" s="1"/>
  <c r="AD491" i="2" s="1"/>
  <c r="AE490" i="2"/>
  <c r="AB490" i="2"/>
  <c r="AC490" i="2" s="1"/>
  <c r="AD490" i="2" s="1"/>
  <c r="AE489" i="2"/>
  <c r="AB489" i="2"/>
  <c r="AC489" i="2" s="1"/>
  <c r="AD489" i="2" s="1"/>
  <c r="AE488" i="2"/>
  <c r="AB488" i="2"/>
  <c r="AC488" i="2" s="1"/>
  <c r="AD488" i="2" s="1"/>
  <c r="AB487" i="2"/>
  <c r="AC487" i="2" s="1"/>
  <c r="AD487" i="2" s="1"/>
  <c r="AE487" i="2"/>
  <c r="AB486" i="2"/>
  <c r="AC486" i="2" s="1"/>
  <c r="AD486" i="2" s="1"/>
  <c r="AE486" i="2"/>
  <c r="AB485" i="2"/>
  <c r="AC485" i="2" s="1"/>
  <c r="AD485" i="2" s="1"/>
  <c r="AE485" i="2"/>
  <c r="AE484" i="2"/>
  <c r="AB484" i="2"/>
  <c r="AC484" i="2" s="1"/>
  <c r="AD484" i="2" s="1"/>
  <c r="AB483" i="2"/>
  <c r="AC483" i="2" s="1"/>
  <c r="AD483" i="2" s="1"/>
  <c r="AE483" i="2"/>
  <c r="AE482" i="2"/>
  <c r="AB482" i="2"/>
  <c r="AC482" i="2" s="1"/>
  <c r="AD482" i="2" s="1"/>
  <c r="AB481" i="2"/>
  <c r="AC481" i="2" s="1"/>
  <c r="AD481" i="2" s="1"/>
  <c r="AE481" i="2"/>
  <c r="AB480" i="2"/>
  <c r="AC480" i="2" s="1"/>
  <c r="AD480" i="2" s="1"/>
  <c r="AE480" i="2"/>
  <c r="AB479" i="2"/>
  <c r="AC479" i="2" s="1"/>
  <c r="AD479" i="2" s="1"/>
  <c r="AE479" i="2"/>
  <c r="AB478" i="2"/>
  <c r="AC478" i="2" s="1"/>
  <c r="AD478" i="2" s="1"/>
  <c r="AE478" i="2"/>
  <c r="AB477" i="2"/>
  <c r="AC477" i="2" s="1"/>
  <c r="AD477" i="2" s="1"/>
  <c r="AE477" i="2"/>
  <c r="AE476" i="2"/>
  <c r="AB476" i="2"/>
  <c r="AC476" i="2" s="1"/>
  <c r="AD476" i="2" s="1"/>
  <c r="AE475" i="2"/>
  <c r="AB475" i="2"/>
  <c r="AC475" i="2" s="1"/>
  <c r="AD475" i="2" s="1"/>
  <c r="AB474" i="2"/>
  <c r="AC474" i="2" s="1"/>
  <c r="AD474" i="2" s="1"/>
  <c r="AE474" i="2"/>
  <c r="AB473" i="2"/>
  <c r="AC473" i="2" s="1"/>
  <c r="AD473" i="2" s="1"/>
  <c r="AE473" i="2"/>
  <c r="AE472" i="2"/>
  <c r="AB472" i="2"/>
  <c r="AC472" i="2" s="1"/>
  <c r="AD472" i="2" s="1"/>
  <c r="AB471" i="2"/>
  <c r="AC471" i="2" s="1"/>
  <c r="AD471" i="2" s="1"/>
  <c r="AE471" i="2"/>
  <c r="AE470" i="2"/>
  <c r="AB470" i="2"/>
  <c r="AC470" i="2" s="1"/>
  <c r="AD470" i="2" s="1"/>
  <c r="AE469" i="2"/>
  <c r="AB469" i="2"/>
  <c r="AC469" i="2" s="1"/>
  <c r="AD469" i="2" s="1"/>
  <c r="AE468" i="2"/>
  <c r="AB468" i="2"/>
  <c r="AC468" i="2" s="1"/>
  <c r="AD468" i="2" s="1"/>
  <c r="AE467" i="2"/>
  <c r="AB467" i="2"/>
  <c r="AC467" i="2" s="1"/>
  <c r="AD467" i="2" s="1"/>
  <c r="AE466" i="2"/>
  <c r="AB466" i="2"/>
  <c r="AC466" i="2" s="1"/>
  <c r="AD466" i="2" s="1"/>
  <c r="AB465" i="2"/>
  <c r="AC465" i="2" s="1"/>
  <c r="AD465" i="2" s="1"/>
  <c r="AE465" i="2"/>
  <c r="AE464" i="2"/>
  <c r="AB464" i="2"/>
  <c r="AC464" i="2" s="1"/>
  <c r="AD464" i="2" s="1"/>
  <c r="AE463" i="2"/>
  <c r="AB463" i="2"/>
  <c r="AC463" i="2" s="1"/>
  <c r="AD463" i="2" s="1"/>
  <c r="AE462" i="2"/>
  <c r="AB462" i="2"/>
  <c r="AC462" i="2" s="1"/>
  <c r="AD462" i="2" s="1"/>
  <c r="AB461" i="2"/>
  <c r="AC461" i="2" s="1"/>
  <c r="AD461" i="2" s="1"/>
  <c r="AE461" i="2"/>
  <c r="AB460" i="2"/>
  <c r="AC460" i="2" s="1"/>
  <c r="AD460" i="2" s="1"/>
  <c r="AE460" i="2"/>
  <c r="AE459" i="2"/>
  <c r="AB459" i="2"/>
  <c r="AC459" i="2" s="1"/>
  <c r="AD459" i="2" s="1"/>
  <c r="AB458" i="2"/>
  <c r="AC458" i="2" s="1"/>
  <c r="AD458" i="2" s="1"/>
  <c r="AE458" i="2"/>
  <c r="AB457" i="2"/>
  <c r="AC457" i="2" s="1"/>
  <c r="AD457" i="2" s="1"/>
  <c r="AE457" i="2"/>
  <c r="AB456" i="2"/>
  <c r="AC456" i="2" s="1"/>
  <c r="AD456" i="2" s="1"/>
  <c r="AE456" i="2"/>
  <c r="AE455" i="2"/>
  <c r="AB455" i="2"/>
  <c r="AC455" i="2" s="1"/>
  <c r="AD455" i="2" s="1"/>
  <c r="AB454" i="2"/>
  <c r="AC454" i="2" s="1"/>
  <c r="AD454" i="2" s="1"/>
  <c r="AE454" i="2"/>
  <c r="AB453" i="2"/>
  <c r="AC453" i="2" s="1"/>
  <c r="AD453" i="2" s="1"/>
  <c r="AE453" i="2"/>
  <c r="AE452" i="2"/>
  <c r="AB452" i="2"/>
  <c r="AC452" i="2" s="1"/>
  <c r="AD452" i="2" s="1"/>
  <c r="AE451" i="2"/>
  <c r="AB451" i="2"/>
  <c r="AC451" i="2" s="1"/>
  <c r="AD451" i="2" s="1"/>
  <c r="AB450" i="2"/>
  <c r="AC450" i="2" s="1"/>
  <c r="AD450" i="2" s="1"/>
  <c r="AE450" i="2"/>
  <c r="AE449" i="2"/>
  <c r="AB449" i="2"/>
  <c r="AC449" i="2" s="1"/>
  <c r="AD449" i="2" s="1"/>
  <c r="AE448" i="2"/>
  <c r="AB448" i="2"/>
  <c r="AC448" i="2" s="1"/>
  <c r="AD448" i="2" s="1"/>
  <c r="AB447" i="2"/>
  <c r="AC447" i="2" s="1"/>
  <c r="AD447" i="2" s="1"/>
  <c r="AE447" i="2"/>
  <c r="AE446" i="2"/>
  <c r="AB446" i="2"/>
  <c r="AC446" i="2" s="1"/>
  <c r="AD446" i="2" s="1"/>
  <c r="AE445" i="2"/>
  <c r="AB445" i="2"/>
  <c r="AC445" i="2" s="1"/>
  <c r="AD445" i="2" s="1"/>
  <c r="AB444" i="2"/>
  <c r="AC444" i="2" s="1"/>
  <c r="AD444" i="2" s="1"/>
  <c r="AE444" i="2"/>
  <c r="AB443" i="2"/>
  <c r="AC443" i="2" s="1"/>
  <c r="AD443" i="2" s="1"/>
  <c r="AE443" i="2"/>
  <c r="AB442" i="2"/>
  <c r="AC442" i="2" s="1"/>
  <c r="AD442" i="2" s="1"/>
  <c r="AE442" i="2"/>
  <c r="AB441" i="2"/>
  <c r="AC441" i="2" s="1"/>
  <c r="AD441" i="2" s="1"/>
  <c r="AE441" i="2"/>
  <c r="AB440" i="2"/>
  <c r="AC440" i="2" s="1"/>
  <c r="AD440" i="2" s="1"/>
  <c r="AE440" i="2"/>
  <c r="AB439" i="2"/>
  <c r="AC439" i="2" s="1"/>
  <c r="AD439" i="2" s="1"/>
  <c r="AE439" i="2"/>
  <c r="AB438" i="2"/>
  <c r="AC438" i="2" s="1"/>
  <c r="AD438" i="2" s="1"/>
  <c r="AE438" i="2"/>
  <c r="AB437" i="2"/>
  <c r="AC437" i="2" s="1"/>
  <c r="AD437" i="2" s="1"/>
  <c r="AE437" i="2"/>
  <c r="AE436" i="2"/>
  <c r="AB436" i="2"/>
  <c r="AC436" i="2" s="1"/>
  <c r="AD436" i="2" s="1"/>
  <c r="AE435" i="2"/>
  <c r="AB435" i="2"/>
  <c r="AC435" i="2" s="1"/>
  <c r="AD435" i="2" s="1"/>
  <c r="AE434" i="2"/>
  <c r="AB434" i="2"/>
  <c r="AC434" i="2" s="1"/>
  <c r="AD434" i="2" s="1"/>
  <c r="AB433" i="2"/>
  <c r="AC433" i="2" s="1"/>
  <c r="AD433" i="2" s="1"/>
  <c r="AE433" i="2"/>
  <c r="AB432" i="2"/>
  <c r="AC432" i="2" s="1"/>
  <c r="AD432" i="2" s="1"/>
  <c r="AE432" i="2"/>
  <c r="AB431" i="2"/>
  <c r="AC431" i="2" s="1"/>
  <c r="AD431" i="2" s="1"/>
  <c r="AE431" i="2"/>
  <c r="AB430" i="2"/>
  <c r="AC430" i="2" s="1"/>
  <c r="AD430" i="2" s="1"/>
  <c r="AE430" i="2"/>
  <c r="AB429" i="2"/>
  <c r="AC429" i="2" s="1"/>
  <c r="AD429" i="2" s="1"/>
  <c r="AE429" i="2"/>
  <c r="AB428" i="2"/>
  <c r="AC428" i="2" s="1"/>
  <c r="AD428" i="2" s="1"/>
  <c r="AE428" i="2"/>
  <c r="AB427" i="2"/>
  <c r="AC427" i="2" s="1"/>
  <c r="AD427" i="2" s="1"/>
  <c r="AE427" i="2"/>
  <c r="AE426" i="2"/>
  <c r="AB426" i="2"/>
  <c r="AC426" i="2" s="1"/>
  <c r="AD426" i="2" s="1"/>
  <c r="AB425" i="2"/>
  <c r="AC425" i="2" s="1"/>
  <c r="AD425" i="2" s="1"/>
  <c r="AE425" i="2"/>
  <c r="AE424" i="2"/>
  <c r="AB424" i="2"/>
  <c r="AC424" i="2" s="1"/>
  <c r="AD424" i="2" s="1"/>
  <c r="AE423" i="2"/>
  <c r="AB423" i="2"/>
  <c r="AC423" i="2" s="1"/>
  <c r="AD423" i="2" s="1"/>
  <c r="AE422" i="2"/>
  <c r="AB422" i="2"/>
  <c r="AC422" i="2" s="1"/>
  <c r="AD422" i="2" s="1"/>
  <c r="AE421" i="2"/>
  <c r="AB421" i="2"/>
  <c r="AC421" i="2" s="1"/>
  <c r="AD421" i="2" s="1"/>
  <c r="AE420" i="2"/>
  <c r="AB420" i="2"/>
  <c r="AC420" i="2" s="1"/>
  <c r="AD420" i="2" s="1"/>
  <c r="AB419" i="2"/>
  <c r="AC419" i="2" s="1"/>
  <c r="AD419" i="2" s="1"/>
  <c r="AE419" i="2"/>
  <c r="AE418" i="2"/>
  <c r="AB418" i="2"/>
  <c r="AC418" i="2" s="1"/>
  <c r="AD418" i="2" s="1"/>
  <c r="AB417" i="2"/>
  <c r="AC417" i="2" s="1"/>
  <c r="AD417" i="2" s="1"/>
  <c r="AE417" i="2"/>
  <c r="AB416" i="2"/>
  <c r="AC416" i="2" s="1"/>
  <c r="AD416" i="2" s="1"/>
  <c r="AE416" i="2"/>
  <c r="AB415" i="2"/>
  <c r="AC415" i="2" s="1"/>
  <c r="AD415" i="2" s="1"/>
  <c r="AE415" i="2"/>
  <c r="AB414" i="2"/>
  <c r="AC414" i="2" s="1"/>
  <c r="AD414" i="2" s="1"/>
  <c r="AE414" i="2"/>
  <c r="AB413" i="2"/>
  <c r="AC413" i="2" s="1"/>
  <c r="AD413" i="2" s="1"/>
  <c r="AE413" i="2"/>
  <c r="AE412" i="2"/>
  <c r="AB412" i="2"/>
  <c r="AC412" i="2" s="1"/>
  <c r="AD412" i="2" s="1"/>
  <c r="AE411" i="2"/>
  <c r="AB411" i="2"/>
  <c r="AC411" i="2" s="1"/>
  <c r="AD411" i="2" s="1"/>
  <c r="AB410" i="2"/>
  <c r="AC410" i="2" s="1"/>
  <c r="AD410" i="2" s="1"/>
  <c r="AE410" i="2"/>
  <c r="AE409" i="2"/>
  <c r="AB409" i="2"/>
  <c r="AC409" i="2" s="1"/>
  <c r="AD409" i="2" s="1"/>
  <c r="AE408" i="2"/>
  <c r="AB408" i="2"/>
  <c r="AC408" i="2" s="1"/>
  <c r="AD408" i="2" s="1"/>
  <c r="AE407" i="2"/>
  <c r="AB407" i="2"/>
  <c r="AC407" i="2" s="1"/>
  <c r="AD407" i="2" s="1"/>
  <c r="AE406" i="2"/>
  <c r="AB406" i="2"/>
  <c r="AC406" i="2" s="1"/>
  <c r="AD406" i="2" s="1"/>
  <c r="AE405" i="2"/>
  <c r="AB405" i="2"/>
  <c r="AC405" i="2" s="1"/>
  <c r="AD405" i="2" s="1"/>
  <c r="AE404" i="2"/>
  <c r="AB404" i="2"/>
  <c r="AC404" i="2" s="1"/>
  <c r="AD404" i="2" s="1"/>
  <c r="AE403" i="2"/>
  <c r="AB403" i="2"/>
  <c r="AC403" i="2" s="1"/>
  <c r="AD403" i="2" s="1"/>
  <c r="AE402" i="2"/>
  <c r="AB402" i="2"/>
  <c r="AC402" i="2" s="1"/>
  <c r="AD402" i="2" s="1"/>
  <c r="AE401" i="2"/>
  <c r="AB401" i="2"/>
  <c r="AC401" i="2" s="1"/>
  <c r="AD401" i="2" s="1"/>
  <c r="AE400" i="2"/>
  <c r="AB400" i="2"/>
  <c r="AC400" i="2" s="1"/>
  <c r="AD400" i="2" s="1"/>
  <c r="AE399" i="2"/>
  <c r="AB399" i="2"/>
  <c r="AC399" i="2" s="1"/>
  <c r="AD399" i="2" s="1"/>
  <c r="AE398" i="2"/>
  <c r="AB398" i="2"/>
  <c r="AC398" i="2" s="1"/>
  <c r="AD398" i="2" s="1"/>
  <c r="AE397" i="2"/>
  <c r="AB397" i="2"/>
  <c r="AC397" i="2" s="1"/>
  <c r="AD397" i="2" s="1"/>
  <c r="AB396" i="2"/>
  <c r="AC396" i="2" s="1"/>
  <c r="AD396" i="2" s="1"/>
  <c r="AE396" i="2"/>
  <c r="AE395" i="2"/>
  <c r="AB395" i="2"/>
  <c r="AC395" i="2" s="1"/>
  <c r="AD395" i="2" s="1"/>
  <c r="AE394" i="2"/>
  <c r="AB394" i="2"/>
  <c r="AC394" i="2" s="1"/>
  <c r="AD394" i="2" s="1"/>
  <c r="AE393" i="2"/>
  <c r="AB393" i="2"/>
  <c r="AC393" i="2" s="1"/>
  <c r="AD393" i="2" s="1"/>
  <c r="AE392" i="2"/>
  <c r="AB392" i="2"/>
  <c r="AC392" i="2" s="1"/>
  <c r="AD392" i="2" s="1"/>
  <c r="AB391" i="2"/>
  <c r="AC391" i="2" s="1"/>
  <c r="AD391" i="2" s="1"/>
  <c r="AE391" i="2"/>
  <c r="AB390" i="2"/>
  <c r="AC390" i="2" s="1"/>
  <c r="AD390" i="2" s="1"/>
  <c r="AE390" i="2"/>
  <c r="AB389" i="2"/>
  <c r="AC389" i="2" s="1"/>
  <c r="AD389" i="2" s="1"/>
  <c r="AE389" i="2"/>
  <c r="AB388" i="2"/>
  <c r="AC388" i="2" s="1"/>
  <c r="AD388" i="2" s="1"/>
  <c r="AE388" i="2"/>
  <c r="AE387" i="2"/>
  <c r="AB387" i="2"/>
  <c r="AC387" i="2" s="1"/>
  <c r="AD387" i="2" s="1"/>
  <c r="AB386" i="2"/>
  <c r="AC386" i="2" s="1"/>
  <c r="AD386" i="2" s="1"/>
  <c r="AE386" i="2"/>
  <c r="AB385" i="2"/>
  <c r="AC385" i="2" s="1"/>
  <c r="AD385" i="2" s="1"/>
  <c r="AE385" i="2"/>
  <c r="AB384" i="2"/>
  <c r="AC384" i="2" s="1"/>
  <c r="AD384" i="2" s="1"/>
  <c r="AE384" i="2"/>
  <c r="AB383" i="2"/>
  <c r="AC383" i="2" s="1"/>
  <c r="AD383" i="2" s="1"/>
  <c r="AE383" i="2"/>
  <c r="AB382" i="2"/>
  <c r="AC382" i="2" s="1"/>
  <c r="AD382" i="2" s="1"/>
  <c r="AE382" i="2"/>
  <c r="AB381" i="2"/>
  <c r="AC381" i="2" s="1"/>
  <c r="AD381" i="2" s="1"/>
  <c r="AE381" i="2"/>
  <c r="AB380" i="2"/>
  <c r="AC380" i="2" s="1"/>
  <c r="AD380" i="2" s="1"/>
  <c r="AE380" i="2"/>
  <c r="AE379" i="2"/>
  <c r="AB379" i="2"/>
  <c r="AC379" i="2" s="1"/>
  <c r="AD379" i="2" s="1"/>
  <c r="AE378" i="2"/>
  <c r="AB378" i="2"/>
  <c r="AC378" i="2" s="1"/>
  <c r="AD378" i="2" s="1"/>
  <c r="AE377" i="2"/>
  <c r="AB377" i="2"/>
  <c r="AC377" i="2" s="1"/>
  <c r="AD377" i="2" s="1"/>
  <c r="AE376" i="2"/>
  <c r="AB376" i="2"/>
  <c r="AC376" i="2" s="1"/>
  <c r="AD376" i="2" s="1"/>
  <c r="AE375" i="2"/>
  <c r="AB375" i="2"/>
  <c r="AC375" i="2" s="1"/>
  <c r="AD375" i="2" s="1"/>
  <c r="AE374" i="2"/>
  <c r="AB374" i="2"/>
  <c r="AC374" i="2" s="1"/>
  <c r="AD374" i="2" s="1"/>
  <c r="AE373" i="2"/>
  <c r="AB373" i="2"/>
  <c r="AC373" i="2" s="1"/>
  <c r="AD373" i="2" s="1"/>
  <c r="AE372" i="2"/>
  <c r="AB372" i="2"/>
  <c r="AC372" i="2" s="1"/>
  <c r="AD372" i="2" s="1"/>
  <c r="AE371" i="2"/>
  <c r="AB371" i="2"/>
  <c r="AC371" i="2" s="1"/>
  <c r="AD371" i="2" s="1"/>
  <c r="AE370" i="2"/>
  <c r="AB370" i="2"/>
  <c r="AC370" i="2" s="1"/>
  <c r="AD370" i="2" s="1"/>
  <c r="AE369" i="2"/>
  <c r="AB369" i="2"/>
  <c r="AC369" i="2" s="1"/>
  <c r="AD369" i="2" s="1"/>
  <c r="AE368" i="2"/>
  <c r="AB368" i="2"/>
  <c r="AC368" i="2" s="1"/>
  <c r="AD368" i="2" s="1"/>
  <c r="AE367" i="2"/>
  <c r="AB367" i="2"/>
  <c r="AC367" i="2" s="1"/>
  <c r="AD367" i="2" s="1"/>
  <c r="AE366" i="2"/>
  <c r="AB366" i="2"/>
  <c r="AC366" i="2" s="1"/>
  <c r="AD366" i="2" s="1"/>
  <c r="AE365" i="2"/>
  <c r="AB365" i="2"/>
  <c r="AC365" i="2" s="1"/>
  <c r="AD365" i="2" s="1"/>
  <c r="AE364" i="2"/>
  <c r="AB364" i="2"/>
  <c r="AC364" i="2" s="1"/>
  <c r="AD364" i="2" s="1"/>
  <c r="AB363" i="2"/>
  <c r="AC363" i="2" s="1"/>
  <c r="AD363" i="2" s="1"/>
  <c r="AE363" i="2"/>
  <c r="AE362" i="2"/>
  <c r="AB362" i="2"/>
  <c r="AC362" i="2" s="1"/>
  <c r="AD362" i="2" s="1"/>
  <c r="AB361" i="2"/>
  <c r="AC361" i="2" s="1"/>
  <c r="AD361" i="2" s="1"/>
  <c r="AE361" i="2"/>
  <c r="AE360" i="2"/>
  <c r="AB360" i="2"/>
  <c r="AC360" i="2" s="1"/>
  <c r="AD360" i="2" s="1"/>
  <c r="AE359" i="2"/>
  <c r="AB359" i="2"/>
  <c r="AC359" i="2" s="1"/>
  <c r="AD359" i="2" s="1"/>
  <c r="AE358" i="2"/>
  <c r="AB358" i="2"/>
  <c r="AC358" i="2" s="1"/>
  <c r="AD358" i="2" s="1"/>
  <c r="AE357" i="2"/>
  <c r="AB357" i="2"/>
  <c r="AC357" i="2" s="1"/>
  <c r="AD357" i="2" s="1"/>
  <c r="AE356" i="2"/>
  <c r="AB356" i="2"/>
  <c r="AC356" i="2" s="1"/>
  <c r="AD356" i="2" s="1"/>
  <c r="AE355" i="2"/>
  <c r="AB355" i="2"/>
  <c r="AC355" i="2" s="1"/>
  <c r="AD355" i="2" s="1"/>
  <c r="AE354" i="2"/>
  <c r="AB354" i="2"/>
  <c r="AC354" i="2" s="1"/>
  <c r="AD354" i="2" s="1"/>
  <c r="AE353" i="2"/>
  <c r="AB353" i="2"/>
  <c r="AC353" i="2" s="1"/>
  <c r="AD353" i="2" s="1"/>
  <c r="AE352" i="2"/>
  <c r="AB352" i="2"/>
  <c r="AC352" i="2" s="1"/>
  <c r="AD352" i="2" s="1"/>
  <c r="AE351" i="2"/>
  <c r="AB351" i="2"/>
  <c r="AC351" i="2" s="1"/>
  <c r="AD351" i="2" s="1"/>
  <c r="AB350" i="2"/>
  <c r="AC350" i="2" s="1"/>
  <c r="AD350" i="2" s="1"/>
  <c r="AE350" i="2"/>
  <c r="AE349" i="2"/>
  <c r="AB349" i="2"/>
  <c r="AC349" i="2" s="1"/>
  <c r="AD349" i="2" s="1"/>
  <c r="AE348" i="2"/>
  <c r="AB348" i="2"/>
  <c r="AC348" i="2" s="1"/>
  <c r="AD348" i="2" s="1"/>
  <c r="AB347" i="2"/>
  <c r="AC347" i="2" s="1"/>
  <c r="AD347" i="2" s="1"/>
  <c r="AE347" i="2"/>
  <c r="AE346" i="2"/>
  <c r="AB346" i="2"/>
  <c r="AC346" i="2" s="1"/>
  <c r="AD346" i="2" s="1"/>
  <c r="AE345" i="2"/>
  <c r="AB345" i="2"/>
  <c r="AC345" i="2" s="1"/>
  <c r="AD345" i="2" s="1"/>
  <c r="AE344" i="2"/>
  <c r="AB344" i="2"/>
  <c r="AC344" i="2" s="1"/>
  <c r="AD344" i="2" s="1"/>
  <c r="AE343" i="2"/>
  <c r="AB343" i="2"/>
  <c r="AC343" i="2" s="1"/>
  <c r="AD343" i="2" s="1"/>
  <c r="AB342" i="2"/>
  <c r="AC342" i="2" s="1"/>
  <c r="AD342" i="2" s="1"/>
  <c r="AE342" i="2"/>
  <c r="AE341" i="2"/>
  <c r="AB341" i="2"/>
  <c r="AC341" i="2" s="1"/>
  <c r="AD341" i="2" s="1"/>
  <c r="AE340" i="2"/>
  <c r="AB340" i="2"/>
  <c r="AC340" i="2" s="1"/>
  <c r="AD340" i="2" s="1"/>
  <c r="AE339" i="2"/>
  <c r="AB339" i="2"/>
  <c r="AC339" i="2" s="1"/>
  <c r="AD339" i="2" s="1"/>
  <c r="AE338" i="2"/>
  <c r="AB338" i="2"/>
  <c r="AC338" i="2" s="1"/>
  <c r="AD338" i="2" s="1"/>
  <c r="AE337" i="2"/>
  <c r="AB337" i="2"/>
  <c r="AC337" i="2" s="1"/>
  <c r="AD337" i="2" s="1"/>
  <c r="AE336" i="2"/>
  <c r="AB336" i="2"/>
  <c r="AC336" i="2" s="1"/>
  <c r="AD336" i="2" s="1"/>
  <c r="AE335" i="2"/>
  <c r="AB335" i="2"/>
  <c r="AC335" i="2" s="1"/>
  <c r="AD335" i="2" s="1"/>
  <c r="AE334" i="2"/>
  <c r="AB334" i="2"/>
  <c r="AC334" i="2" s="1"/>
  <c r="AD334" i="2" s="1"/>
  <c r="AE333" i="2"/>
  <c r="AB333" i="2"/>
  <c r="AC333" i="2" s="1"/>
  <c r="AD333" i="2" s="1"/>
  <c r="AE332" i="2"/>
  <c r="AB332" i="2"/>
  <c r="AC332" i="2" s="1"/>
  <c r="AD332" i="2" s="1"/>
  <c r="AE331" i="2"/>
  <c r="AB331" i="2"/>
  <c r="AC331" i="2" s="1"/>
  <c r="AD331" i="2" s="1"/>
  <c r="AE330" i="2"/>
  <c r="AB330" i="2"/>
  <c r="AC330" i="2" s="1"/>
  <c r="AD330" i="2" s="1"/>
  <c r="AE329" i="2"/>
  <c r="AB329" i="2"/>
  <c r="AC329" i="2" s="1"/>
  <c r="AD329" i="2" s="1"/>
  <c r="AE328" i="2"/>
  <c r="AB328" i="2"/>
  <c r="AC328" i="2" s="1"/>
  <c r="AD328" i="2" s="1"/>
  <c r="AE327" i="2"/>
  <c r="AB327" i="2"/>
  <c r="AC327" i="2" s="1"/>
  <c r="AD327" i="2" s="1"/>
  <c r="AE326" i="2"/>
  <c r="AB326" i="2"/>
  <c r="AC326" i="2" s="1"/>
  <c r="AD326" i="2" s="1"/>
  <c r="AE325" i="2"/>
  <c r="AB325" i="2"/>
  <c r="AC325" i="2" s="1"/>
  <c r="AD325" i="2" s="1"/>
  <c r="AE324" i="2"/>
  <c r="AB324" i="2"/>
  <c r="AC324" i="2" s="1"/>
  <c r="AD324" i="2" s="1"/>
  <c r="AB323" i="2"/>
  <c r="AC323" i="2" s="1"/>
  <c r="AD323" i="2" s="1"/>
  <c r="AE323" i="2"/>
  <c r="AB322" i="2"/>
  <c r="AC322" i="2" s="1"/>
  <c r="AD322" i="2" s="1"/>
  <c r="AE322" i="2"/>
  <c r="AE321" i="2"/>
  <c r="AB321" i="2"/>
  <c r="AC321" i="2" s="1"/>
  <c r="AD321" i="2" s="1"/>
  <c r="AB320" i="2"/>
  <c r="AC320" i="2" s="1"/>
  <c r="AD320" i="2" s="1"/>
  <c r="AE320" i="2"/>
  <c r="AE319" i="2"/>
  <c r="AB319" i="2"/>
  <c r="AC319" i="2" s="1"/>
  <c r="AD319" i="2" s="1"/>
  <c r="AE318" i="2"/>
  <c r="AB318" i="2"/>
  <c r="AC318" i="2" s="1"/>
  <c r="AD318" i="2" s="1"/>
  <c r="AE317" i="2"/>
  <c r="AB317" i="2"/>
  <c r="AC317" i="2" s="1"/>
  <c r="AD317" i="2" s="1"/>
  <c r="AE316" i="2"/>
  <c r="AB316" i="2"/>
  <c r="AC316" i="2" s="1"/>
  <c r="AD316" i="2" s="1"/>
  <c r="AE315" i="2"/>
  <c r="AB315" i="2"/>
  <c r="AC315" i="2" s="1"/>
  <c r="AD315" i="2" s="1"/>
  <c r="AE314" i="2"/>
  <c r="AB314" i="2"/>
  <c r="AC314" i="2" s="1"/>
  <c r="AD314" i="2" s="1"/>
  <c r="AE313" i="2"/>
  <c r="AB313" i="2"/>
  <c r="AC313" i="2" s="1"/>
  <c r="AD313" i="2" s="1"/>
  <c r="AE312" i="2"/>
  <c r="AB312" i="2"/>
  <c r="AC312" i="2" s="1"/>
  <c r="AD312" i="2" s="1"/>
  <c r="AE311" i="2"/>
  <c r="AB311" i="2"/>
  <c r="AC311" i="2" s="1"/>
  <c r="AD311" i="2" s="1"/>
  <c r="AE310" i="2"/>
  <c r="AB310" i="2"/>
  <c r="AC310" i="2" s="1"/>
  <c r="AD310" i="2" s="1"/>
  <c r="AE309" i="2"/>
  <c r="AB309" i="2"/>
  <c r="AC309" i="2" s="1"/>
  <c r="AD309" i="2" s="1"/>
  <c r="AE308" i="2"/>
  <c r="AB308" i="2"/>
  <c r="AC308" i="2" s="1"/>
  <c r="AD308" i="2" s="1"/>
  <c r="AE307" i="2"/>
  <c r="AB307" i="2"/>
  <c r="AC307" i="2" s="1"/>
  <c r="AD307" i="2" s="1"/>
  <c r="AE306" i="2"/>
  <c r="AB306" i="2"/>
  <c r="AC306" i="2" s="1"/>
  <c r="AD306" i="2" s="1"/>
  <c r="AE305" i="2"/>
  <c r="AB305" i="2"/>
  <c r="AC305" i="2" s="1"/>
  <c r="AD305" i="2" s="1"/>
  <c r="AE304" i="2"/>
  <c r="AB304" i="2"/>
  <c r="AC304" i="2" s="1"/>
  <c r="AD304" i="2" s="1"/>
  <c r="AE303" i="2"/>
  <c r="AB303" i="2"/>
  <c r="AC303" i="2" s="1"/>
  <c r="AD303" i="2" s="1"/>
  <c r="AE302" i="2"/>
  <c r="AB302" i="2"/>
  <c r="AC302" i="2" s="1"/>
  <c r="AD302" i="2" s="1"/>
  <c r="AE301" i="2"/>
  <c r="AB301" i="2"/>
  <c r="AC301" i="2" s="1"/>
  <c r="AD301" i="2" s="1"/>
  <c r="AE300" i="2"/>
  <c r="AB300" i="2"/>
  <c r="AC300" i="2" s="1"/>
  <c r="AD300" i="2" s="1"/>
  <c r="AE299" i="2"/>
  <c r="AB299" i="2"/>
  <c r="AC299" i="2" s="1"/>
  <c r="AD299" i="2" s="1"/>
  <c r="AE298" i="2"/>
  <c r="AB298" i="2"/>
  <c r="AC298" i="2" s="1"/>
  <c r="AD298" i="2" s="1"/>
  <c r="AE297" i="2"/>
  <c r="AB297" i="2"/>
  <c r="AC297" i="2" s="1"/>
  <c r="AD297" i="2" s="1"/>
  <c r="AE296" i="2"/>
  <c r="AB296" i="2"/>
  <c r="AC296" i="2" s="1"/>
  <c r="AD296" i="2" s="1"/>
  <c r="AB295" i="2"/>
  <c r="AC295" i="2" s="1"/>
  <c r="AD295" i="2" s="1"/>
  <c r="AE295" i="2"/>
  <c r="AB294" i="2"/>
  <c r="AC294" i="2" s="1"/>
  <c r="AD294" i="2" s="1"/>
  <c r="AE294" i="2"/>
  <c r="AE293" i="2"/>
  <c r="AB293" i="2"/>
  <c r="AC293" i="2" s="1"/>
  <c r="AD293" i="2" s="1"/>
  <c r="AE292" i="2"/>
  <c r="AB292" i="2"/>
  <c r="AC292" i="2" s="1"/>
  <c r="AD292" i="2" s="1"/>
  <c r="AE291" i="2"/>
  <c r="AB291" i="2"/>
  <c r="AC291" i="2" s="1"/>
  <c r="AD291" i="2" s="1"/>
  <c r="AE290" i="2"/>
  <c r="AB290" i="2"/>
  <c r="AC290" i="2" s="1"/>
  <c r="AD290" i="2" s="1"/>
  <c r="AE289" i="2"/>
  <c r="AB289" i="2"/>
  <c r="AC289" i="2" s="1"/>
  <c r="AD289" i="2" s="1"/>
  <c r="AE288" i="2"/>
  <c r="AB288" i="2"/>
  <c r="AC288" i="2" s="1"/>
  <c r="AD288" i="2" s="1"/>
  <c r="AB287" i="2"/>
  <c r="AC287" i="2" s="1"/>
  <c r="AD287" i="2" s="1"/>
  <c r="AE287" i="2"/>
  <c r="AB286" i="2"/>
  <c r="AC286" i="2" s="1"/>
  <c r="AD286" i="2" s="1"/>
  <c r="AE286" i="2"/>
  <c r="AE285" i="2"/>
  <c r="AB285" i="2"/>
  <c r="AC285" i="2" s="1"/>
  <c r="AD285" i="2" s="1"/>
  <c r="AE284" i="2"/>
  <c r="AB284" i="2"/>
  <c r="AC284" i="2" s="1"/>
  <c r="AD284" i="2" s="1"/>
  <c r="AB283" i="2"/>
  <c r="AC283" i="2" s="1"/>
  <c r="AD283" i="2" s="1"/>
  <c r="AE283" i="2"/>
  <c r="AE282" i="2"/>
  <c r="AB282" i="2"/>
  <c r="AC282" i="2" s="1"/>
  <c r="AD282" i="2" s="1"/>
  <c r="AB281" i="2"/>
  <c r="AC281" i="2" s="1"/>
  <c r="AD281" i="2" s="1"/>
  <c r="AE281" i="2"/>
  <c r="AE280" i="2"/>
  <c r="AB280" i="2"/>
  <c r="AC280" i="2" s="1"/>
  <c r="AD280" i="2" s="1"/>
  <c r="AE279" i="2"/>
  <c r="AB279" i="2"/>
  <c r="AC279" i="2" s="1"/>
  <c r="AD279" i="2" s="1"/>
  <c r="AE278" i="2"/>
  <c r="AB278" i="2"/>
  <c r="AC278" i="2" s="1"/>
  <c r="AD278" i="2" s="1"/>
  <c r="AE277" i="2"/>
  <c r="AB277" i="2"/>
  <c r="AC277" i="2" s="1"/>
  <c r="AD277" i="2" s="1"/>
  <c r="AB276" i="2"/>
  <c r="AC276" i="2" s="1"/>
  <c r="AD276" i="2" s="1"/>
  <c r="AE276" i="2"/>
  <c r="AB275" i="2"/>
  <c r="AC275" i="2" s="1"/>
  <c r="AD275" i="2" s="1"/>
  <c r="AE275" i="2"/>
  <c r="AE274" i="2"/>
  <c r="AB274" i="2"/>
  <c r="AC274" i="2" s="1"/>
  <c r="AD274" i="2" s="1"/>
  <c r="AB273" i="2"/>
  <c r="AC273" i="2" s="1"/>
  <c r="AD273" i="2" s="1"/>
  <c r="AE273" i="2"/>
  <c r="AE272" i="2"/>
  <c r="AB272" i="2"/>
  <c r="AC272" i="2" s="1"/>
  <c r="AD272" i="2" s="1"/>
  <c r="AE271" i="2"/>
  <c r="AB271" i="2"/>
  <c r="AC271" i="2" s="1"/>
  <c r="AD271" i="2" s="1"/>
  <c r="AB270" i="2"/>
  <c r="AC270" i="2" s="1"/>
  <c r="AD270" i="2" s="1"/>
  <c r="AE270" i="2"/>
  <c r="AE269" i="2"/>
  <c r="AB269" i="2"/>
  <c r="AC269" i="2" s="1"/>
  <c r="AD269" i="2" s="1"/>
  <c r="AE268" i="2"/>
  <c r="AB268" i="2"/>
  <c r="AC268" i="2" s="1"/>
  <c r="AD268" i="2" s="1"/>
  <c r="AE267" i="2"/>
  <c r="AB267" i="2"/>
  <c r="AC267" i="2" s="1"/>
  <c r="AD267" i="2" s="1"/>
  <c r="AE266" i="2"/>
  <c r="AB266" i="2"/>
  <c r="AC266" i="2" s="1"/>
  <c r="AD266" i="2" s="1"/>
  <c r="AE265" i="2"/>
  <c r="AB265" i="2"/>
  <c r="AC265" i="2" s="1"/>
  <c r="AD265" i="2" s="1"/>
  <c r="AB264" i="2"/>
  <c r="AC264" i="2" s="1"/>
  <c r="AD264" i="2" s="1"/>
  <c r="AE264" i="2"/>
  <c r="AB263" i="2"/>
  <c r="AC263" i="2" s="1"/>
  <c r="AD263" i="2" s="1"/>
  <c r="AE263" i="2"/>
  <c r="AB262" i="2"/>
  <c r="AC262" i="2" s="1"/>
  <c r="AD262" i="2" s="1"/>
  <c r="AE262" i="2"/>
  <c r="AB261" i="2"/>
  <c r="AC261" i="2" s="1"/>
  <c r="AD261" i="2" s="1"/>
  <c r="AE261" i="2"/>
  <c r="AB260" i="2"/>
  <c r="AC260" i="2" s="1"/>
  <c r="AD260" i="2" s="1"/>
  <c r="AE260" i="2"/>
  <c r="AE258" i="2"/>
  <c r="AB258" i="2"/>
  <c r="AC258" i="2" s="1"/>
  <c r="AD258" i="2" s="1"/>
  <c r="AE257" i="2"/>
  <c r="AB257" i="2"/>
  <c r="AC257" i="2" s="1"/>
  <c r="AD257" i="2" s="1"/>
  <c r="AE256" i="2"/>
  <c r="AB256" i="2"/>
  <c r="AC256" i="2" s="1"/>
  <c r="AD256" i="2" s="1"/>
  <c r="AE255" i="2"/>
  <c r="AB255" i="2"/>
  <c r="AC255" i="2" s="1"/>
  <c r="AD255" i="2" s="1"/>
  <c r="AE254" i="2"/>
  <c r="AB254" i="2"/>
  <c r="AC254" i="2" s="1"/>
  <c r="AD254" i="2" s="1"/>
  <c r="AE253" i="2"/>
  <c r="AB253" i="2"/>
  <c r="AC253" i="2" s="1"/>
  <c r="AD253" i="2" s="1"/>
  <c r="AE252" i="2"/>
  <c r="AB252" i="2"/>
  <c r="AC252" i="2" s="1"/>
  <c r="AD252" i="2" s="1"/>
  <c r="AE251" i="2"/>
  <c r="AB251" i="2"/>
  <c r="AC251" i="2" s="1"/>
  <c r="AD251" i="2" s="1"/>
  <c r="AE250" i="2"/>
  <c r="AB250" i="2"/>
  <c r="AC250" i="2" s="1"/>
  <c r="AD250" i="2" s="1"/>
  <c r="AE249" i="2"/>
  <c r="AB249" i="2"/>
  <c r="AC249" i="2" s="1"/>
  <c r="AD249" i="2" s="1"/>
  <c r="AE248" i="2"/>
  <c r="AB248" i="2"/>
  <c r="AC248" i="2" s="1"/>
  <c r="AD248" i="2" s="1"/>
  <c r="AE247" i="2"/>
  <c r="AB247" i="2"/>
  <c r="AC247" i="2" s="1"/>
  <c r="AD247" i="2" s="1"/>
  <c r="AE246" i="2"/>
  <c r="AB246" i="2"/>
  <c r="AC246" i="2" s="1"/>
  <c r="AD246" i="2" s="1"/>
  <c r="AE245" i="2"/>
  <c r="AB245" i="2"/>
  <c r="AC245" i="2" s="1"/>
  <c r="AD245" i="2" s="1"/>
  <c r="AE244" i="2"/>
  <c r="AB244" i="2"/>
  <c r="AC244" i="2" s="1"/>
  <c r="AD244" i="2" s="1"/>
  <c r="AE243" i="2"/>
  <c r="AB243" i="2"/>
  <c r="AC243" i="2" s="1"/>
  <c r="AD243" i="2" s="1"/>
  <c r="AE242" i="2"/>
  <c r="AB242" i="2"/>
  <c r="AC242" i="2" s="1"/>
  <c r="AD242" i="2" s="1"/>
  <c r="AE241" i="2"/>
  <c r="AB241" i="2"/>
  <c r="AC241" i="2" s="1"/>
  <c r="AD241" i="2" s="1"/>
  <c r="AE240" i="2"/>
  <c r="AB240" i="2"/>
  <c r="AC240" i="2" s="1"/>
  <c r="AD240" i="2" s="1"/>
  <c r="AE239" i="2"/>
  <c r="AB239" i="2"/>
  <c r="AC239" i="2" s="1"/>
  <c r="AD239" i="2" s="1"/>
  <c r="AE238" i="2"/>
  <c r="AB238" i="2"/>
  <c r="AC238" i="2" s="1"/>
  <c r="AD238" i="2" s="1"/>
  <c r="AE237" i="2"/>
  <c r="AB237" i="2"/>
  <c r="AC237" i="2" s="1"/>
  <c r="AD237" i="2" s="1"/>
  <c r="AE236" i="2"/>
  <c r="AB236" i="2"/>
  <c r="AC236" i="2" s="1"/>
  <c r="AD236" i="2" s="1"/>
  <c r="AE235" i="2"/>
  <c r="AB235" i="2"/>
  <c r="AC235" i="2" s="1"/>
  <c r="AD235" i="2" s="1"/>
  <c r="AE234" i="2"/>
  <c r="AB234" i="2"/>
  <c r="AC234" i="2" s="1"/>
  <c r="AD234" i="2" s="1"/>
  <c r="AE233" i="2"/>
  <c r="AB233" i="2"/>
  <c r="AC233" i="2" s="1"/>
  <c r="AD233" i="2" s="1"/>
  <c r="AE232" i="2"/>
  <c r="AB232" i="2"/>
  <c r="AC232" i="2" s="1"/>
  <c r="AD232" i="2" s="1"/>
  <c r="AE231" i="2"/>
  <c r="AB231" i="2"/>
  <c r="AC231" i="2" s="1"/>
  <c r="AD231" i="2" s="1"/>
  <c r="AE230" i="2"/>
  <c r="AB230" i="2"/>
  <c r="AC230" i="2" s="1"/>
  <c r="AD230" i="2" s="1"/>
  <c r="AE229" i="2"/>
  <c r="AB229" i="2"/>
  <c r="AC229" i="2" s="1"/>
  <c r="AD229" i="2" s="1"/>
  <c r="AE228" i="2"/>
  <c r="AB228" i="2"/>
  <c r="AC228" i="2" s="1"/>
  <c r="AD228" i="2" s="1"/>
  <c r="AE227" i="2"/>
  <c r="AB227" i="2"/>
  <c r="AC227" i="2" s="1"/>
  <c r="AD227" i="2" s="1"/>
  <c r="AE226" i="2"/>
  <c r="AB226" i="2"/>
  <c r="AC226" i="2" s="1"/>
  <c r="AD226" i="2" s="1"/>
  <c r="AE225" i="2"/>
  <c r="AB225" i="2"/>
  <c r="AC225" i="2" s="1"/>
  <c r="AD225" i="2" s="1"/>
  <c r="AE224" i="2"/>
  <c r="AB224" i="2"/>
  <c r="AC224" i="2" s="1"/>
  <c r="AD224" i="2" s="1"/>
  <c r="AE223" i="2"/>
  <c r="AB223" i="2"/>
  <c r="AC223" i="2" s="1"/>
  <c r="AD223" i="2" s="1"/>
  <c r="AE222" i="2"/>
  <c r="AB222" i="2"/>
  <c r="AC222" i="2" s="1"/>
  <c r="AD222" i="2" s="1"/>
  <c r="AE221" i="2"/>
  <c r="AB221" i="2"/>
  <c r="AC221" i="2" s="1"/>
  <c r="AD221" i="2" s="1"/>
  <c r="AE220" i="2"/>
  <c r="AB220" i="2"/>
  <c r="AC220" i="2" s="1"/>
  <c r="AD220" i="2" s="1"/>
  <c r="AE219" i="2"/>
  <c r="AB219" i="2"/>
  <c r="AC219" i="2" s="1"/>
  <c r="AD219" i="2" s="1"/>
  <c r="AE218" i="2"/>
  <c r="AB218" i="2"/>
  <c r="AC218" i="2" s="1"/>
  <c r="AD218" i="2" s="1"/>
  <c r="AE217" i="2"/>
  <c r="AB217" i="2"/>
  <c r="AC217" i="2" s="1"/>
  <c r="AD217" i="2" s="1"/>
  <c r="AE216" i="2"/>
  <c r="AB216" i="2"/>
  <c r="AC216" i="2" s="1"/>
  <c r="AD216" i="2" s="1"/>
  <c r="AE215" i="2"/>
  <c r="AB215" i="2"/>
  <c r="AC215" i="2" s="1"/>
  <c r="AD215" i="2" s="1"/>
  <c r="AE214" i="2"/>
  <c r="AB214" i="2"/>
  <c r="AC214" i="2" s="1"/>
  <c r="AD214" i="2" s="1"/>
  <c r="AE213" i="2"/>
  <c r="AB213" i="2"/>
  <c r="AC213" i="2" s="1"/>
  <c r="AD213" i="2" s="1"/>
  <c r="AE212" i="2"/>
  <c r="AB212" i="2"/>
  <c r="AC212" i="2" s="1"/>
  <c r="AD212" i="2" s="1"/>
  <c r="AE211" i="2"/>
  <c r="AB211" i="2"/>
  <c r="AC211" i="2" s="1"/>
  <c r="AD211" i="2" s="1"/>
  <c r="AE210" i="2"/>
  <c r="AB210" i="2"/>
  <c r="AC210" i="2" s="1"/>
  <c r="AD210" i="2" s="1"/>
  <c r="AE209" i="2"/>
  <c r="AB209" i="2"/>
  <c r="AC209" i="2" s="1"/>
  <c r="AD209" i="2" s="1"/>
  <c r="AE208" i="2"/>
  <c r="AB208" i="2"/>
  <c r="AC208" i="2" s="1"/>
  <c r="AD208" i="2" s="1"/>
  <c r="AE207" i="2"/>
  <c r="AB207" i="2"/>
  <c r="AC207" i="2" s="1"/>
  <c r="AD207" i="2" s="1"/>
  <c r="AE206" i="2"/>
  <c r="AB206" i="2"/>
  <c r="AC206" i="2" s="1"/>
  <c r="AD206" i="2" s="1"/>
  <c r="AE205" i="2"/>
  <c r="AB205" i="2"/>
  <c r="AC205" i="2" s="1"/>
  <c r="AD205" i="2" s="1"/>
  <c r="AE204" i="2"/>
  <c r="AB204" i="2"/>
  <c r="AC204" i="2" s="1"/>
  <c r="AD204" i="2" s="1"/>
  <c r="AE203" i="2"/>
  <c r="AB203" i="2"/>
  <c r="AC203" i="2" s="1"/>
  <c r="AD203" i="2" s="1"/>
  <c r="AE202" i="2"/>
  <c r="AB202" i="2"/>
  <c r="AC202" i="2" s="1"/>
  <c r="AD202" i="2" s="1"/>
  <c r="AE201" i="2"/>
  <c r="AB201" i="2"/>
  <c r="AC201" i="2" s="1"/>
  <c r="AD201" i="2" s="1"/>
  <c r="AE200" i="2"/>
  <c r="AB200" i="2"/>
  <c r="AC200" i="2" s="1"/>
  <c r="AD200" i="2" s="1"/>
  <c r="AE199" i="2"/>
  <c r="AB199" i="2"/>
  <c r="AC199" i="2" s="1"/>
  <c r="AD199" i="2" s="1"/>
  <c r="AE198" i="2"/>
  <c r="AB198" i="2"/>
  <c r="AC198" i="2" s="1"/>
  <c r="AD198" i="2" s="1"/>
  <c r="AE197" i="2"/>
  <c r="AB197" i="2"/>
  <c r="AC197" i="2" s="1"/>
  <c r="AD197" i="2" s="1"/>
  <c r="AE196" i="2"/>
  <c r="AB196" i="2"/>
  <c r="AC196" i="2" s="1"/>
  <c r="AD196" i="2" s="1"/>
  <c r="AE195" i="2"/>
  <c r="AB195" i="2"/>
  <c r="AC195" i="2" s="1"/>
  <c r="AD195" i="2" s="1"/>
  <c r="AE194" i="2"/>
  <c r="AB194" i="2"/>
  <c r="AC194" i="2" s="1"/>
  <c r="AD194" i="2" s="1"/>
  <c r="AE193" i="2"/>
  <c r="AB193" i="2"/>
  <c r="AC193" i="2" s="1"/>
  <c r="AD193" i="2" s="1"/>
  <c r="AE192" i="2"/>
  <c r="AB192" i="2"/>
  <c r="AC192" i="2" s="1"/>
  <c r="AD192" i="2" s="1"/>
  <c r="AE191" i="2"/>
  <c r="AB191" i="2"/>
  <c r="AC191" i="2" s="1"/>
  <c r="AD191" i="2" s="1"/>
  <c r="AE190" i="2"/>
  <c r="AB190" i="2"/>
  <c r="AC190" i="2" s="1"/>
  <c r="AD190" i="2" s="1"/>
  <c r="AE189" i="2"/>
  <c r="AB189" i="2"/>
  <c r="AC189" i="2" s="1"/>
  <c r="AD189" i="2" s="1"/>
  <c r="AE188" i="2"/>
  <c r="AB188" i="2"/>
  <c r="AC188" i="2" s="1"/>
  <c r="AD188" i="2" s="1"/>
  <c r="AE187" i="2"/>
  <c r="AB187" i="2"/>
  <c r="AC187" i="2" s="1"/>
  <c r="AD187" i="2" s="1"/>
  <c r="AE186" i="2"/>
  <c r="AB186" i="2"/>
  <c r="AC186" i="2" s="1"/>
  <c r="AD186" i="2" s="1"/>
  <c r="AE185" i="2"/>
  <c r="AB185" i="2"/>
  <c r="AC185" i="2" s="1"/>
  <c r="AD185" i="2" s="1"/>
  <c r="AE184" i="2"/>
  <c r="AB184" i="2"/>
  <c r="AC184" i="2" s="1"/>
  <c r="AD184" i="2" s="1"/>
  <c r="AE183" i="2"/>
  <c r="AB183" i="2"/>
  <c r="AC183" i="2" s="1"/>
  <c r="AD183" i="2" s="1"/>
  <c r="AE182" i="2"/>
  <c r="AB182" i="2"/>
  <c r="AC182" i="2" s="1"/>
  <c r="AD182" i="2" s="1"/>
  <c r="AE181" i="2"/>
  <c r="AB181" i="2"/>
  <c r="AC181" i="2" s="1"/>
  <c r="AD181" i="2" s="1"/>
  <c r="AE180" i="2"/>
  <c r="AB180" i="2"/>
  <c r="AC180" i="2" s="1"/>
  <c r="AD180" i="2" s="1"/>
  <c r="AE179" i="2"/>
  <c r="AB179" i="2"/>
  <c r="AC179" i="2" s="1"/>
  <c r="AD179" i="2" s="1"/>
  <c r="AE178" i="2"/>
  <c r="AB178" i="2"/>
  <c r="AC178" i="2" s="1"/>
  <c r="AD178" i="2" s="1"/>
  <c r="AE177" i="2"/>
  <c r="AB177" i="2"/>
  <c r="AC177" i="2" s="1"/>
  <c r="AD177" i="2" s="1"/>
  <c r="AE176" i="2"/>
  <c r="AB176" i="2"/>
  <c r="AC176" i="2" s="1"/>
  <c r="AD176" i="2" s="1"/>
  <c r="AE175" i="2"/>
  <c r="AB175" i="2"/>
  <c r="AC175" i="2" s="1"/>
  <c r="AD175" i="2" s="1"/>
  <c r="AE174" i="2"/>
  <c r="AB174" i="2"/>
  <c r="AC174" i="2" s="1"/>
  <c r="AD174" i="2" s="1"/>
  <c r="AE173" i="2"/>
  <c r="AB173" i="2"/>
  <c r="AC173" i="2" s="1"/>
  <c r="AD173" i="2" s="1"/>
  <c r="AE172" i="2"/>
  <c r="AB172" i="2"/>
  <c r="AC172" i="2" s="1"/>
  <c r="AD172" i="2" s="1"/>
  <c r="AE171" i="2"/>
  <c r="AB171" i="2"/>
  <c r="AC171" i="2" s="1"/>
  <c r="AD171" i="2" s="1"/>
  <c r="AE170" i="2"/>
  <c r="AB170" i="2"/>
  <c r="AC170" i="2" s="1"/>
  <c r="AD170" i="2" s="1"/>
  <c r="AE169" i="2"/>
  <c r="AB169" i="2"/>
  <c r="AC169" i="2" s="1"/>
  <c r="AD169" i="2" s="1"/>
  <c r="AE168" i="2"/>
  <c r="AB168" i="2"/>
  <c r="AC168" i="2" s="1"/>
  <c r="AD168" i="2" s="1"/>
  <c r="AE167" i="2"/>
  <c r="AB167" i="2"/>
  <c r="AC167" i="2" s="1"/>
  <c r="AD167" i="2" s="1"/>
  <c r="AE166" i="2"/>
  <c r="AB166" i="2"/>
  <c r="AC166" i="2" s="1"/>
  <c r="AD166" i="2" s="1"/>
  <c r="AE165" i="2"/>
  <c r="AB165" i="2"/>
  <c r="AC165" i="2" s="1"/>
  <c r="AD165" i="2" s="1"/>
  <c r="AE164" i="2"/>
  <c r="AB164" i="2"/>
  <c r="AC164" i="2" s="1"/>
  <c r="AD164" i="2" s="1"/>
  <c r="AE163" i="2"/>
  <c r="AB163" i="2"/>
  <c r="AC163" i="2" s="1"/>
  <c r="AD163" i="2" s="1"/>
  <c r="AE162" i="2"/>
  <c r="AB162" i="2"/>
  <c r="AC162" i="2" s="1"/>
  <c r="AD162" i="2" s="1"/>
  <c r="AE161" i="2"/>
  <c r="AB161" i="2"/>
  <c r="AC161" i="2" s="1"/>
  <c r="AD161" i="2" s="1"/>
  <c r="AE160" i="2"/>
  <c r="AB160" i="2"/>
  <c r="AC160" i="2" s="1"/>
  <c r="AD160" i="2" s="1"/>
  <c r="AE159" i="2"/>
  <c r="AB159" i="2"/>
  <c r="AC159" i="2" s="1"/>
  <c r="AD159" i="2" s="1"/>
  <c r="AE158" i="2"/>
  <c r="AB158" i="2"/>
  <c r="AC158" i="2" s="1"/>
  <c r="AD158" i="2" s="1"/>
  <c r="AE157" i="2"/>
  <c r="AB157" i="2"/>
  <c r="AC157" i="2" s="1"/>
  <c r="AD157" i="2" s="1"/>
  <c r="AE156" i="2"/>
  <c r="AB156" i="2"/>
  <c r="AC156" i="2" s="1"/>
  <c r="AD156" i="2" s="1"/>
  <c r="AE155" i="2"/>
  <c r="AB155" i="2"/>
  <c r="AC155" i="2" s="1"/>
  <c r="AD155" i="2" s="1"/>
  <c r="AE154" i="2"/>
  <c r="AB154" i="2"/>
  <c r="AC154" i="2" s="1"/>
  <c r="AD154" i="2" s="1"/>
  <c r="AE153" i="2"/>
  <c r="AB153" i="2"/>
  <c r="AC153" i="2" s="1"/>
  <c r="AD153" i="2" s="1"/>
  <c r="AE152" i="2"/>
  <c r="AB152" i="2"/>
  <c r="AC152" i="2" s="1"/>
  <c r="AD152" i="2" s="1"/>
  <c r="AE151" i="2"/>
  <c r="AB151" i="2"/>
  <c r="AC151" i="2" s="1"/>
  <c r="AD151" i="2" s="1"/>
  <c r="AE150" i="2"/>
  <c r="AB150" i="2"/>
  <c r="AC150" i="2" s="1"/>
  <c r="AD150" i="2" s="1"/>
  <c r="AE149" i="2"/>
  <c r="AB149" i="2"/>
  <c r="AC149" i="2" s="1"/>
  <c r="AD149" i="2" s="1"/>
  <c r="AE148" i="2"/>
  <c r="AB148" i="2"/>
  <c r="AC148" i="2" s="1"/>
  <c r="AD148" i="2" s="1"/>
  <c r="AE147" i="2"/>
  <c r="AB147" i="2"/>
  <c r="AC147" i="2" s="1"/>
  <c r="AD147" i="2" s="1"/>
  <c r="AE146" i="2"/>
  <c r="AB146" i="2"/>
  <c r="AC146" i="2" s="1"/>
  <c r="AD146" i="2" s="1"/>
  <c r="AE145" i="2"/>
  <c r="AB145" i="2"/>
  <c r="AC145" i="2" s="1"/>
  <c r="AD145" i="2" s="1"/>
  <c r="AE144" i="2"/>
  <c r="AB144" i="2"/>
  <c r="AC144" i="2" s="1"/>
  <c r="AD144" i="2" s="1"/>
  <c r="AE143" i="2"/>
  <c r="AB143" i="2"/>
  <c r="AC143" i="2" s="1"/>
  <c r="AD143" i="2" s="1"/>
  <c r="AE142" i="2"/>
  <c r="AB142" i="2"/>
  <c r="AC142" i="2" s="1"/>
  <c r="AD142" i="2" s="1"/>
  <c r="AE141" i="2"/>
  <c r="AB141" i="2"/>
  <c r="AC141" i="2" s="1"/>
  <c r="AD141" i="2" s="1"/>
  <c r="AE140" i="2"/>
  <c r="AB140" i="2"/>
  <c r="AC140" i="2" s="1"/>
  <c r="AD140" i="2" s="1"/>
  <c r="AE139" i="2"/>
  <c r="AB139" i="2"/>
  <c r="AC139" i="2" s="1"/>
  <c r="AD139" i="2" s="1"/>
  <c r="AE138" i="2"/>
  <c r="AB138" i="2"/>
  <c r="AC138" i="2" s="1"/>
  <c r="AD138" i="2" s="1"/>
  <c r="AE137" i="2"/>
  <c r="AB137" i="2"/>
  <c r="AC137" i="2" s="1"/>
  <c r="AD137" i="2" s="1"/>
  <c r="AE136" i="2"/>
  <c r="AB136" i="2"/>
  <c r="AC136" i="2" s="1"/>
  <c r="AD136" i="2" s="1"/>
  <c r="AE135" i="2"/>
  <c r="AB135" i="2"/>
  <c r="AC135" i="2" s="1"/>
  <c r="AD135" i="2" s="1"/>
  <c r="AE134" i="2"/>
  <c r="AB134" i="2"/>
  <c r="AC134" i="2" s="1"/>
  <c r="AD134" i="2" s="1"/>
  <c r="AE133" i="2"/>
  <c r="AB133" i="2"/>
  <c r="AC133" i="2" s="1"/>
  <c r="AD133" i="2" s="1"/>
  <c r="AE132" i="2"/>
  <c r="AB132" i="2"/>
  <c r="AC132" i="2" s="1"/>
  <c r="AD132" i="2" s="1"/>
  <c r="AE131" i="2"/>
  <c r="AB131" i="2"/>
  <c r="AC131" i="2" s="1"/>
  <c r="AD131" i="2" s="1"/>
  <c r="AE130" i="2"/>
  <c r="AB130" i="2"/>
  <c r="AC130" i="2" s="1"/>
  <c r="AD130" i="2" s="1"/>
  <c r="AE129" i="2"/>
  <c r="AB129" i="2"/>
  <c r="AC129" i="2" s="1"/>
  <c r="AD129" i="2" s="1"/>
  <c r="AE128" i="2"/>
  <c r="AB128" i="2"/>
  <c r="AC128" i="2" s="1"/>
  <c r="AD128" i="2" s="1"/>
  <c r="AE127" i="2"/>
  <c r="AB127" i="2"/>
  <c r="AC127" i="2" s="1"/>
  <c r="AD127" i="2" s="1"/>
  <c r="AE126" i="2"/>
  <c r="AB126" i="2"/>
  <c r="AC126" i="2" s="1"/>
  <c r="AD126" i="2" s="1"/>
  <c r="AE125" i="2"/>
  <c r="AB125" i="2"/>
  <c r="AC125" i="2" s="1"/>
  <c r="AD125" i="2" s="1"/>
  <c r="AE124" i="2"/>
  <c r="AB124" i="2"/>
  <c r="AC124" i="2" s="1"/>
  <c r="AD124" i="2" s="1"/>
  <c r="AE123" i="2"/>
  <c r="AB123" i="2"/>
  <c r="AC123" i="2" s="1"/>
  <c r="AD123" i="2" s="1"/>
  <c r="AE122" i="2"/>
  <c r="AB122" i="2"/>
  <c r="AC122" i="2" s="1"/>
  <c r="AD122" i="2" s="1"/>
  <c r="AE121" i="2"/>
  <c r="AB121" i="2"/>
  <c r="AC121" i="2" s="1"/>
  <c r="AD121" i="2" s="1"/>
  <c r="AE120" i="2"/>
  <c r="AB120" i="2"/>
  <c r="AC120" i="2" s="1"/>
  <c r="AD120" i="2" s="1"/>
  <c r="AE119" i="2"/>
  <c r="AB119" i="2"/>
  <c r="AC119" i="2" s="1"/>
  <c r="AD119" i="2" s="1"/>
  <c r="AE118" i="2"/>
  <c r="AB118" i="2"/>
  <c r="AC118" i="2" s="1"/>
  <c r="AD118" i="2" s="1"/>
  <c r="AE117" i="2"/>
  <c r="AB117" i="2"/>
  <c r="AC117" i="2" s="1"/>
  <c r="AD117" i="2" s="1"/>
  <c r="AE116" i="2"/>
  <c r="AB116" i="2"/>
  <c r="AC116" i="2" s="1"/>
  <c r="AD116" i="2" s="1"/>
  <c r="AE115" i="2"/>
  <c r="AB115" i="2"/>
  <c r="AC115" i="2" s="1"/>
  <c r="AD115" i="2" s="1"/>
  <c r="AE114" i="2"/>
  <c r="AB114" i="2"/>
  <c r="AC114" i="2" s="1"/>
  <c r="AD114" i="2" s="1"/>
  <c r="AE113" i="2"/>
  <c r="AB113" i="2"/>
  <c r="AC113" i="2" s="1"/>
  <c r="AD113" i="2" s="1"/>
  <c r="AE112" i="2"/>
  <c r="AB112" i="2"/>
  <c r="AC112" i="2" s="1"/>
  <c r="AD112" i="2" s="1"/>
  <c r="AE111" i="2"/>
  <c r="AB111" i="2"/>
  <c r="AC111" i="2" s="1"/>
  <c r="AD111" i="2" s="1"/>
  <c r="AE110" i="2"/>
  <c r="AB110" i="2"/>
  <c r="AC110" i="2" s="1"/>
  <c r="AD110" i="2" s="1"/>
  <c r="AE109" i="2"/>
  <c r="AB109" i="2"/>
  <c r="AC109" i="2" s="1"/>
  <c r="AD109" i="2" s="1"/>
  <c r="AE108" i="2"/>
  <c r="AB108" i="2"/>
  <c r="AC108" i="2" s="1"/>
  <c r="AD108" i="2" s="1"/>
  <c r="AE107" i="2"/>
  <c r="AB107" i="2"/>
  <c r="AC107" i="2" s="1"/>
  <c r="AD107" i="2" s="1"/>
  <c r="AE106" i="2"/>
  <c r="AB106" i="2"/>
  <c r="AC106" i="2" s="1"/>
  <c r="AD106" i="2" s="1"/>
  <c r="AE105" i="2"/>
  <c r="AB105" i="2"/>
  <c r="AC105" i="2" s="1"/>
  <c r="AD105" i="2" s="1"/>
  <c r="AE104" i="2"/>
  <c r="AB104" i="2"/>
  <c r="AC104" i="2" s="1"/>
  <c r="AD104" i="2" s="1"/>
  <c r="AE103" i="2"/>
  <c r="AB103" i="2"/>
  <c r="AC103" i="2" s="1"/>
  <c r="AD103" i="2" s="1"/>
  <c r="AE102" i="2"/>
  <c r="AB102" i="2"/>
  <c r="AC102" i="2" s="1"/>
  <c r="AD102" i="2" s="1"/>
  <c r="AE101" i="2"/>
  <c r="AB101" i="2"/>
  <c r="AC101" i="2" s="1"/>
  <c r="AD101" i="2" s="1"/>
  <c r="AE100" i="2"/>
  <c r="AB100" i="2"/>
  <c r="AC100" i="2" s="1"/>
  <c r="AD100" i="2" s="1"/>
  <c r="AE99" i="2"/>
  <c r="AB99" i="2"/>
  <c r="AC99" i="2" s="1"/>
  <c r="AD99" i="2" s="1"/>
  <c r="AE98" i="2"/>
  <c r="AB98" i="2"/>
  <c r="AC98" i="2" s="1"/>
  <c r="AD98" i="2" s="1"/>
  <c r="AE97" i="2"/>
  <c r="AB97" i="2"/>
  <c r="AC97" i="2" s="1"/>
  <c r="AD97" i="2" s="1"/>
  <c r="AE96" i="2"/>
  <c r="AB96" i="2"/>
  <c r="AC96" i="2" s="1"/>
  <c r="AD96" i="2" s="1"/>
  <c r="AE95" i="2"/>
  <c r="AB95" i="2"/>
  <c r="AC95" i="2" s="1"/>
  <c r="AD95" i="2" s="1"/>
  <c r="AE94" i="2"/>
  <c r="AB94" i="2"/>
  <c r="AC94" i="2" s="1"/>
  <c r="AD94" i="2" s="1"/>
  <c r="AE93" i="2"/>
  <c r="AB93" i="2"/>
  <c r="AC93" i="2" s="1"/>
  <c r="AD93" i="2" s="1"/>
  <c r="AE92" i="2"/>
  <c r="AB92" i="2"/>
  <c r="AC92" i="2" s="1"/>
  <c r="AD92" i="2" s="1"/>
  <c r="AE91" i="2"/>
  <c r="AB91" i="2"/>
  <c r="AC91" i="2" s="1"/>
  <c r="AD91" i="2" s="1"/>
  <c r="AE90" i="2"/>
  <c r="AB90" i="2"/>
  <c r="AC90" i="2" s="1"/>
  <c r="AD90" i="2" s="1"/>
  <c r="AE89" i="2"/>
  <c r="AB89" i="2"/>
  <c r="AC89" i="2" s="1"/>
  <c r="AD89" i="2" s="1"/>
  <c r="AE88" i="2"/>
  <c r="AB88" i="2"/>
  <c r="AC88" i="2" s="1"/>
  <c r="AD88" i="2" s="1"/>
  <c r="AE87" i="2"/>
  <c r="AB87" i="2"/>
  <c r="AC87" i="2" s="1"/>
  <c r="AD87" i="2" s="1"/>
  <c r="AE86" i="2"/>
  <c r="AB86" i="2"/>
  <c r="AC86" i="2" s="1"/>
  <c r="AD86" i="2" s="1"/>
  <c r="AE85" i="2"/>
  <c r="AB85" i="2"/>
  <c r="AC85" i="2" s="1"/>
  <c r="AD85" i="2" s="1"/>
  <c r="AE84" i="2"/>
  <c r="AB84" i="2"/>
  <c r="AC84" i="2" s="1"/>
  <c r="AD84" i="2" s="1"/>
  <c r="AE83" i="2"/>
  <c r="AB83" i="2"/>
  <c r="AC83" i="2" s="1"/>
  <c r="AD83" i="2" s="1"/>
  <c r="AE82" i="2"/>
  <c r="AB82" i="2"/>
  <c r="AC82" i="2" s="1"/>
  <c r="AD82" i="2" s="1"/>
  <c r="AE81" i="2"/>
  <c r="AB81" i="2"/>
  <c r="AC81" i="2" s="1"/>
  <c r="AD81" i="2" s="1"/>
  <c r="AE80" i="2"/>
  <c r="AB80" i="2"/>
  <c r="AC80" i="2" s="1"/>
  <c r="AD80" i="2" s="1"/>
  <c r="AE79" i="2"/>
  <c r="AB79" i="2"/>
  <c r="AC79" i="2" s="1"/>
  <c r="AD79" i="2" s="1"/>
  <c r="AE78" i="2"/>
  <c r="AB78" i="2"/>
  <c r="AC78" i="2" s="1"/>
  <c r="AD78" i="2" s="1"/>
  <c r="AE77" i="2"/>
  <c r="AB77" i="2"/>
  <c r="AC77" i="2" s="1"/>
  <c r="AD77" i="2" s="1"/>
  <c r="AE76" i="2"/>
  <c r="AB76" i="2"/>
  <c r="AC76" i="2" s="1"/>
  <c r="AD76" i="2" s="1"/>
  <c r="AE75" i="2"/>
  <c r="AB75" i="2"/>
  <c r="AC75" i="2" s="1"/>
  <c r="AD75" i="2" s="1"/>
  <c r="AE74" i="2"/>
  <c r="AB74" i="2"/>
  <c r="AC74" i="2" s="1"/>
  <c r="AD74" i="2" s="1"/>
  <c r="AE73" i="2"/>
  <c r="AB73" i="2"/>
  <c r="AC73" i="2" s="1"/>
  <c r="AD73" i="2" s="1"/>
  <c r="AE72" i="2"/>
  <c r="AB72" i="2"/>
  <c r="AC72" i="2" s="1"/>
  <c r="AD72" i="2" s="1"/>
  <c r="AE71" i="2"/>
  <c r="AB71" i="2"/>
  <c r="AC71" i="2" s="1"/>
  <c r="AD71" i="2" s="1"/>
  <c r="AE70" i="2"/>
  <c r="AB70" i="2"/>
  <c r="AC70" i="2" s="1"/>
  <c r="AD70" i="2" s="1"/>
  <c r="AE69" i="2"/>
  <c r="AB69" i="2"/>
  <c r="AC69" i="2" s="1"/>
  <c r="AD69" i="2" s="1"/>
  <c r="AE68" i="2"/>
  <c r="AB68" i="2"/>
  <c r="AC68" i="2" s="1"/>
  <c r="AD68" i="2" s="1"/>
  <c r="AE67" i="2"/>
  <c r="AB67" i="2"/>
  <c r="AC67" i="2" s="1"/>
  <c r="AD67" i="2" s="1"/>
  <c r="AE66" i="2"/>
  <c r="AB66" i="2"/>
  <c r="AC66" i="2" s="1"/>
  <c r="AD66" i="2" s="1"/>
  <c r="AE65" i="2"/>
  <c r="AB65" i="2"/>
  <c r="AC65" i="2" s="1"/>
  <c r="AD65" i="2" s="1"/>
  <c r="AE64" i="2"/>
  <c r="AB64" i="2"/>
  <c r="AC64" i="2" s="1"/>
  <c r="AD64" i="2" s="1"/>
  <c r="AE63" i="2"/>
  <c r="AB63" i="2"/>
  <c r="AC63" i="2" s="1"/>
  <c r="AD63" i="2" s="1"/>
  <c r="AE62" i="2"/>
  <c r="AB62" i="2"/>
  <c r="AC62" i="2" s="1"/>
  <c r="AD62" i="2" s="1"/>
  <c r="AE61" i="2"/>
  <c r="AB61" i="2"/>
  <c r="AC61" i="2" s="1"/>
  <c r="AD61" i="2" s="1"/>
  <c r="AE60" i="2"/>
  <c r="AB60" i="2"/>
  <c r="AC60" i="2" s="1"/>
  <c r="AD60" i="2" s="1"/>
  <c r="AE59" i="2"/>
  <c r="AB59" i="2"/>
  <c r="AC59" i="2" s="1"/>
  <c r="AD59" i="2" s="1"/>
  <c r="AE58" i="2"/>
  <c r="AB58" i="2"/>
  <c r="AC58" i="2" s="1"/>
  <c r="AD58" i="2" s="1"/>
  <c r="AE57" i="2"/>
  <c r="AB57" i="2"/>
  <c r="AC57" i="2" s="1"/>
  <c r="AD57" i="2" s="1"/>
  <c r="AE56" i="2"/>
  <c r="AB56" i="2"/>
  <c r="AC56" i="2" s="1"/>
  <c r="AD56" i="2" s="1"/>
  <c r="AE55" i="2"/>
  <c r="AB55" i="2"/>
  <c r="AC55" i="2" s="1"/>
  <c r="AD55" i="2" s="1"/>
  <c r="AE54" i="2"/>
  <c r="AB54" i="2"/>
  <c r="AC54" i="2" s="1"/>
  <c r="AD54" i="2" s="1"/>
  <c r="AE53" i="2"/>
  <c r="AB53" i="2"/>
  <c r="AC53" i="2" s="1"/>
  <c r="AD53" i="2" s="1"/>
  <c r="AE52" i="2"/>
  <c r="AB52" i="2"/>
  <c r="AC52" i="2" s="1"/>
  <c r="AD52" i="2" s="1"/>
  <c r="AE51" i="2"/>
  <c r="AB51" i="2"/>
  <c r="AC51" i="2" s="1"/>
  <c r="AD51" i="2" s="1"/>
  <c r="AE50" i="2"/>
  <c r="AB50" i="2"/>
  <c r="AC50" i="2" s="1"/>
  <c r="AD50" i="2" s="1"/>
  <c r="AE49" i="2"/>
  <c r="AB49" i="2"/>
  <c r="AC49" i="2" s="1"/>
  <c r="AD49" i="2" s="1"/>
  <c r="AE48" i="2"/>
  <c r="AB48" i="2"/>
  <c r="AC48" i="2" s="1"/>
  <c r="AD48" i="2" s="1"/>
  <c r="AE47" i="2"/>
  <c r="AB47" i="2"/>
  <c r="AC47" i="2" s="1"/>
  <c r="AD47" i="2" s="1"/>
  <c r="AE46" i="2"/>
  <c r="AB46" i="2"/>
  <c r="AC46" i="2" s="1"/>
  <c r="AD46" i="2" s="1"/>
  <c r="AE45" i="2"/>
  <c r="AB45" i="2"/>
  <c r="AC45" i="2" s="1"/>
  <c r="AD45" i="2" s="1"/>
  <c r="AE44" i="2"/>
  <c r="AB44" i="2"/>
  <c r="AC44" i="2" s="1"/>
  <c r="AD44" i="2" s="1"/>
  <c r="AE43" i="2"/>
  <c r="AB43" i="2"/>
  <c r="AC43" i="2" s="1"/>
  <c r="AD43" i="2" s="1"/>
  <c r="AE42" i="2"/>
  <c r="AB42" i="2"/>
  <c r="AC42" i="2" s="1"/>
  <c r="AD42" i="2" s="1"/>
  <c r="AE41" i="2"/>
  <c r="AB41" i="2"/>
  <c r="AC41" i="2" s="1"/>
  <c r="AD41" i="2" s="1"/>
  <c r="AE40" i="2"/>
  <c r="AB40" i="2"/>
  <c r="AC40" i="2" s="1"/>
  <c r="AD40" i="2" s="1"/>
  <c r="AE39" i="2"/>
  <c r="AB39" i="2"/>
  <c r="AC39" i="2" s="1"/>
  <c r="AD39" i="2" s="1"/>
  <c r="AE38" i="2"/>
  <c r="AB38" i="2"/>
  <c r="AC38" i="2" s="1"/>
  <c r="AD38" i="2" s="1"/>
  <c r="AE37" i="2"/>
  <c r="AB37" i="2"/>
  <c r="AC37" i="2" s="1"/>
  <c r="AD37" i="2" s="1"/>
  <c r="AE36" i="2"/>
  <c r="AB36" i="2"/>
  <c r="AC36" i="2" s="1"/>
  <c r="AD36" i="2" s="1"/>
  <c r="AE35" i="2"/>
  <c r="AB35" i="2"/>
  <c r="AC35" i="2" s="1"/>
  <c r="AD35" i="2" s="1"/>
  <c r="AE34" i="2"/>
  <c r="AB34" i="2"/>
  <c r="AC34" i="2" s="1"/>
  <c r="AD34" i="2" s="1"/>
  <c r="AE33" i="2"/>
  <c r="AB33" i="2"/>
  <c r="AC33" i="2" s="1"/>
  <c r="AD33" i="2" s="1"/>
  <c r="AE32" i="2"/>
  <c r="AB32" i="2"/>
  <c r="AC32" i="2" s="1"/>
  <c r="AD32" i="2" s="1"/>
  <c r="AE31" i="2"/>
  <c r="AB31" i="2"/>
  <c r="AC31" i="2" s="1"/>
  <c r="AD31" i="2" s="1"/>
  <c r="AE30" i="2"/>
  <c r="AB30" i="2"/>
  <c r="AC30" i="2" s="1"/>
  <c r="AD30" i="2" s="1"/>
  <c r="AE29" i="2"/>
  <c r="AB29" i="2"/>
  <c r="AC29" i="2" s="1"/>
  <c r="AD29" i="2" s="1"/>
  <c r="AE28" i="2"/>
  <c r="AB28" i="2"/>
  <c r="AC28" i="2" s="1"/>
  <c r="AD28" i="2" s="1"/>
  <c r="AE27" i="2"/>
  <c r="AB27" i="2"/>
  <c r="AC27" i="2" s="1"/>
  <c r="AD27" i="2" s="1"/>
  <c r="AE26" i="2"/>
  <c r="AB26" i="2"/>
  <c r="AC26" i="2" s="1"/>
  <c r="AD26" i="2" s="1"/>
  <c r="AE25" i="2"/>
  <c r="AB25" i="2"/>
  <c r="AC25" i="2" s="1"/>
  <c r="AD25" i="2" s="1"/>
  <c r="AE24" i="2"/>
  <c r="AB24" i="2"/>
  <c r="AC24" i="2" s="1"/>
  <c r="AD24" i="2" s="1"/>
  <c r="AE23" i="2"/>
  <c r="AB23" i="2"/>
  <c r="AC23" i="2" s="1"/>
  <c r="AD23" i="2" s="1"/>
  <c r="AE22" i="2"/>
  <c r="AB22" i="2"/>
  <c r="AC22" i="2" s="1"/>
  <c r="AD22" i="2" s="1"/>
  <c r="AE21" i="2"/>
  <c r="AB21" i="2"/>
  <c r="AC21" i="2" s="1"/>
  <c r="AD21" i="2" s="1"/>
  <c r="AE20" i="2"/>
  <c r="AB20" i="2"/>
  <c r="AC20" i="2" s="1"/>
  <c r="AD20" i="2" s="1"/>
  <c r="AE19" i="2"/>
  <c r="AB19" i="2"/>
  <c r="AC19" i="2" s="1"/>
  <c r="AD19" i="2" s="1"/>
  <c r="AE18" i="2"/>
  <c r="AB18" i="2"/>
  <c r="AC18" i="2" s="1"/>
  <c r="AD18" i="2" s="1"/>
  <c r="AE17" i="2"/>
  <c r="AB17" i="2"/>
  <c r="AC17" i="2" s="1"/>
  <c r="AD17" i="2" s="1"/>
  <c r="AE16" i="2"/>
  <c r="AB16" i="2"/>
  <c r="AC16" i="2" s="1"/>
  <c r="AD16" i="2" s="1"/>
  <c r="AE15" i="2"/>
  <c r="AB15" i="2"/>
  <c r="AC15" i="2" s="1"/>
  <c r="AD15" i="2" s="1"/>
  <c r="AE14" i="2"/>
  <c r="AB14" i="2"/>
  <c r="AC14" i="2" s="1"/>
  <c r="AD14" i="2" s="1"/>
  <c r="AE13" i="2"/>
  <c r="AB13" i="2"/>
  <c r="AC13" i="2" s="1"/>
  <c r="AD13" i="2" s="1"/>
  <c r="AE12" i="2"/>
  <c r="AB12" i="2"/>
  <c r="AC12" i="2" s="1"/>
  <c r="AD12" i="2" s="1"/>
  <c r="AE11" i="2"/>
  <c r="AB11" i="2"/>
  <c r="AC11" i="2" s="1"/>
  <c r="AD11" i="2" s="1"/>
  <c r="AE10" i="2"/>
  <c r="AB10" i="2"/>
  <c r="AC10" i="2" s="1"/>
  <c r="AD10" i="2" s="1"/>
  <c r="AE9" i="2"/>
  <c r="AB9" i="2"/>
  <c r="AC9" i="2" s="1"/>
  <c r="AD9" i="2" s="1"/>
  <c r="AE8" i="2"/>
  <c r="AB8" i="2"/>
  <c r="AE7" i="2"/>
  <c r="AB7" i="2"/>
  <c r="AC7" i="2" s="1"/>
  <c r="AD7" i="2" s="1"/>
  <c r="AE6" i="2"/>
  <c r="AB6" i="2"/>
  <c r="AC6" i="2" s="1"/>
  <c r="AD6" i="2" s="1"/>
  <c r="AE5" i="2"/>
  <c r="AB5" i="2"/>
  <c r="AC5" i="2" s="1"/>
  <c r="AD5" i="2" s="1"/>
  <c r="AE4" i="2"/>
  <c r="AB4" i="2"/>
  <c r="AE3" i="2"/>
  <c r="AB3" i="2"/>
  <c r="AE2" i="2"/>
  <c r="AB2" i="2"/>
  <c r="AC8" i="2" l="1"/>
  <c r="AD8" i="2" s="1"/>
  <c r="E23" i="3"/>
  <c r="AC4" i="2"/>
  <c r="AD4" i="2" s="1"/>
  <c r="E24" i="3"/>
  <c r="AC3" i="2"/>
  <c r="AD3" i="2" s="1"/>
  <c r="E22" i="3"/>
  <c r="AC2" i="2"/>
  <c r="B7" i="3"/>
  <c r="E25" i="3"/>
  <c r="AD2" i="2" l="1"/>
  <c r="B11" i="3"/>
  <c r="B15" i="3"/>
  <c r="C15" i="3"/>
  <c r="D15" i="3"/>
  <c r="E15" i="3"/>
  <c r="B16" i="3"/>
  <c r="C16" i="3"/>
  <c r="D16" i="3"/>
  <c r="E16" i="3"/>
  <c r="B17" i="3"/>
  <c r="C17" i="3"/>
  <c r="D17" i="3"/>
  <c r="E17" i="3"/>
</calcChain>
</file>

<file path=xl/sharedStrings.xml><?xml version="1.0" encoding="utf-8"?>
<sst xmlns="http://schemas.openxmlformats.org/spreadsheetml/2006/main" count="14454" uniqueCount="2157">
  <si>
    <t>Customer_ID</t>
  </si>
  <si>
    <t>Signup_Date</t>
  </si>
  <si>
    <t>Snapshot_Month</t>
  </si>
  <si>
    <t>Country</t>
  </si>
  <si>
    <t>Age</t>
  </si>
  <si>
    <t>Income_Band</t>
  </si>
  <si>
    <t>Occupation_Type</t>
  </si>
  <si>
    <t>Plan_Type</t>
  </si>
  <si>
    <t>KYC_Status</t>
  </si>
  <si>
    <t>Tenure_Months</t>
  </si>
  <si>
    <t>Account_Balance</t>
  </si>
  <si>
    <t>Monthly_Deposits</t>
  </si>
  <si>
    <t>Monthly_Transactions</t>
  </si>
  <si>
    <t>Card_Txn_Count</t>
  </si>
  <si>
    <t>P2P_Transfers</t>
  </si>
  <si>
    <t>Bill_Payments</t>
  </si>
  <si>
    <t>App_Sessions_30D</t>
  </si>
  <si>
    <t>Failed_Logins</t>
  </si>
  <si>
    <t>Support_Tickets</t>
  </si>
  <si>
    <t>Cashback_Used</t>
  </si>
  <si>
    <t>Savings_Pots_Used</t>
  </si>
  <si>
    <t>Virtual_Card_Used</t>
  </si>
  <si>
    <t>Credit_Score_Band</t>
  </si>
  <si>
    <t>NPS</t>
  </si>
  <si>
    <t>Churned_90D</t>
  </si>
  <si>
    <t>Core_Feature_Score</t>
  </si>
  <si>
    <t>Engagement_Rate</t>
  </si>
  <si>
    <t>AI_Churn_Risk_Score</t>
  </si>
  <si>
    <t>AI_Risk_Band</t>
  </si>
  <si>
    <t>Predicted_Next_Best_Action</t>
  </si>
  <si>
    <t>Core_Feature_Gap</t>
  </si>
  <si>
    <t>CUST-200000</t>
  </si>
  <si>
    <t>Pakistan</t>
  </si>
  <si>
    <t>Lower-Mid</t>
  </si>
  <si>
    <t>Retired</t>
  </si>
  <si>
    <t>Business</t>
  </si>
  <si>
    <t>Completed</t>
  </si>
  <si>
    <t>Good</t>
  </si>
  <si>
    <t>CUST-200001</t>
  </si>
  <si>
    <t>Canada</t>
  </si>
  <si>
    <t>Freelancer</t>
  </si>
  <si>
    <t>Free</t>
  </si>
  <si>
    <t>CUST-200002</t>
  </si>
  <si>
    <t>Low</t>
  </si>
  <si>
    <t>Premium</t>
  </si>
  <si>
    <t>Thin File</t>
  </si>
  <si>
    <t>CUST-200003</t>
  </si>
  <si>
    <t>United Kingdom</t>
  </si>
  <si>
    <t>Salaried</t>
  </si>
  <si>
    <t>Pending</t>
  </si>
  <si>
    <t>Fair</t>
  </si>
  <si>
    <t>CUST-200004</t>
  </si>
  <si>
    <t>Excellent</t>
  </si>
  <si>
    <t>CUST-200005</t>
  </si>
  <si>
    <t>Rejected</t>
  </si>
  <si>
    <t>Poor</t>
  </si>
  <si>
    <t>CUST-200006</t>
  </si>
  <si>
    <t>Middle</t>
  </si>
  <si>
    <t>Plus</t>
  </si>
  <si>
    <t>CUST-200007</t>
  </si>
  <si>
    <t>Saudi Arabia</t>
  </si>
  <si>
    <t>Upper-Mid</t>
  </si>
  <si>
    <t>CUST-200008</t>
  </si>
  <si>
    <t>SMB Owner</t>
  </si>
  <si>
    <t>CUST-200009</t>
  </si>
  <si>
    <t>CUST-200010</t>
  </si>
  <si>
    <t>Germany</t>
  </si>
  <si>
    <t>Unemployed</t>
  </si>
  <si>
    <t>CUST-200011</t>
  </si>
  <si>
    <t>CUST-200012</t>
  </si>
  <si>
    <t>CUST-200013</t>
  </si>
  <si>
    <t>CUST-200014</t>
  </si>
  <si>
    <t>UAE</t>
  </si>
  <si>
    <t>CUST-200015</t>
  </si>
  <si>
    <t>CUST-200016</t>
  </si>
  <si>
    <t>CUST-200017</t>
  </si>
  <si>
    <t>CUST-200018</t>
  </si>
  <si>
    <t>High</t>
  </si>
  <si>
    <t>CUST-200019</t>
  </si>
  <si>
    <t>CUST-200020</t>
  </si>
  <si>
    <t>CUST-200021</t>
  </si>
  <si>
    <t>CUST-200022</t>
  </si>
  <si>
    <t>CUST-200023</t>
  </si>
  <si>
    <t>CUST-200024</t>
  </si>
  <si>
    <t>CUST-200025</t>
  </si>
  <si>
    <t>Student</t>
  </si>
  <si>
    <t>CUST-200026</t>
  </si>
  <si>
    <t>CUST-200027</t>
  </si>
  <si>
    <t>CUST-200028</t>
  </si>
  <si>
    <t>CUST-200029</t>
  </si>
  <si>
    <t>CUST-200030</t>
  </si>
  <si>
    <t>CUST-200031</t>
  </si>
  <si>
    <t>CUST-200032</t>
  </si>
  <si>
    <t>CUST-200033</t>
  </si>
  <si>
    <t>CUST-200034</t>
  </si>
  <si>
    <t>CUST-200035</t>
  </si>
  <si>
    <t>CUST-200036</t>
  </si>
  <si>
    <t>CUST-200037</t>
  </si>
  <si>
    <t>CUST-200038</t>
  </si>
  <si>
    <t>CUST-200039</t>
  </si>
  <si>
    <t>CUST-200040</t>
  </si>
  <si>
    <t>CUST-200041</t>
  </si>
  <si>
    <t>CUST-200042</t>
  </si>
  <si>
    <t>CUST-200043</t>
  </si>
  <si>
    <t>CUST-200044</t>
  </si>
  <si>
    <t>CUST-200045</t>
  </si>
  <si>
    <t>CUST-200046</t>
  </si>
  <si>
    <t>CUST-200047</t>
  </si>
  <si>
    <t>CUST-200048</t>
  </si>
  <si>
    <t>CUST-200049</t>
  </si>
  <si>
    <t>CUST-200050</t>
  </si>
  <si>
    <t>CUST-200051</t>
  </si>
  <si>
    <t>CUST-200052</t>
  </si>
  <si>
    <t>CUST-200053</t>
  </si>
  <si>
    <t>CUST-200054</t>
  </si>
  <si>
    <t>CUST-200055</t>
  </si>
  <si>
    <t>CUST-200056</t>
  </si>
  <si>
    <t>CUST-200057</t>
  </si>
  <si>
    <t>CUST-200058</t>
  </si>
  <si>
    <t>CUST-200059</t>
  </si>
  <si>
    <t>CUST-200060</t>
  </si>
  <si>
    <t>CUST-200061</t>
  </si>
  <si>
    <t>CUST-200062</t>
  </si>
  <si>
    <t>CUST-200063</t>
  </si>
  <si>
    <t>CUST-200064</t>
  </si>
  <si>
    <t>CUST-200065</t>
  </si>
  <si>
    <t>CUST-200066</t>
  </si>
  <si>
    <t>CUST-200067</t>
  </si>
  <si>
    <t>CUST-200068</t>
  </si>
  <si>
    <t>CUST-200069</t>
  </si>
  <si>
    <t>CUST-200070</t>
  </si>
  <si>
    <t>CUST-200071</t>
  </si>
  <si>
    <t>CUST-200072</t>
  </si>
  <si>
    <t>CUST-200073</t>
  </si>
  <si>
    <t>CUST-200074</t>
  </si>
  <si>
    <t>CUST-200075</t>
  </si>
  <si>
    <t>CUST-200076</t>
  </si>
  <si>
    <t>CUST-200077</t>
  </si>
  <si>
    <t>CUST-200078</t>
  </si>
  <si>
    <t>CUST-200079</t>
  </si>
  <si>
    <t>CUST-200080</t>
  </si>
  <si>
    <t>CUST-200081</t>
  </si>
  <si>
    <t>CUST-200082</t>
  </si>
  <si>
    <t>CUST-200083</t>
  </si>
  <si>
    <t>CUST-200084</t>
  </si>
  <si>
    <t>CUST-200085</t>
  </si>
  <si>
    <t>CUST-200086</t>
  </si>
  <si>
    <t>CUST-200087</t>
  </si>
  <si>
    <t>CUST-200088</t>
  </si>
  <si>
    <t>CUST-200089</t>
  </si>
  <si>
    <t>CUST-200090</t>
  </si>
  <si>
    <t>CUST-200091</t>
  </si>
  <si>
    <t>CUST-200092</t>
  </si>
  <si>
    <t>CUST-200093</t>
  </si>
  <si>
    <t>CUST-200094</t>
  </si>
  <si>
    <t>CUST-200095</t>
  </si>
  <si>
    <t>CUST-200096</t>
  </si>
  <si>
    <t>CUST-200097</t>
  </si>
  <si>
    <t>CUST-200098</t>
  </si>
  <si>
    <t>CUST-200099</t>
  </si>
  <si>
    <t>CUST-200100</t>
  </si>
  <si>
    <t>CUST-200101</t>
  </si>
  <si>
    <t>CUST-200102</t>
  </si>
  <si>
    <t>CUST-200103</t>
  </si>
  <si>
    <t>CUST-200104</t>
  </si>
  <si>
    <t>CUST-200105</t>
  </si>
  <si>
    <t>CUST-200106</t>
  </si>
  <si>
    <t>CUST-200107</t>
  </si>
  <si>
    <t>CUST-200108</t>
  </si>
  <si>
    <t>CUST-200109</t>
  </si>
  <si>
    <t>CUST-200110</t>
  </si>
  <si>
    <t>CUST-200111</t>
  </si>
  <si>
    <t>CUST-200112</t>
  </si>
  <si>
    <t>CUST-200113</t>
  </si>
  <si>
    <t>CUST-200114</t>
  </si>
  <si>
    <t>CUST-200115</t>
  </si>
  <si>
    <t>CUST-200116</t>
  </si>
  <si>
    <t>CUST-200117</t>
  </si>
  <si>
    <t>CUST-200118</t>
  </si>
  <si>
    <t>CUST-200119</t>
  </si>
  <si>
    <t>CUST-200120</t>
  </si>
  <si>
    <t>CUST-200121</t>
  </si>
  <si>
    <t>CUST-200122</t>
  </si>
  <si>
    <t>CUST-200123</t>
  </si>
  <si>
    <t>CUST-200124</t>
  </si>
  <si>
    <t>CUST-200125</t>
  </si>
  <si>
    <t>CUST-200126</t>
  </si>
  <si>
    <t>CUST-200127</t>
  </si>
  <si>
    <t>CUST-200128</t>
  </si>
  <si>
    <t>CUST-200129</t>
  </si>
  <si>
    <t>CUST-200130</t>
  </si>
  <si>
    <t>CUST-200131</t>
  </si>
  <si>
    <t>CUST-200132</t>
  </si>
  <si>
    <t>CUST-200133</t>
  </si>
  <si>
    <t>CUST-200134</t>
  </si>
  <si>
    <t>CUST-200135</t>
  </si>
  <si>
    <t>CUST-200136</t>
  </si>
  <si>
    <t>CUST-200137</t>
  </si>
  <si>
    <t>CUST-200138</t>
  </si>
  <si>
    <t>CUST-200139</t>
  </si>
  <si>
    <t>CUST-200140</t>
  </si>
  <si>
    <t>CUST-200141</t>
  </si>
  <si>
    <t>CUST-200142</t>
  </si>
  <si>
    <t>CUST-200143</t>
  </si>
  <si>
    <t>CUST-200144</t>
  </si>
  <si>
    <t>CUST-200145</t>
  </si>
  <si>
    <t>CUST-200146</t>
  </si>
  <si>
    <t>CUST-200147</t>
  </si>
  <si>
    <t>CUST-200148</t>
  </si>
  <si>
    <t>CUST-200149</t>
  </si>
  <si>
    <t>CUST-200150</t>
  </si>
  <si>
    <t>CUST-200151</t>
  </si>
  <si>
    <t>CUST-200152</t>
  </si>
  <si>
    <t>CUST-200153</t>
  </si>
  <si>
    <t>CUST-200154</t>
  </si>
  <si>
    <t>CUST-200155</t>
  </si>
  <si>
    <t>CUST-200156</t>
  </si>
  <si>
    <t>CUST-200157</t>
  </si>
  <si>
    <t>CUST-200158</t>
  </si>
  <si>
    <t>CUST-200159</t>
  </si>
  <si>
    <t>CUST-200160</t>
  </si>
  <si>
    <t>CUST-200161</t>
  </si>
  <si>
    <t>CUST-200162</t>
  </si>
  <si>
    <t>CUST-200163</t>
  </si>
  <si>
    <t>CUST-200164</t>
  </si>
  <si>
    <t>CUST-200165</t>
  </si>
  <si>
    <t>CUST-200166</t>
  </si>
  <si>
    <t>CUST-200167</t>
  </si>
  <si>
    <t>CUST-200168</t>
  </si>
  <si>
    <t>CUST-200169</t>
  </si>
  <si>
    <t>CUST-200170</t>
  </si>
  <si>
    <t>CUST-200171</t>
  </si>
  <si>
    <t>CUST-200172</t>
  </si>
  <si>
    <t>CUST-200173</t>
  </si>
  <si>
    <t>CUST-200174</t>
  </si>
  <si>
    <t>CUST-200175</t>
  </si>
  <si>
    <t>CUST-200176</t>
  </si>
  <si>
    <t>CUST-200177</t>
  </si>
  <si>
    <t>CUST-200178</t>
  </si>
  <si>
    <t>CUST-200179</t>
  </si>
  <si>
    <t>CUST-200180</t>
  </si>
  <si>
    <t>CUST-200181</t>
  </si>
  <si>
    <t>CUST-200182</t>
  </si>
  <si>
    <t>CUST-200183</t>
  </si>
  <si>
    <t>CUST-200184</t>
  </si>
  <si>
    <t>CUST-200185</t>
  </si>
  <si>
    <t>CUST-200186</t>
  </si>
  <si>
    <t>CUST-200187</t>
  </si>
  <si>
    <t>CUST-200188</t>
  </si>
  <si>
    <t>CUST-200189</t>
  </si>
  <si>
    <t>CUST-200190</t>
  </si>
  <si>
    <t>CUST-200191</t>
  </si>
  <si>
    <t>CUST-200192</t>
  </si>
  <si>
    <t>CUST-200193</t>
  </si>
  <si>
    <t>CUST-200194</t>
  </si>
  <si>
    <t>CUST-200195</t>
  </si>
  <si>
    <t>CUST-200196</t>
  </si>
  <si>
    <t>CUST-200197</t>
  </si>
  <si>
    <t>CUST-200198</t>
  </si>
  <si>
    <t>CUST-200199</t>
  </si>
  <si>
    <t>CUST-200200</t>
  </si>
  <si>
    <t>CUST-200201</t>
  </si>
  <si>
    <t>CUST-200202</t>
  </si>
  <si>
    <t>CUST-200203</t>
  </si>
  <si>
    <t>CUST-200204</t>
  </si>
  <si>
    <t>CUST-200205</t>
  </si>
  <si>
    <t>CUST-200206</t>
  </si>
  <si>
    <t>CUST-200207</t>
  </si>
  <si>
    <t>CUST-200208</t>
  </si>
  <si>
    <t>CUST-200209</t>
  </si>
  <si>
    <t>CUST-200210</t>
  </si>
  <si>
    <t>CUST-200211</t>
  </si>
  <si>
    <t>CUST-200212</t>
  </si>
  <si>
    <t>CUST-200213</t>
  </si>
  <si>
    <t>CUST-200214</t>
  </si>
  <si>
    <t>CUST-200215</t>
  </si>
  <si>
    <t>CUST-200216</t>
  </si>
  <si>
    <t>CUST-200217</t>
  </si>
  <si>
    <t>CUST-200218</t>
  </si>
  <si>
    <t>CUST-200219</t>
  </si>
  <si>
    <t>CUST-200220</t>
  </si>
  <si>
    <t>CUST-200221</t>
  </si>
  <si>
    <t>CUST-200222</t>
  </si>
  <si>
    <t>CUST-200223</t>
  </si>
  <si>
    <t>CUST-200224</t>
  </si>
  <si>
    <t>CUST-200225</t>
  </si>
  <si>
    <t>CUST-200226</t>
  </si>
  <si>
    <t>CUST-200227</t>
  </si>
  <si>
    <t>CUST-200228</t>
  </si>
  <si>
    <t>CUST-200229</t>
  </si>
  <si>
    <t>CUST-200230</t>
  </si>
  <si>
    <t>CUST-200231</t>
  </si>
  <si>
    <t>CUST-200232</t>
  </si>
  <si>
    <t>CUST-200233</t>
  </si>
  <si>
    <t>CUST-200234</t>
  </si>
  <si>
    <t>CUST-200235</t>
  </si>
  <si>
    <t>CUST-200236</t>
  </si>
  <si>
    <t>CUST-200237</t>
  </si>
  <si>
    <t>CUST-200238</t>
  </si>
  <si>
    <t>CUST-200239</t>
  </si>
  <si>
    <t>CUST-200240</t>
  </si>
  <si>
    <t>CUST-200241</t>
  </si>
  <si>
    <t>CUST-200242</t>
  </si>
  <si>
    <t>CUST-200243</t>
  </si>
  <si>
    <t>CUST-200244</t>
  </si>
  <si>
    <t>CUST-200245</t>
  </si>
  <si>
    <t>CUST-200246</t>
  </si>
  <si>
    <t>CUST-200247</t>
  </si>
  <si>
    <t>CUST-200248</t>
  </si>
  <si>
    <t>CUST-200249</t>
  </si>
  <si>
    <t>CUST-200250</t>
  </si>
  <si>
    <t>CUST-200251</t>
  </si>
  <si>
    <t>CUST-200252</t>
  </si>
  <si>
    <t>CUST-200253</t>
  </si>
  <si>
    <t>CUST-200254</t>
  </si>
  <si>
    <t>CUST-200255</t>
  </si>
  <si>
    <t>CUST-200256</t>
  </si>
  <si>
    <t>CUST-200257</t>
  </si>
  <si>
    <t>CUST-200258</t>
  </si>
  <si>
    <t>CUST-200259</t>
  </si>
  <si>
    <t>CUST-200260</t>
  </si>
  <si>
    <t>CUST-200261</t>
  </si>
  <si>
    <t>CUST-200262</t>
  </si>
  <si>
    <t>CUST-200263</t>
  </si>
  <si>
    <t>CUST-200264</t>
  </si>
  <si>
    <t>CUST-200265</t>
  </si>
  <si>
    <t>CUST-200266</t>
  </si>
  <si>
    <t>CUST-200267</t>
  </si>
  <si>
    <t>CUST-200268</t>
  </si>
  <si>
    <t>CUST-200269</t>
  </si>
  <si>
    <t>CUST-200270</t>
  </si>
  <si>
    <t>CUST-200271</t>
  </si>
  <si>
    <t>CUST-200272</t>
  </si>
  <si>
    <t>CUST-200273</t>
  </si>
  <si>
    <t>CUST-200274</t>
  </si>
  <si>
    <t>CUST-200275</t>
  </si>
  <si>
    <t>CUST-200276</t>
  </si>
  <si>
    <t>CUST-200277</t>
  </si>
  <si>
    <t>CUST-200278</t>
  </si>
  <si>
    <t>CUST-200279</t>
  </si>
  <si>
    <t>CUST-200280</t>
  </si>
  <si>
    <t>CUST-200281</t>
  </si>
  <si>
    <t>CUST-200282</t>
  </si>
  <si>
    <t>CUST-200283</t>
  </si>
  <si>
    <t>CUST-200284</t>
  </si>
  <si>
    <t>CUST-200285</t>
  </si>
  <si>
    <t>CUST-200286</t>
  </si>
  <si>
    <t>CUST-200287</t>
  </si>
  <si>
    <t>CUST-200288</t>
  </si>
  <si>
    <t>CUST-200289</t>
  </si>
  <si>
    <t>CUST-200290</t>
  </si>
  <si>
    <t>CUST-200291</t>
  </si>
  <si>
    <t>CUST-200292</t>
  </si>
  <si>
    <t>CUST-200293</t>
  </si>
  <si>
    <t>CUST-200294</t>
  </si>
  <si>
    <t>CUST-200295</t>
  </si>
  <si>
    <t>CUST-200296</t>
  </si>
  <si>
    <t>CUST-200297</t>
  </si>
  <si>
    <t>CUST-200298</t>
  </si>
  <si>
    <t>CUST-200299</t>
  </si>
  <si>
    <t>CUST-200300</t>
  </si>
  <si>
    <t>CUST-200301</t>
  </si>
  <si>
    <t>CUST-200302</t>
  </si>
  <si>
    <t>CUST-200303</t>
  </si>
  <si>
    <t>CUST-200304</t>
  </si>
  <si>
    <t>CUST-200305</t>
  </si>
  <si>
    <t>CUST-200306</t>
  </si>
  <si>
    <t>CUST-200307</t>
  </si>
  <si>
    <t>CUST-200308</t>
  </si>
  <si>
    <t>CUST-200309</t>
  </si>
  <si>
    <t>CUST-200310</t>
  </si>
  <si>
    <t>CUST-200311</t>
  </si>
  <si>
    <t>CUST-200312</t>
  </si>
  <si>
    <t>CUST-200313</t>
  </si>
  <si>
    <t>CUST-200314</t>
  </si>
  <si>
    <t>CUST-200315</t>
  </si>
  <si>
    <t>CUST-200316</t>
  </si>
  <si>
    <t>CUST-200317</t>
  </si>
  <si>
    <t>CUST-200318</t>
  </si>
  <si>
    <t>CUST-200319</t>
  </si>
  <si>
    <t>CUST-200320</t>
  </si>
  <si>
    <t>CUST-200321</t>
  </si>
  <si>
    <t>CUST-200322</t>
  </si>
  <si>
    <t>CUST-200323</t>
  </si>
  <si>
    <t>CUST-200324</t>
  </si>
  <si>
    <t>CUST-200325</t>
  </si>
  <si>
    <t>CUST-200326</t>
  </si>
  <si>
    <t>CUST-200327</t>
  </si>
  <si>
    <t>CUST-200328</t>
  </si>
  <si>
    <t>CUST-200329</t>
  </si>
  <si>
    <t>CUST-200330</t>
  </si>
  <si>
    <t>CUST-200331</t>
  </si>
  <si>
    <t>CUST-200332</t>
  </si>
  <si>
    <t>CUST-200333</t>
  </si>
  <si>
    <t>CUST-200334</t>
  </si>
  <si>
    <t>CUST-200335</t>
  </si>
  <si>
    <t>CUST-200336</t>
  </si>
  <si>
    <t>CUST-200337</t>
  </si>
  <si>
    <t>CUST-200338</t>
  </si>
  <si>
    <t>CUST-200339</t>
  </si>
  <si>
    <t>CUST-200340</t>
  </si>
  <si>
    <t>CUST-200341</t>
  </si>
  <si>
    <t>CUST-200342</t>
  </si>
  <si>
    <t>CUST-200343</t>
  </si>
  <si>
    <t>CUST-200344</t>
  </si>
  <si>
    <t>CUST-200345</t>
  </si>
  <si>
    <t>CUST-200346</t>
  </si>
  <si>
    <t>CUST-200347</t>
  </si>
  <si>
    <t>CUST-200348</t>
  </si>
  <si>
    <t>CUST-200349</t>
  </si>
  <si>
    <t>CUST-200350</t>
  </si>
  <si>
    <t>CUST-200351</t>
  </si>
  <si>
    <t>CUST-200352</t>
  </si>
  <si>
    <t>CUST-200353</t>
  </si>
  <si>
    <t>CUST-200354</t>
  </si>
  <si>
    <t>CUST-200355</t>
  </si>
  <si>
    <t>CUST-200356</t>
  </si>
  <si>
    <t>CUST-200357</t>
  </si>
  <si>
    <t>CUST-200358</t>
  </si>
  <si>
    <t>CUST-200359</t>
  </si>
  <si>
    <t>CUST-200360</t>
  </si>
  <si>
    <t>CUST-200361</t>
  </si>
  <si>
    <t>CUST-200362</t>
  </si>
  <si>
    <t>CUST-200363</t>
  </si>
  <si>
    <t>CUST-200364</t>
  </si>
  <si>
    <t>CUST-200365</t>
  </si>
  <si>
    <t>CUST-200366</t>
  </si>
  <si>
    <t>CUST-200367</t>
  </si>
  <si>
    <t>CUST-200368</t>
  </si>
  <si>
    <t>CUST-200369</t>
  </si>
  <si>
    <t>CUST-200370</t>
  </si>
  <si>
    <t>CUST-200371</t>
  </si>
  <si>
    <t>CUST-200372</t>
  </si>
  <si>
    <t>CUST-200373</t>
  </si>
  <si>
    <t>CUST-200374</t>
  </si>
  <si>
    <t>CUST-200375</t>
  </si>
  <si>
    <t>CUST-200376</t>
  </si>
  <si>
    <t>CUST-200377</t>
  </si>
  <si>
    <t>CUST-200378</t>
  </si>
  <si>
    <t>CUST-200379</t>
  </si>
  <si>
    <t>CUST-200380</t>
  </si>
  <si>
    <t>CUST-200381</t>
  </si>
  <si>
    <t>CUST-200382</t>
  </si>
  <si>
    <t>CUST-200383</t>
  </si>
  <si>
    <t>CUST-200384</t>
  </si>
  <si>
    <t>CUST-200385</t>
  </si>
  <si>
    <t>CUST-200386</t>
  </si>
  <si>
    <t>CUST-200387</t>
  </si>
  <si>
    <t>CUST-200388</t>
  </si>
  <si>
    <t>CUST-200389</t>
  </si>
  <si>
    <t>CUST-200390</t>
  </si>
  <si>
    <t>CUST-200391</t>
  </si>
  <si>
    <t>CUST-200392</t>
  </si>
  <si>
    <t>CUST-200393</t>
  </si>
  <si>
    <t>CUST-200394</t>
  </si>
  <si>
    <t>CUST-200395</t>
  </si>
  <si>
    <t>CUST-200396</t>
  </si>
  <si>
    <t>CUST-200397</t>
  </si>
  <si>
    <t>CUST-200398</t>
  </si>
  <si>
    <t>CUST-200399</t>
  </si>
  <si>
    <t>CUST-200400</t>
  </si>
  <si>
    <t>CUST-200401</t>
  </si>
  <si>
    <t>CUST-200402</t>
  </si>
  <si>
    <t>CUST-200403</t>
  </si>
  <si>
    <t>CUST-200404</t>
  </si>
  <si>
    <t>CUST-200405</t>
  </si>
  <si>
    <t>CUST-200406</t>
  </si>
  <si>
    <t>CUST-200407</t>
  </si>
  <si>
    <t>CUST-200408</t>
  </si>
  <si>
    <t>CUST-200409</t>
  </si>
  <si>
    <t>CUST-200410</t>
  </si>
  <si>
    <t>CUST-200411</t>
  </si>
  <si>
    <t>CUST-200412</t>
  </si>
  <si>
    <t>CUST-200413</t>
  </si>
  <si>
    <t>CUST-200414</t>
  </si>
  <si>
    <t>CUST-200415</t>
  </si>
  <si>
    <t>CUST-200416</t>
  </si>
  <si>
    <t>CUST-200417</t>
  </si>
  <si>
    <t>CUST-200418</t>
  </si>
  <si>
    <t>CUST-200419</t>
  </si>
  <si>
    <t>CUST-200420</t>
  </si>
  <si>
    <t>CUST-200421</t>
  </si>
  <si>
    <t>CUST-200422</t>
  </si>
  <si>
    <t>CUST-200423</t>
  </si>
  <si>
    <t>CUST-200424</t>
  </si>
  <si>
    <t>CUST-200425</t>
  </si>
  <si>
    <t>CUST-200426</t>
  </si>
  <si>
    <t>CUST-200427</t>
  </si>
  <si>
    <t>CUST-200428</t>
  </si>
  <si>
    <t>CUST-200429</t>
  </si>
  <si>
    <t>CUST-200430</t>
  </si>
  <si>
    <t>CUST-200431</t>
  </si>
  <si>
    <t>CUST-200432</t>
  </si>
  <si>
    <t>CUST-200433</t>
  </si>
  <si>
    <t>CUST-200434</t>
  </si>
  <si>
    <t>CUST-200435</t>
  </si>
  <si>
    <t>CUST-200436</t>
  </si>
  <si>
    <t>CUST-200437</t>
  </si>
  <si>
    <t>CUST-200438</t>
  </si>
  <si>
    <t>CUST-200439</t>
  </si>
  <si>
    <t>CUST-200440</t>
  </si>
  <si>
    <t>CUST-200441</t>
  </si>
  <si>
    <t>CUST-200442</t>
  </si>
  <si>
    <t>CUST-200443</t>
  </si>
  <si>
    <t>CUST-200444</t>
  </si>
  <si>
    <t>CUST-200445</t>
  </si>
  <si>
    <t>CUST-200446</t>
  </si>
  <si>
    <t>CUST-200447</t>
  </si>
  <si>
    <t>CUST-200448</t>
  </si>
  <si>
    <t>CUST-200449</t>
  </si>
  <si>
    <t>CUST-200450</t>
  </si>
  <si>
    <t>CUST-200451</t>
  </si>
  <si>
    <t>CUST-200452</t>
  </si>
  <si>
    <t>CUST-200453</t>
  </si>
  <si>
    <t>CUST-200454</t>
  </si>
  <si>
    <t>CUST-200455</t>
  </si>
  <si>
    <t>CUST-200456</t>
  </si>
  <si>
    <t>CUST-200457</t>
  </si>
  <si>
    <t>CUST-200458</t>
  </si>
  <si>
    <t>CUST-200459</t>
  </si>
  <si>
    <t>CUST-200460</t>
  </si>
  <si>
    <t>CUST-200461</t>
  </si>
  <si>
    <t>CUST-200462</t>
  </si>
  <si>
    <t>CUST-200463</t>
  </si>
  <si>
    <t>CUST-200464</t>
  </si>
  <si>
    <t>CUST-200465</t>
  </si>
  <si>
    <t>CUST-200466</t>
  </si>
  <si>
    <t>CUST-200467</t>
  </si>
  <si>
    <t>CUST-200468</t>
  </si>
  <si>
    <t>CUST-200469</t>
  </si>
  <si>
    <t>CUST-200470</t>
  </si>
  <si>
    <t>CUST-200471</t>
  </si>
  <si>
    <t>CUST-200472</t>
  </si>
  <si>
    <t>CUST-200473</t>
  </si>
  <si>
    <t>CUST-200474</t>
  </si>
  <si>
    <t>CUST-200475</t>
  </si>
  <si>
    <t>CUST-200476</t>
  </si>
  <si>
    <t>CUST-200477</t>
  </si>
  <si>
    <t>CUST-200478</t>
  </si>
  <si>
    <t>CUST-200479</t>
  </si>
  <si>
    <t>CUST-200480</t>
  </si>
  <si>
    <t>CUST-200481</t>
  </si>
  <si>
    <t>CUST-200482</t>
  </si>
  <si>
    <t>CUST-200483</t>
  </si>
  <si>
    <t>CUST-200484</t>
  </si>
  <si>
    <t>CUST-200485</t>
  </si>
  <si>
    <t>CUST-200486</t>
  </si>
  <si>
    <t>CUST-200487</t>
  </si>
  <si>
    <t>CUST-200488</t>
  </si>
  <si>
    <t>CUST-200489</t>
  </si>
  <si>
    <t>CUST-200490</t>
  </si>
  <si>
    <t>CUST-200491</t>
  </si>
  <si>
    <t>CUST-200492</t>
  </si>
  <si>
    <t>CUST-200493</t>
  </si>
  <si>
    <t>CUST-200494</t>
  </si>
  <si>
    <t>CUST-200495</t>
  </si>
  <si>
    <t>CUST-200496</t>
  </si>
  <si>
    <t>CUST-200497</t>
  </si>
  <si>
    <t>CUST-200498</t>
  </si>
  <si>
    <t>CUST-200499</t>
  </si>
  <si>
    <t>CUST-200500</t>
  </si>
  <si>
    <t>CUST-200501</t>
  </si>
  <si>
    <t>CUST-200502</t>
  </si>
  <si>
    <t>CUST-200503</t>
  </si>
  <si>
    <t>CUST-200504</t>
  </si>
  <si>
    <t>CUST-200505</t>
  </si>
  <si>
    <t>CUST-200506</t>
  </si>
  <si>
    <t>CUST-200507</t>
  </si>
  <si>
    <t>CUST-200508</t>
  </si>
  <si>
    <t>CUST-200509</t>
  </si>
  <si>
    <t>CUST-200510</t>
  </si>
  <si>
    <t>CUST-200511</t>
  </si>
  <si>
    <t>CUST-200512</t>
  </si>
  <si>
    <t>CUST-200513</t>
  </si>
  <si>
    <t>CUST-200514</t>
  </si>
  <si>
    <t>CUST-200515</t>
  </si>
  <si>
    <t>CUST-200516</t>
  </si>
  <si>
    <t>CUST-200517</t>
  </si>
  <si>
    <t>CUST-200518</t>
  </si>
  <si>
    <t>CUST-200519</t>
  </si>
  <si>
    <t>CUST-200520</t>
  </si>
  <si>
    <t>CUST-200521</t>
  </si>
  <si>
    <t>CUST-200522</t>
  </si>
  <si>
    <t>CUST-200523</t>
  </si>
  <si>
    <t>CUST-200524</t>
  </si>
  <si>
    <t>CUST-200525</t>
  </si>
  <si>
    <t>CUST-200526</t>
  </si>
  <si>
    <t>CUST-200527</t>
  </si>
  <si>
    <t>CUST-200528</t>
  </si>
  <si>
    <t>CUST-200529</t>
  </si>
  <si>
    <t>CUST-200530</t>
  </si>
  <si>
    <t>CUST-200531</t>
  </si>
  <si>
    <t>CUST-200532</t>
  </si>
  <si>
    <t>CUST-200533</t>
  </si>
  <si>
    <t>CUST-200534</t>
  </si>
  <si>
    <t>CUST-200535</t>
  </si>
  <si>
    <t>CUST-200536</t>
  </si>
  <si>
    <t>CUST-200537</t>
  </si>
  <si>
    <t>CUST-200538</t>
  </si>
  <si>
    <t>CUST-200539</t>
  </si>
  <si>
    <t>CUST-200540</t>
  </si>
  <si>
    <t>CUST-200541</t>
  </si>
  <si>
    <t>CUST-200542</t>
  </si>
  <si>
    <t>CUST-200543</t>
  </si>
  <si>
    <t>CUST-200544</t>
  </si>
  <si>
    <t>CUST-200545</t>
  </si>
  <si>
    <t>CUST-200546</t>
  </si>
  <si>
    <t>CUST-200547</t>
  </si>
  <si>
    <t>CUST-200548</t>
  </si>
  <si>
    <t>CUST-200549</t>
  </si>
  <si>
    <t>CUST-200550</t>
  </si>
  <si>
    <t>CUST-200551</t>
  </si>
  <si>
    <t>CUST-200552</t>
  </si>
  <si>
    <t>CUST-200553</t>
  </si>
  <si>
    <t>CUST-200554</t>
  </si>
  <si>
    <t>CUST-200555</t>
  </si>
  <si>
    <t>CUST-200556</t>
  </si>
  <si>
    <t>CUST-200557</t>
  </si>
  <si>
    <t>CUST-200558</t>
  </si>
  <si>
    <t>CUST-200559</t>
  </si>
  <si>
    <t>CUST-200560</t>
  </si>
  <si>
    <t>CUST-200561</t>
  </si>
  <si>
    <t>CUST-200562</t>
  </si>
  <si>
    <t>CUST-200563</t>
  </si>
  <si>
    <t>CUST-200564</t>
  </si>
  <si>
    <t>CUST-200565</t>
  </si>
  <si>
    <t>CUST-200566</t>
  </si>
  <si>
    <t>CUST-200567</t>
  </si>
  <si>
    <t>CUST-200568</t>
  </si>
  <si>
    <t>CUST-200569</t>
  </si>
  <si>
    <t>CUST-200570</t>
  </si>
  <si>
    <t>CUST-200571</t>
  </si>
  <si>
    <t>CUST-200572</t>
  </si>
  <si>
    <t>CUST-200573</t>
  </si>
  <si>
    <t>CUST-200574</t>
  </si>
  <si>
    <t>CUST-200575</t>
  </si>
  <si>
    <t>CUST-200576</t>
  </si>
  <si>
    <t>CUST-200577</t>
  </si>
  <si>
    <t>CUST-200578</t>
  </si>
  <si>
    <t>CUST-200579</t>
  </si>
  <si>
    <t>CUST-200580</t>
  </si>
  <si>
    <t>CUST-200581</t>
  </si>
  <si>
    <t>CUST-200582</t>
  </si>
  <si>
    <t>CUST-200583</t>
  </si>
  <si>
    <t>CUST-200584</t>
  </si>
  <si>
    <t>CUST-200585</t>
  </si>
  <si>
    <t>CUST-200586</t>
  </si>
  <si>
    <t>CUST-200587</t>
  </si>
  <si>
    <t>CUST-200588</t>
  </si>
  <si>
    <t>CUST-200589</t>
  </si>
  <si>
    <t>CUST-200590</t>
  </si>
  <si>
    <t>CUST-200591</t>
  </si>
  <si>
    <t>CUST-200592</t>
  </si>
  <si>
    <t>CUST-200593</t>
  </si>
  <si>
    <t>CUST-200594</t>
  </si>
  <si>
    <t>CUST-200595</t>
  </si>
  <si>
    <t>CUST-200596</t>
  </si>
  <si>
    <t>CUST-200597</t>
  </si>
  <si>
    <t>CUST-200598</t>
  </si>
  <si>
    <t>CUST-200599</t>
  </si>
  <si>
    <t>CUST-200600</t>
  </si>
  <si>
    <t>CUST-200601</t>
  </si>
  <si>
    <t>CUST-200602</t>
  </si>
  <si>
    <t>CUST-200603</t>
  </si>
  <si>
    <t>CUST-200604</t>
  </si>
  <si>
    <t>CUST-200605</t>
  </si>
  <si>
    <t>CUST-200606</t>
  </si>
  <si>
    <t>CUST-200607</t>
  </si>
  <si>
    <t>CUST-200608</t>
  </si>
  <si>
    <t>CUST-200609</t>
  </si>
  <si>
    <t>CUST-200610</t>
  </si>
  <si>
    <t>CUST-200611</t>
  </si>
  <si>
    <t>CUST-200612</t>
  </si>
  <si>
    <t>CUST-200613</t>
  </si>
  <si>
    <t>CUST-200614</t>
  </si>
  <si>
    <t>CUST-200615</t>
  </si>
  <si>
    <t>CUST-200616</t>
  </si>
  <si>
    <t>CUST-200617</t>
  </si>
  <si>
    <t>CUST-200618</t>
  </si>
  <si>
    <t>CUST-200619</t>
  </si>
  <si>
    <t>CUST-200620</t>
  </si>
  <si>
    <t>CUST-200621</t>
  </si>
  <si>
    <t>CUST-200622</t>
  </si>
  <si>
    <t>CUST-200623</t>
  </si>
  <si>
    <t>CUST-200624</t>
  </si>
  <si>
    <t>CUST-200625</t>
  </si>
  <si>
    <t>CUST-200626</t>
  </si>
  <si>
    <t>CUST-200627</t>
  </si>
  <si>
    <t>CUST-200628</t>
  </si>
  <si>
    <t>CUST-200629</t>
  </si>
  <si>
    <t>CUST-200630</t>
  </si>
  <si>
    <t>CUST-200631</t>
  </si>
  <si>
    <t>CUST-200632</t>
  </si>
  <si>
    <t>CUST-200633</t>
  </si>
  <si>
    <t>CUST-200634</t>
  </si>
  <si>
    <t>CUST-200635</t>
  </si>
  <si>
    <t>CUST-200636</t>
  </si>
  <si>
    <t>CUST-200637</t>
  </si>
  <si>
    <t>CUST-200638</t>
  </si>
  <si>
    <t>CUST-200639</t>
  </si>
  <si>
    <t>CUST-200640</t>
  </si>
  <si>
    <t>CUST-200641</t>
  </si>
  <si>
    <t>CUST-200642</t>
  </si>
  <si>
    <t>CUST-200643</t>
  </si>
  <si>
    <t>CUST-200644</t>
  </si>
  <si>
    <t>CUST-200645</t>
  </si>
  <si>
    <t>CUST-200646</t>
  </si>
  <si>
    <t>CUST-200647</t>
  </si>
  <si>
    <t>CUST-200648</t>
  </si>
  <si>
    <t>CUST-200649</t>
  </si>
  <si>
    <t>CUST-200650</t>
  </si>
  <si>
    <t>CUST-200651</t>
  </si>
  <si>
    <t>CUST-200652</t>
  </si>
  <si>
    <t>CUST-200653</t>
  </si>
  <si>
    <t>CUST-200654</t>
  </si>
  <si>
    <t>CUST-200655</t>
  </si>
  <si>
    <t>CUST-200656</t>
  </si>
  <si>
    <t>CUST-200657</t>
  </si>
  <si>
    <t>CUST-200658</t>
  </si>
  <si>
    <t>CUST-200659</t>
  </si>
  <si>
    <t>CUST-200660</t>
  </si>
  <si>
    <t>CUST-200661</t>
  </si>
  <si>
    <t>CUST-200662</t>
  </si>
  <si>
    <t>CUST-200663</t>
  </si>
  <si>
    <t>CUST-200664</t>
  </si>
  <si>
    <t>CUST-200665</t>
  </si>
  <si>
    <t>CUST-200666</t>
  </si>
  <si>
    <t>CUST-200667</t>
  </si>
  <si>
    <t>CUST-200668</t>
  </si>
  <si>
    <t>CUST-200669</t>
  </si>
  <si>
    <t>CUST-200670</t>
  </si>
  <si>
    <t>CUST-200671</t>
  </si>
  <si>
    <t>CUST-200672</t>
  </si>
  <si>
    <t>CUST-200673</t>
  </si>
  <si>
    <t>CUST-200674</t>
  </si>
  <si>
    <t>CUST-200675</t>
  </si>
  <si>
    <t>CUST-200676</t>
  </si>
  <si>
    <t>CUST-200677</t>
  </si>
  <si>
    <t>CUST-200678</t>
  </si>
  <si>
    <t>CUST-200679</t>
  </si>
  <si>
    <t>CUST-200680</t>
  </si>
  <si>
    <t>CUST-200681</t>
  </si>
  <si>
    <t>CUST-200682</t>
  </si>
  <si>
    <t>CUST-200683</t>
  </si>
  <si>
    <t>CUST-200684</t>
  </si>
  <si>
    <t>CUST-200685</t>
  </si>
  <si>
    <t>CUST-200686</t>
  </si>
  <si>
    <t>CUST-200687</t>
  </si>
  <si>
    <t>CUST-200688</t>
  </si>
  <si>
    <t>CUST-200689</t>
  </si>
  <si>
    <t>CUST-200690</t>
  </si>
  <si>
    <t>CUST-200691</t>
  </si>
  <si>
    <t>CUST-200692</t>
  </si>
  <si>
    <t>CUST-200693</t>
  </si>
  <si>
    <t>CUST-200694</t>
  </si>
  <si>
    <t>CUST-200695</t>
  </si>
  <si>
    <t>CUST-200696</t>
  </si>
  <si>
    <t>CUST-200697</t>
  </si>
  <si>
    <t>CUST-200698</t>
  </si>
  <si>
    <t>CUST-200699</t>
  </si>
  <si>
    <t>CUST-200700</t>
  </si>
  <si>
    <t>CUST-200701</t>
  </si>
  <si>
    <t>CUST-200702</t>
  </si>
  <si>
    <t>CUST-200703</t>
  </si>
  <si>
    <t>CUST-200704</t>
  </si>
  <si>
    <t>CUST-200705</t>
  </si>
  <si>
    <t>CUST-200706</t>
  </si>
  <si>
    <t>CUST-200707</t>
  </si>
  <si>
    <t>CUST-200708</t>
  </si>
  <si>
    <t>CUST-200709</t>
  </si>
  <si>
    <t>CUST-200710</t>
  </si>
  <si>
    <t>CUST-200711</t>
  </si>
  <si>
    <t>CUST-200712</t>
  </si>
  <si>
    <t>CUST-200713</t>
  </si>
  <si>
    <t>CUST-200714</t>
  </si>
  <si>
    <t>CUST-200715</t>
  </si>
  <si>
    <t>CUST-200716</t>
  </si>
  <si>
    <t>CUST-200717</t>
  </si>
  <si>
    <t>CUST-200718</t>
  </si>
  <si>
    <t>CUST-200719</t>
  </si>
  <si>
    <t>CUST-200720</t>
  </si>
  <si>
    <t>CUST-200721</t>
  </si>
  <si>
    <t>CUST-200722</t>
  </si>
  <si>
    <t>CUST-200723</t>
  </si>
  <si>
    <t>CUST-200724</t>
  </si>
  <si>
    <t>CUST-200725</t>
  </si>
  <si>
    <t>CUST-200726</t>
  </si>
  <si>
    <t>CUST-200727</t>
  </si>
  <si>
    <t>CUST-200728</t>
  </si>
  <si>
    <t>CUST-200729</t>
  </si>
  <si>
    <t>CUST-200730</t>
  </si>
  <si>
    <t>CUST-200731</t>
  </si>
  <si>
    <t>CUST-200732</t>
  </si>
  <si>
    <t>CUST-200733</t>
  </si>
  <si>
    <t>CUST-200734</t>
  </si>
  <si>
    <t>CUST-200735</t>
  </si>
  <si>
    <t>CUST-200736</t>
  </si>
  <si>
    <t>CUST-200737</t>
  </si>
  <si>
    <t>CUST-200738</t>
  </si>
  <si>
    <t>CUST-200739</t>
  </si>
  <si>
    <t>CUST-200740</t>
  </si>
  <si>
    <t>CUST-200741</t>
  </si>
  <si>
    <t>CUST-200742</t>
  </si>
  <si>
    <t>CUST-200743</t>
  </si>
  <si>
    <t>CUST-200744</t>
  </si>
  <si>
    <t>CUST-200745</t>
  </si>
  <si>
    <t>CUST-200746</t>
  </si>
  <si>
    <t>CUST-200747</t>
  </si>
  <si>
    <t>CUST-200748</t>
  </si>
  <si>
    <t>CUST-200749</t>
  </si>
  <si>
    <t>CUST-200750</t>
  </si>
  <si>
    <t>CUST-200751</t>
  </si>
  <si>
    <t>CUST-200752</t>
  </si>
  <si>
    <t>CUST-200753</t>
  </si>
  <si>
    <t>CUST-200754</t>
  </si>
  <si>
    <t>CUST-200755</t>
  </si>
  <si>
    <t>CUST-200756</t>
  </si>
  <si>
    <t>CUST-200757</t>
  </si>
  <si>
    <t>CUST-200758</t>
  </si>
  <si>
    <t>CUST-200759</t>
  </si>
  <si>
    <t>CUST-200760</t>
  </si>
  <si>
    <t>CUST-200761</t>
  </si>
  <si>
    <t>CUST-200762</t>
  </si>
  <si>
    <t>CUST-200763</t>
  </si>
  <si>
    <t>CUST-200764</t>
  </si>
  <si>
    <t>CUST-200765</t>
  </si>
  <si>
    <t>CUST-200766</t>
  </si>
  <si>
    <t>CUST-200767</t>
  </si>
  <si>
    <t>CUST-200768</t>
  </si>
  <si>
    <t>CUST-200769</t>
  </si>
  <si>
    <t>CUST-200770</t>
  </si>
  <si>
    <t>CUST-200771</t>
  </si>
  <si>
    <t>CUST-200772</t>
  </si>
  <si>
    <t>CUST-200773</t>
  </si>
  <si>
    <t>CUST-200774</t>
  </si>
  <si>
    <t>CUST-200775</t>
  </si>
  <si>
    <t>CUST-200776</t>
  </si>
  <si>
    <t>CUST-200777</t>
  </si>
  <si>
    <t>CUST-200778</t>
  </si>
  <si>
    <t>CUST-200779</t>
  </si>
  <si>
    <t>CUST-200780</t>
  </si>
  <si>
    <t>CUST-200781</t>
  </si>
  <si>
    <t>CUST-200782</t>
  </si>
  <si>
    <t>CUST-200783</t>
  </si>
  <si>
    <t>CUST-200784</t>
  </si>
  <si>
    <t>CUST-200785</t>
  </si>
  <si>
    <t>CUST-200786</t>
  </si>
  <si>
    <t>CUST-200787</t>
  </si>
  <si>
    <t>CUST-200788</t>
  </si>
  <si>
    <t>CUST-200789</t>
  </si>
  <si>
    <t>CUST-200790</t>
  </si>
  <si>
    <t>CUST-200791</t>
  </si>
  <si>
    <t>CUST-200792</t>
  </si>
  <si>
    <t>CUST-200793</t>
  </si>
  <si>
    <t>CUST-200794</t>
  </si>
  <si>
    <t>CUST-200795</t>
  </si>
  <si>
    <t>CUST-200796</t>
  </si>
  <si>
    <t>CUST-200797</t>
  </si>
  <si>
    <t>CUST-200798</t>
  </si>
  <si>
    <t>CUST-200799</t>
  </si>
  <si>
    <t>CUST-200800</t>
  </si>
  <si>
    <t>CUST-200801</t>
  </si>
  <si>
    <t>CUST-200802</t>
  </si>
  <si>
    <t>CUST-200803</t>
  </si>
  <si>
    <t>CUST-200804</t>
  </si>
  <si>
    <t>CUST-200805</t>
  </si>
  <si>
    <t>CUST-200806</t>
  </si>
  <si>
    <t>CUST-200807</t>
  </si>
  <si>
    <t>CUST-200808</t>
  </si>
  <si>
    <t>CUST-200809</t>
  </si>
  <si>
    <t>CUST-200810</t>
  </si>
  <si>
    <t>CUST-200811</t>
  </si>
  <si>
    <t>CUST-200812</t>
  </si>
  <si>
    <t>CUST-200813</t>
  </si>
  <si>
    <t>CUST-200814</t>
  </si>
  <si>
    <t>CUST-200815</t>
  </si>
  <si>
    <t>CUST-200816</t>
  </si>
  <si>
    <t>CUST-200817</t>
  </si>
  <si>
    <t>CUST-200818</t>
  </si>
  <si>
    <t>CUST-200819</t>
  </si>
  <si>
    <t>CUST-200820</t>
  </si>
  <si>
    <t>CUST-200821</t>
  </si>
  <si>
    <t>CUST-200822</t>
  </si>
  <si>
    <t>CUST-200823</t>
  </si>
  <si>
    <t>CUST-200824</t>
  </si>
  <si>
    <t>CUST-200825</t>
  </si>
  <si>
    <t>CUST-200826</t>
  </si>
  <si>
    <t>CUST-200827</t>
  </si>
  <si>
    <t>CUST-200828</t>
  </si>
  <si>
    <t>CUST-200829</t>
  </si>
  <si>
    <t>CUST-200830</t>
  </si>
  <si>
    <t>CUST-200831</t>
  </si>
  <si>
    <t>CUST-200832</t>
  </si>
  <si>
    <t>CUST-200833</t>
  </si>
  <si>
    <t>CUST-200834</t>
  </si>
  <si>
    <t>CUST-200835</t>
  </si>
  <si>
    <t>CUST-200836</t>
  </si>
  <si>
    <t>CUST-200837</t>
  </si>
  <si>
    <t>CUST-200838</t>
  </si>
  <si>
    <t>CUST-200839</t>
  </si>
  <si>
    <t>CUST-200840</t>
  </si>
  <si>
    <t>CUST-200841</t>
  </si>
  <si>
    <t>CUST-200842</t>
  </si>
  <si>
    <t>CUST-200843</t>
  </si>
  <si>
    <t>CUST-200844</t>
  </si>
  <si>
    <t>CUST-200845</t>
  </si>
  <si>
    <t>CUST-200846</t>
  </si>
  <si>
    <t>CUST-200847</t>
  </si>
  <si>
    <t>CUST-200848</t>
  </si>
  <si>
    <t>CUST-200849</t>
  </si>
  <si>
    <t>CUST-200850</t>
  </si>
  <si>
    <t>CUST-200851</t>
  </si>
  <si>
    <t>CUST-200852</t>
  </si>
  <si>
    <t>CUST-200853</t>
  </si>
  <si>
    <t>CUST-200854</t>
  </si>
  <si>
    <t>CUST-200855</t>
  </si>
  <si>
    <t>CUST-200856</t>
  </si>
  <si>
    <t>CUST-200857</t>
  </si>
  <si>
    <t>CUST-200858</t>
  </si>
  <si>
    <t>CUST-200859</t>
  </si>
  <si>
    <t>CUST-200860</t>
  </si>
  <si>
    <t>CUST-200861</t>
  </si>
  <si>
    <t>CUST-200862</t>
  </si>
  <si>
    <t>CUST-200863</t>
  </si>
  <si>
    <t>CUST-200864</t>
  </si>
  <si>
    <t>CUST-200865</t>
  </si>
  <si>
    <t>CUST-200866</t>
  </si>
  <si>
    <t>CUST-200867</t>
  </si>
  <si>
    <t>CUST-200868</t>
  </si>
  <si>
    <t>CUST-200869</t>
  </si>
  <si>
    <t>CUST-200870</t>
  </si>
  <si>
    <t>CUST-200871</t>
  </si>
  <si>
    <t>CUST-200872</t>
  </si>
  <si>
    <t>CUST-200873</t>
  </si>
  <si>
    <t>CUST-200874</t>
  </si>
  <si>
    <t>CUST-200875</t>
  </si>
  <si>
    <t>CUST-200876</t>
  </si>
  <si>
    <t>CUST-200877</t>
  </si>
  <si>
    <t>CUST-200878</t>
  </si>
  <si>
    <t>CUST-200879</t>
  </si>
  <si>
    <t>CUST-200880</t>
  </si>
  <si>
    <t>CUST-200881</t>
  </si>
  <si>
    <t>CUST-200882</t>
  </si>
  <si>
    <t>CUST-200883</t>
  </si>
  <si>
    <t>CUST-200884</t>
  </si>
  <si>
    <t>CUST-200885</t>
  </si>
  <si>
    <t>CUST-200886</t>
  </si>
  <si>
    <t>CUST-200887</t>
  </si>
  <si>
    <t>CUST-200888</t>
  </si>
  <si>
    <t>CUST-200889</t>
  </si>
  <si>
    <t>CUST-200890</t>
  </si>
  <si>
    <t>CUST-200891</t>
  </si>
  <si>
    <t>CUST-200892</t>
  </si>
  <si>
    <t>CUST-200893</t>
  </si>
  <si>
    <t>CUST-200894</t>
  </si>
  <si>
    <t>CUST-200895</t>
  </si>
  <si>
    <t>CUST-200896</t>
  </si>
  <si>
    <t>CUST-200897</t>
  </si>
  <si>
    <t>CUST-200898</t>
  </si>
  <si>
    <t>CUST-200899</t>
  </si>
  <si>
    <t>CUST-200900</t>
  </si>
  <si>
    <t>CUST-200901</t>
  </si>
  <si>
    <t>CUST-200902</t>
  </si>
  <si>
    <t>CUST-200903</t>
  </si>
  <si>
    <t>CUST-200904</t>
  </si>
  <si>
    <t>CUST-200905</t>
  </si>
  <si>
    <t>CUST-200906</t>
  </si>
  <si>
    <t>CUST-200907</t>
  </si>
  <si>
    <t>CUST-200908</t>
  </si>
  <si>
    <t>CUST-200909</t>
  </si>
  <si>
    <t>CUST-200910</t>
  </si>
  <si>
    <t>CUST-200911</t>
  </si>
  <si>
    <t>CUST-200912</t>
  </si>
  <si>
    <t>CUST-200913</t>
  </si>
  <si>
    <t>CUST-200914</t>
  </si>
  <si>
    <t>CUST-200915</t>
  </si>
  <si>
    <t>CUST-200916</t>
  </si>
  <si>
    <t>CUST-200917</t>
  </si>
  <si>
    <t>CUST-200918</t>
  </si>
  <si>
    <t>CUST-200919</t>
  </si>
  <si>
    <t>CUST-200920</t>
  </si>
  <si>
    <t>CUST-200921</t>
  </si>
  <si>
    <t>CUST-200922</t>
  </si>
  <si>
    <t>CUST-200923</t>
  </si>
  <si>
    <t>CUST-200924</t>
  </si>
  <si>
    <t>CUST-200925</t>
  </si>
  <si>
    <t>CUST-200926</t>
  </si>
  <si>
    <t>CUST-200927</t>
  </si>
  <si>
    <t>CUST-200928</t>
  </si>
  <si>
    <t>CUST-200929</t>
  </si>
  <si>
    <t>CUST-200930</t>
  </si>
  <si>
    <t>CUST-200931</t>
  </si>
  <si>
    <t>CUST-200932</t>
  </si>
  <si>
    <t>CUST-200933</t>
  </si>
  <si>
    <t>CUST-200934</t>
  </si>
  <si>
    <t>CUST-200935</t>
  </si>
  <si>
    <t>CUST-200936</t>
  </si>
  <si>
    <t>CUST-200937</t>
  </si>
  <si>
    <t>CUST-200938</t>
  </si>
  <si>
    <t>CUST-200939</t>
  </si>
  <si>
    <t>CUST-200940</t>
  </si>
  <si>
    <t>CUST-200941</t>
  </si>
  <si>
    <t>CUST-200942</t>
  </si>
  <si>
    <t>CUST-200943</t>
  </si>
  <si>
    <t>CUST-200944</t>
  </si>
  <si>
    <t>CUST-200945</t>
  </si>
  <si>
    <t>CUST-200946</t>
  </si>
  <si>
    <t>CUST-200947</t>
  </si>
  <si>
    <t>CUST-200948</t>
  </si>
  <si>
    <t>CUST-200949</t>
  </si>
  <si>
    <t>CUST-200950</t>
  </si>
  <si>
    <t>CUST-200951</t>
  </si>
  <si>
    <t>CUST-200952</t>
  </si>
  <si>
    <t>CUST-200953</t>
  </si>
  <si>
    <t>CUST-200954</t>
  </si>
  <si>
    <t>CUST-200955</t>
  </si>
  <si>
    <t>CUST-200956</t>
  </si>
  <si>
    <t>CUST-200957</t>
  </si>
  <si>
    <t>CUST-200958</t>
  </si>
  <si>
    <t>CUST-200959</t>
  </si>
  <si>
    <t>CUST-200960</t>
  </si>
  <si>
    <t>CUST-200961</t>
  </si>
  <si>
    <t>CUST-200962</t>
  </si>
  <si>
    <t>CUST-200963</t>
  </si>
  <si>
    <t>CUST-200964</t>
  </si>
  <si>
    <t>CUST-200965</t>
  </si>
  <si>
    <t>CUST-200966</t>
  </si>
  <si>
    <t>CUST-200967</t>
  </si>
  <si>
    <t>CUST-200968</t>
  </si>
  <si>
    <t>CUST-200969</t>
  </si>
  <si>
    <t>CUST-200970</t>
  </si>
  <si>
    <t>CUST-200971</t>
  </si>
  <si>
    <t>CUST-200972</t>
  </si>
  <si>
    <t>CUST-200973</t>
  </si>
  <si>
    <t>CUST-200974</t>
  </si>
  <si>
    <t>CUST-200975</t>
  </si>
  <si>
    <t>CUST-200976</t>
  </si>
  <si>
    <t>CUST-200977</t>
  </si>
  <si>
    <t>CUST-200978</t>
  </si>
  <si>
    <t>CUST-200979</t>
  </si>
  <si>
    <t>CUST-200980</t>
  </si>
  <si>
    <t>CUST-200981</t>
  </si>
  <si>
    <t>CUST-200982</t>
  </si>
  <si>
    <t>CUST-200983</t>
  </si>
  <si>
    <t>CUST-200984</t>
  </si>
  <si>
    <t>CUST-200985</t>
  </si>
  <si>
    <t>CUST-200986</t>
  </si>
  <si>
    <t>CUST-200987</t>
  </si>
  <si>
    <t>CUST-200988</t>
  </si>
  <si>
    <t>CUST-200989</t>
  </si>
  <si>
    <t>CUST-200990</t>
  </si>
  <si>
    <t>CUST-200991</t>
  </si>
  <si>
    <t>CUST-200992</t>
  </si>
  <si>
    <t>CUST-200993</t>
  </si>
  <si>
    <t>CUST-200994</t>
  </si>
  <si>
    <t>CUST-200995</t>
  </si>
  <si>
    <t>CUST-200996</t>
  </si>
  <si>
    <t>CUST-200997</t>
  </si>
  <si>
    <t>CUST-200998</t>
  </si>
  <si>
    <t>CUST-200999</t>
  </si>
  <si>
    <t>CUST-201000</t>
  </si>
  <si>
    <t>CUST-201001</t>
  </si>
  <si>
    <t>CUST-201002</t>
  </si>
  <si>
    <t>CUST-201003</t>
  </si>
  <si>
    <t>CUST-201004</t>
  </si>
  <si>
    <t>CUST-201005</t>
  </si>
  <si>
    <t>CUST-201006</t>
  </si>
  <si>
    <t>CUST-201007</t>
  </si>
  <si>
    <t>CUST-201008</t>
  </si>
  <si>
    <t>CUST-201009</t>
  </si>
  <si>
    <t>CUST-201010</t>
  </si>
  <si>
    <t>CUST-201011</t>
  </si>
  <si>
    <t>CUST-201012</t>
  </si>
  <si>
    <t>CUST-201013</t>
  </si>
  <si>
    <t>CUST-201014</t>
  </si>
  <si>
    <t>CUST-201015</t>
  </si>
  <si>
    <t>CUST-201016</t>
  </si>
  <si>
    <t>CUST-201017</t>
  </si>
  <si>
    <t>CUST-201018</t>
  </si>
  <si>
    <t>CUST-201019</t>
  </si>
  <si>
    <t>CUST-201020</t>
  </si>
  <si>
    <t>CUST-201021</t>
  </si>
  <si>
    <t>CUST-201022</t>
  </si>
  <si>
    <t>CUST-201023</t>
  </si>
  <si>
    <t>CUST-201024</t>
  </si>
  <si>
    <t>CUST-201025</t>
  </si>
  <si>
    <t>CUST-201026</t>
  </si>
  <si>
    <t>CUST-201027</t>
  </si>
  <si>
    <t>CUST-201028</t>
  </si>
  <si>
    <t>CUST-201029</t>
  </si>
  <si>
    <t>CUST-201030</t>
  </si>
  <si>
    <t>CUST-201031</t>
  </si>
  <si>
    <t>CUST-201032</t>
  </si>
  <si>
    <t>CUST-201033</t>
  </si>
  <si>
    <t>CUST-201034</t>
  </si>
  <si>
    <t>CUST-201035</t>
  </si>
  <si>
    <t>CUST-201036</t>
  </si>
  <si>
    <t>CUST-201037</t>
  </si>
  <si>
    <t>CUST-201038</t>
  </si>
  <si>
    <t>CUST-201039</t>
  </si>
  <si>
    <t>CUST-201040</t>
  </si>
  <si>
    <t>CUST-201041</t>
  </si>
  <si>
    <t>CUST-201042</t>
  </si>
  <si>
    <t>CUST-201043</t>
  </si>
  <si>
    <t>CUST-201044</t>
  </si>
  <si>
    <t>CUST-201045</t>
  </si>
  <si>
    <t>CUST-201046</t>
  </si>
  <si>
    <t>CUST-201047</t>
  </si>
  <si>
    <t>CUST-201048</t>
  </si>
  <si>
    <t>CUST-201049</t>
  </si>
  <si>
    <t>CUST-201050</t>
  </si>
  <si>
    <t>CUST-201051</t>
  </si>
  <si>
    <t>CUST-201052</t>
  </si>
  <si>
    <t>CUST-201053</t>
  </si>
  <si>
    <t>CUST-201054</t>
  </si>
  <si>
    <t>CUST-201055</t>
  </si>
  <si>
    <t>CUST-201056</t>
  </si>
  <si>
    <t>CUST-201057</t>
  </si>
  <si>
    <t>CUST-201058</t>
  </si>
  <si>
    <t>CUST-201059</t>
  </si>
  <si>
    <t>CUST-201060</t>
  </si>
  <si>
    <t>CUST-201061</t>
  </si>
  <si>
    <t>CUST-201062</t>
  </si>
  <si>
    <t>CUST-201063</t>
  </si>
  <si>
    <t>CUST-201064</t>
  </si>
  <si>
    <t>CUST-201065</t>
  </si>
  <si>
    <t>CUST-201066</t>
  </si>
  <si>
    <t>CUST-201067</t>
  </si>
  <si>
    <t>CUST-201068</t>
  </si>
  <si>
    <t>CUST-201069</t>
  </si>
  <si>
    <t>CUST-201070</t>
  </si>
  <si>
    <t>CUST-201071</t>
  </si>
  <si>
    <t>CUST-201072</t>
  </si>
  <si>
    <t>CUST-201073</t>
  </si>
  <si>
    <t>CUST-201074</t>
  </si>
  <si>
    <t>CUST-201075</t>
  </si>
  <si>
    <t>CUST-201076</t>
  </si>
  <si>
    <t>CUST-201077</t>
  </si>
  <si>
    <t>CUST-201078</t>
  </si>
  <si>
    <t>CUST-201079</t>
  </si>
  <si>
    <t>CUST-201080</t>
  </si>
  <si>
    <t>CUST-201081</t>
  </si>
  <si>
    <t>CUST-201082</t>
  </si>
  <si>
    <t>CUST-201083</t>
  </si>
  <si>
    <t>CUST-201084</t>
  </si>
  <si>
    <t>CUST-201085</t>
  </si>
  <si>
    <t>CUST-201086</t>
  </si>
  <si>
    <t>CUST-201087</t>
  </si>
  <si>
    <t>CUST-201088</t>
  </si>
  <si>
    <t>CUST-201089</t>
  </si>
  <si>
    <t>CUST-201090</t>
  </si>
  <si>
    <t>CUST-201091</t>
  </si>
  <si>
    <t>CUST-201092</t>
  </si>
  <si>
    <t>CUST-201093</t>
  </si>
  <si>
    <t>CUST-201094</t>
  </si>
  <si>
    <t>CUST-201095</t>
  </si>
  <si>
    <t>CUST-201096</t>
  </si>
  <si>
    <t>CUST-201097</t>
  </si>
  <si>
    <t>CUST-201098</t>
  </si>
  <si>
    <t>CUST-201099</t>
  </si>
  <si>
    <t>CUST-201100</t>
  </si>
  <si>
    <t>CUST-201101</t>
  </si>
  <si>
    <t>CUST-201102</t>
  </si>
  <si>
    <t>CUST-201103</t>
  </si>
  <si>
    <t>CUST-201104</t>
  </si>
  <si>
    <t>CUST-201105</t>
  </si>
  <si>
    <t>CUST-201106</t>
  </si>
  <si>
    <t>CUST-201107</t>
  </si>
  <si>
    <t>CUST-201108</t>
  </si>
  <si>
    <t>CUST-201109</t>
  </si>
  <si>
    <t>CUST-201110</t>
  </si>
  <si>
    <t>CUST-201111</t>
  </si>
  <si>
    <t>CUST-201112</t>
  </si>
  <si>
    <t>CUST-201113</t>
  </si>
  <si>
    <t>CUST-201114</t>
  </si>
  <si>
    <t>CUST-201115</t>
  </si>
  <si>
    <t>CUST-201116</t>
  </si>
  <si>
    <t>CUST-201117</t>
  </si>
  <si>
    <t>CUST-201118</t>
  </si>
  <si>
    <t>CUST-201119</t>
  </si>
  <si>
    <t>CUST-201120</t>
  </si>
  <si>
    <t>CUST-201121</t>
  </si>
  <si>
    <t>CUST-201122</t>
  </si>
  <si>
    <t>CUST-201123</t>
  </si>
  <si>
    <t>CUST-201124</t>
  </si>
  <si>
    <t>CUST-201125</t>
  </si>
  <si>
    <t>CUST-201126</t>
  </si>
  <si>
    <t>CUST-201127</t>
  </si>
  <si>
    <t>CUST-201128</t>
  </si>
  <si>
    <t>CUST-201129</t>
  </si>
  <si>
    <t>CUST-201130</t>
  </si>
  <si>
    <t>CUST-201131</t>
  </si>
  <si>
    <t>CUST-201132</t>
  </si>
  <si>
    <t>CUST-201133</t>
  </si>
  <si>
    <t>CUST-201134</t>
  </si>
  <si>
    <t>CUST-201135</t>
  </si>
  <si>
    <t>CUST-201136</t>
  </si>
  <si>
    <t>CUST-201137</t>
  </si>
  <si>
    <t>CUST-201138</t>
  </si>
  <si>
    <t>CUST-201139</t>
  </si>
  <si>
    <t>CUST-201140</t>
  </si>
  <si>
    <t>CUST-201141</t>
  </si>
  <si>
    <t>CUST-201142</t>
  </si>
  <si>
    <t>CUST-201143</t>
  </si>
  <si>
    <t>CUST-201144</t>
  </si>
  <si>
    <t>CUST-201145</t>
  </si>
  <si>
    <t>CUST-201146</t>
  </si>
  <si>
    <t>CUST-201147</t>
  </si>
  <si>
    <t>CUST-201148</t>
  </si>
  <si>
    <t>CUST-201149</t>
  </si>
  <si>
    <t>CUST-201150</t>
  </si>
  <si>
    <t>CUST-201151</t>
  </si>
  <si>
    <t>CUST-201152</t>
  </si>
  <si>
    <t>CUST-201153</t>
  </si>
  <si>
    <t>CUST-201154</t>
  </si>
  <si>
    <t>CUST-201155</t>
  </si>
  <si>
    <t>CUST-201156</t>
  </si>
  <si>
    <t>CUST-201157</t>
  </si>
  <si>
    <t>CUST-201158</t>
  </si>
  <si>
    <t>CUST-201159</t>
  </si>
  <si>
    <t>CUST-201160</t>
  </si>
  <si>
    <t>CUST-201161</t>
  </si>
  <si>
    <t>CUST-201162</t>
  </si>
  <si>
    <t>CUST-201163</t>
  </si>
  <si>
    <t>CUST-201164</t>
  </si>
  <si>
    <t>CUST-201165</t>
  </si>
  <si>
    <t>CUST-201166</t>
  </si>
  <si>
    <t>CUST-201167</t>
  </si>
  <si>
    <t>CUST-201168</t>
  </si>
  <si>
    <t>CUST-201169</t>
  </si>
  <si>
    <t>CUST-201170</t>
  </si>
  <si>
    <t>CUST-201171</t>
  </si>
  <si>
    <t>CUST-201172</t>
  </si>
  <si>
    <t>CUST-201173</t>
  </si>
  <si>
    <t>CUST-201174</t>
  </si>
  <si>
    <t>CUST-201175</t>
  </si>
  <si>
    <t>CUST-201176</t>
  </si>
  <si>
    <t>CUST-201177</t>
  </si>
  <si>
    <t>CUST-201178</t>
  </si>
  <si>
    <t>CUST-201179</t>
  </si>
  <si>
    <t>CUST-201180</t>
  </si>
  <si>
    <t>CUST-201181</t>
  </si>
  <si>
    <t>CUST-201182</t>
  </si>
  <si>
    <t>CUST-201183</t>
  </si>
  <si>
    <t>CUST-201184</t>
  </si>
  <si>
    <t>CUST-201185</t>
  </si>
  <si>
    <t>CUST-201186</t>
  </si>
  <si>
    <t>CUST-201187</t>
  </si>
  <si>
    <t>CUST-201188</t>
  </si>
  <si>
    <t>CUST-201189</t>
  </si>
  <si>
    <t>CUST-201190</t>
  </si>
  <si>
    <t>CUST-201191</t>
  </si>
  <si>
    <t>CUST-201192</t>
  </si>
  <si>
    <t>CUST-201193</t>
  </si>
  <si>
    <t>CUST-201194</t>
  </si>
  <si>
    <t>CUST-201195</t>
  </si>
  <si>
    <t>CUST-201196</t>
  </si>
  <si>
    <t>CUST-201197</t>
  </si>
  <si>
    <t>CUST-201198</t>
  </si>
  <si>
    <t>CUST-201199</t>
  </si>
  <si>
    <t>CUST-201200</t>
  </si>
  <si>
    <t>CUST-201201</t>
  </si>
  <si>
    <t>CUST-201202</t>
  </si>
  <si>
    <t>CUST-201203</t>
  </si>
  <si>
    <t>CUST-201204</t>
  </si>
  <si>
    <t>CUST-201205</t>
  </si>
  <si>
    <t>CUST-201206</t>
  </si>
  <si>
    <t>CUST-201207</t>
  </si>
  <si>
    <t>CUST-201208</t>
  </si>
  <si>
    <t>CUST-201209</t>
  </si>
  <si>
    <t>CUST-201210</t>
  </si>
  <si>
    <t>CUST-201211</t>
  </si>
  <si>
    <t>CUST-201212</t>
  </si>
  <si>
    <t>CUST-201213</t>
  </si>
  <si>
    <t>CUST-201214</t>
  </si>
  <si>
    <t>CUST-201215</t>
  </si>
  <si>
    <t>CUST-201216</t>
  </si>
  <si>
    <t>CUST-201217</t>
  </si>
  <si>
    <t>CUST-201218</t>
  </si>
  <si>
    <t>CUST-201219</t>
  </si>
  <si>
    <t>CUST-201220</t>
  </si>
  <si>
    <t>CUST-201221</t>
  </si>
  <si>
    <t>CUST-201222</t>
  </si>
  <si>
    <t>CUST-201223</t>
  </si>
  <si>
    <t>CUST-201224</t>
  </si>
  <si>
    <t>CUST-201225</t>
  </si>
  <si>
    <t>CUST-201226</t>
  </si>
  <si>
    <t>CUST-201227</t>
  </si>
  <si>
    <t>CUST-201228</t>
  </si>
  <si>
    <t>CUST-201229</t>
  </si>
  <si>
    <t>CUST-201230</t>
  </si>
  <si>
    <t>CUST-201231</t>
  </si>
  <si>
    <t>CUST-201232</t>
  </si>
  <si>
    <t>CUST-201233</t>
  </si>
  <si>
    <t>CUST-201234</t>
  </si>
  <si>
    <t>CUST-201235</t>
  </si>
  <si>
    <t>CUST-201236</t>
  </si>
  <si>
    <t>CUST-201237</t>
  </si>
  <si>
    <t>CUST-201238</t>
  </si>
  <si>
    <t>CUST-201239</t>
  </si>
  <si>
    <t>CUST-201240</t>
  </si>
  <si>
    <t>CUST-201241</t>
  </si>
  <si>
    <t>CUST-201242</t>
  </si>
  <si>
    <t>CUST-201243</t>
  </si>
  <si>
    <t>CUST-201244</t>
  </si>
  <si>
    <t>CUST-201245</t>
  </si>
  <si>
    <t>CUST-201246</t>
  </si>
  <si>
    <t>CUST-201247</t>
  </si>
  <si>
    <t>CUST-201248</t>
  </si>
  <si>
    <t>CUST-201249</t>
  </si>
  <si>
    <t>CUST-201250</t>
  </si>
  <si>
    <t>CUST-201251</t>
  </si>
  <si>
    <t>CUST-201252</t>
  </si>
  <si>
    <t>CUST-201253</t>
  </si>
  <si>
    <t>CUST-201254</t>
  </si>
  <si>
    <t>CUST-201255</t>
  </si>
  <si>
    <t>CUST-201256</t>
  </si>
  <si>
    <t>CUST-201257</t>
  </si>
  <si>
    <t>CUST-201258</t>
  </si>
  <si>
    <t>CUST-201259</t>
  </si>
  <si>
    <t>CUST-201260</t>
  </si>
  <si>
    <t>CUST-201261</t>
  </si>
  <si>
    <t>CUST-201262</t>
  </si>
  <si>
    <t>CUST-201263</t>
  </si>
  <si>
    <t>CUST-201264</t>
  </si>
  <si>
    <t>CUST-201265</t>
  </si>
  <si>
    <t>CUST-201266</t>
  </si>
  <si>
    <t>CUST-201267</t>
  </si>
  <si>
    <t>CUST-201268</t>
  </si>
  <si>
    <t>CUST-201269</t>
  </si>
  <si>
    <t>CUST-201270</t>
  </si>
  <si>
    <t>CUST-201271</t>
  </si>
  <si>
    <t>CUST-201272</t>
  </si>
  <si>
    <t>CUST-201273</t>
  </si>
  <si>
    <t>CUST-201274</t>
  </si>
  <si>
    <t>CUST-201275</t>
  </si>
  <si>
    <t>CUST-201276</t>
  </si>
  <si>
    <t>CUST-201277</t>
  </si>
  <si>
    <t>CUST-201278</t>
  </si>
  <si>
    <t>CUST-201279</t>
  </si>
  <si>
    <t>CUST-201280</t>
  </si>
  <si>
    <t>CUST-201281</t>
  </si>
  <si>
    <t>CUST-201282</t>
  </si>
  <si>
    <t>CUST-201283</t>
  </si>
  <si>
    <t>CUST-201284</t>
  </si>
  <si>
    <t>CUST-201285</t>
  </si>
  <si>
    <t>CUST-201286</t>
  </si>
  <si>
    <t>CUST-201287</t>
  </si>
  <si>
    <t>CUST-201288</t>
  </si>
  <si>
    <t>CUST-201289</t>
  </si>
  <si>
    <t>CUST-201290</t>
  </si>
  <si>
    <t>CUST-201291</t>
  </si>
  <si>
    <t>CUST-201292</t>
  </si>
  <si>
    <t>CUST-201293</t>
  </si>
  <si>
    <t>CUST-201294</t>
  </si>
  <si>
    <t>CUST-201295</t>
  </si>
  <si>
    <t>CUST-201296</t>
  </si>
  <si>
    <t>CUST-201297</t>
  </si>
  <si>
    <t>CUST-201298</t>
  </si>
  <si>
    <t>CUST-201299</t>
  </si>
  <si>
    <t>CUST-201300</t>
  </si>
  <si>
    <t>CUST-201301</t>
  </si>
  <si>
    <t>CUST-201302</t>
  </si>
  <si>
    <t>CUST-201303</t>
  </si>
  <si>
    <t>CUST-201304</t>
  </si>
  <si>
    <t>CUST-201305</t>
  </si>
  <si>
    <t>CUST-201306</t>
  </si>
  <si>
    <t>CUST-201307</t>
  </si>
  <si>
    <t>CUST-201308</t>
  </si>
  <si>
    <t>CUST-201309</t>
  </si>
  <si>
    <t>CUST-201310</t>
  </si>
  <si>
    <t>CUST-201311</t>
  </si>
  <si>
    <t>CUST-201312</t>
  </si>
  <si>
    <t>CUST-201313</t>
  </si>
  <si>
    <t>CUST-201314</t>
  </si>
  <si>
    <t>CUST-201315</t>
  </si>
  <si>
    <t>CUST-201316</t>
  </si>
  <si>
    <t>CUST-201317</t>
  </si>
  <si>
    <t>CUST-201318</t>
  </si>
  <si>
    <t>CUST-201319</t>
  </si>
  <si>
    <t>CUST-201320</t>
  </si>
  <si>
    <t>CUST-201321</t>
  </si>
  <si>
    <t>CUST-201322</t>
  </si>
  <si>
    <t>CUST-201323</t>
  </si>
  <si>
    <t>CUST-201324</t>
  </si>
  <si>
    <t>CUST-201325</t>
  </si>
  <si>
    <t>CUST-201326</t>
  </si>
  <si>
    <t>CUST-201327</t>
  </si>
  <si>
    <t>CUST-201328</t>
  </si>
  <si>
    <t>CUST-201329</t>
  </si>
  <si>
    <t>CUST-201330</t>
  </si>
  <si>
    <t>CUST-201331</t>
  </si>
  <si>
    <t>CUST-201332</t>
  </si>
  <si>
    <t>CUST-201333</t>
  </si>
  <si>
    <t>CUST-201334</t>
  </si>
  <si>
    <t>CUST-201335</t>
  </si>
  <si>
    <t>CUST-201336</t>
  </si>
  <si>
    <t>CUST-201337</t>
  </si>
  <si>
    <t>CUST-201338</t>
  </si>
  <si>
    <t>CUST-201339</t>
  </si>
  <si>
    <t>CUST-201340</t>
  </si>
  <si>
    <t>CUST-201341</t>
  </si>
  <si>
    <t>CUST-201342</t>
  </si>
  <si>
    <t>CUST-201343</t>
  </si>
  <si>
    <t>CUST-201344</t>
  </si>
  <si>
    <t>CUST-201345</t>
  </si>
  <si>
    <t>CUST-201346</t>
  </si>
  <si>
    <t>CUST-201347</t>
  </si>
  <si>
    <t>CUST-201348</t>
  </si>
  <si>
    <t>CUST-201349</t>
  </si>
  <si>
    <t>CUST-201350</t>
  </si>
  <si>
    <t>CUST-201351</t>
  </si>
  <si>
    <t>CUST-201352</t>
  </si>
  <si>
    <t>CUST-201353</t>
  </si>
  <si>
    <t>CUST-201354</t>
  </si>
  <si>
    <t>CUST-201355</t>
  </si>
  <si>
    <t>CUST-201356</t>
  </si>
  <si>
    <t>CUST-201357</t>
  </si>
  <si>
    <t>CUST-201358</t>
  </si>
  <si>
    <t>CUST-201359</t>
  </si>
  <si>
    <t>CUST-201360</t>
  </si>
  <si>
    <t>CUST-201361</t>
  </si>
  <si>
    <t>CUST-201362</t>
  </si>
  <si>
    <t>CUST-201363</t>
  </si>
  <si>
    <t>CUST-201364</t>
  </si>
  <si>
    <t>CUST-201365</t>
  </si>
  <si>
    <t>CUST-201366</t>
  </si>
  <si>
    <t>CUST-201367</t>
  </si>
  <si>
    <t>CUST-201368</t>
  </si>
  <si>
    <t>CUST-201369</t>
  </si>
  <si>
    <t>CUST-201370</t>
  </si>
  <si>
    <t>CUST-201371</t>
  </si>
  <si>
    <t>CUST-201372</t>
  </si>
  <si>
    <t>CUST-201373</t>
  </si>
  <si>
    <t>CUST-201374</t>
  </si>
  <si>
    <t>CUST-201375</t>
  </si>
  <si>
    <t>CUST-201376</t>
  </si>
  <si>
    <t>CUST-201377</t>
  </si>
  <si>
    <t>CUST-201378</t>
  </si>
  <si>
    <t>CUST-201379</t>
  </si>
  <si>
    <t>CUST-201380</t>
  </si>
  <si>
    <t>CUST-201381</t>
  </si>
  <si>
    <t>CUST-201382</t>
  </si>
  <si>
    <t>CUST-201383</t>
  </si>
  <si>
    <t>CUST-201384</t>
  </si>
  <si>
    <t>CUST-201385</t>
  </si>
  <si>
    <t>CUST-201386</t>
  </si>
  <si>
    <t>CUST-201387</t>
  </si>
  <si>
    <t>CUST-201388</t>
  </si>
  <si>
    <t>CUST-201389</t>
  </si>
  <si>
    <t>CUST-201390</t>
  </si>
  <si>
    <t>CUST-201391</t>
  </si>
  <si>
    <t>CUST-201392</t>
  </si>
  <si>
    <t>CUST-201393</t>
  </si>
  <si>
    <t>CUST-201394</t>
  </si>
  <si>
    <t>CUST-201395</t>
  </si>
  <si>
    <t>CUST-201396</t>
  </si>
  <si>
    <t>CUST-201397</t>
  </si>
  <si>
    <t>CUST-201398</t>
  </si>
  <si>
    <t>CUST-201399</t>
  </si>
  <si>
    <t>CUST-201400</t>
  </si>
  <si>
    <t>CUST-201401</t>
  </si>
  <si>
    <t>CUST-201402</t>
  </si>
  <si>
    <t>CUST-201403</t>
  </si>
  <si>
    <t>CUST-201404</t>
  </si>
  <si>
    <t>CUST-201405</t>
  </si>
  <si>
    <t>CUST-201406</t>
  </si>
  <si>
    <t>CUST-201407</t>
  </si>
  <si>
    <t>CUST-201408</t>
  </si>
  <si>
    <t>CUST-201409</t>
  </si>
  <si>
    <t>CUST-201410</t>
  </si>
  <si>
    <t>CUST-201411</t>
  </si>
  <si>
    <t>CUST-201412</t>
  </si>
  <si>
    <t>CUST-201413</t>
  </si>
  <si>
    <t>CUST-201414</t>
  </si>
  <si>
    <t>CUST-201415</t>
  </si>
  <si>
    <t>CUST-201416</t>
  </si>
  <si>
    <t>CUST-201417</t>
  </si>
  <si>
    <t>CUST-201418</t>
  </si>
  <si>
    <t>CUST-201419</t>
  </si>
  <si>
    <t>CUST-201420</t>
  </si>
  <si>
    <t>CUST-201421</t>
  </si>
  <si>
    <t>CUST-201422</t>
  </si>
  <si>
    <t>CUST-201423</t>
  </si>
  <si>
    <t>CUST-201424</t>
  </si>
  <si>
    <t>CUST-201425</t>
  </si>
  <si>
    <t>CUST-201426</t>
  </si>
  <si>
    <t>CUST-201427</t>
  </si>
  <si>
    <t>CUST-201428</t>
  </si>
  <si>
    <t>CUST-201429</t>
  </si>
  <si>
    <t>CUST-201430</t>
  </si>
  <si>
    <t>CUST-201431</t>
  </si>
  <si>
    <t>CUST-201432</t>
  </si>
  <si>
    <t>CUST-201433</t>
  </si>
  <si>
    <t>CUST-201434</t>
  </si>
  <si>
    <t>CUST-201435</t>
  </si>
  <si>
    <t>CUST-201436</t>
  </si>
  <si>
    <t>CUST-201437</t>
  </si>
  <si>
    <t>CUST-201438</t>
  </si>
  <si>
    <t>CUST-201439</t>
  </si>
  <si>
    <t>CUST-201440</t>
  </si>
  <si>
    <t>CUST-201441</t>
  </si>
  <si>
    <t>CUST-201442</t>
  </si>
  <si>
    <t>CUST-201443</t>
  </si>
  <si>
    <t>CUST-201444</t>
  </si>
  <si>
    <t>CUST-201445</t>
  </si>
  <si>
    <t>CUST-201446</t>
  </si>
  <si>
    <t>CUST-201447</t>
  </si>
  <si>
    <t>CUST-201448</t>
  </si>
  <si>
    <t>CUST-201449</t>
  </si>
  <si>
    <t>CUST-201450</t>
  </si>
  <si>
    <t>CUST-201451</t>
  </si>
  <si>
    <t>CUST-201452</t>
  </si>
  <si>
    <t>CUST-201453</t>
  </si>
  <si>
    <t>CUST-201454</t>
  </si>
  <si>
    <t>CUST-201455</t>
  </si>
  <si>
    <t>CUST-201456</t>
  </si>
  <si>
    <t>CUST-201457</t>
  </si>
  <si>
    <t>CUST-201458</t>
  </si>
  <si>
    <t>CUST-201459</t>
  </si>
  <si>
    <t>CUST-201460</t>
  </si>
  <si>
    <t>CUST-201461</t>
  </si>
  <si>
    <t>CUST-201462</t>
  </si>
  <si>
    <t>CUST-201463</t>
  </si>
  <si>
    <t>CUST-201464</t>
  </si>
  <si>
    <t>CUST-201465</t>
  </si>
  <si>
    <t>CUST-201466</t>
  </si>
  <si>
    <t>CUST-201467</t>
  </si>
  <si>
    <t>CUST-201468</t>
  </si>
  <si>
    <t>CUST-201469</t>
  </si>
  <si>
    <t>CUST-201470</t>
  </si>
  <si>
    <t>CUST-201471</t>
  </si>
  <si>
    <t>CUST-201472</t>
  </si>
  <si>
    <t>CUST-201473</t>
  </si>
  <si>
    <t>CUST-201474</t>
  </si>
  <si>
    <t>CUST-201475</t>
  </si>
  <si>
    <t>CUST-201476</t>
  </si>
  <si>
    <t>CUST-201477</t>
  </si>
  <si>
    <t>CUST-201478</t>
  </si>
  <si>
    <t>CUST-201479</t>
  </si>
  <si>
    <t>CUST-201480</t>
  </si>
  <si>
    <t>CUST-201481</t>
  </si>
  <si>
    <t>CUST-201482</t>
  </si>
  <si>
    <t>CUST-201483</t>
  </si>
  <si>
    <t>CUST-201484</t>
  </si>
  <si>
    <t>CUST-201485</t>
  </si>
  <si>
    <t>CUST-201486</t>
  </si>
  <si>
    <t>CUST-201487</t>
  </si>
  <si>
    <t>CUST-201488</t>
  </si>
  <si>
    <t>CUST-201489</t>
  </si>
  <si>
    <t>CUST-201490</t>
  </si>
  <si>
    <t>CUST-201491</t>
  </si>
  <si>
    <t>CUST-201492</t>
  </si>
  <si>
    <t>CUST-201493</t>
  </si>
  <si>
    <t>CUST-201494</t>
  </si>
  <si>
    <t>CUST-201495</t>
  </si>
  <si>
    <t>CUST-201496</t>
  </si>
  <si>
    <t>CUST-201497</t>
  </si>
  <si>
    <t>CUST-201498</t>
  </si>
  <si>
    <t>CUST-201499</t>
  </si>
  <si>
    <t>CUST-201500</t>
  </si>
  <si>
    <t>CUST-201501</t>
  </si>
  <si>
    <t>CUST-201502</t>
  </si>
  <si>
    <t>CUST-201503</t>
  </si>
  <si>
    <t>CUST-201504</t>
  </si>
  <si>
    <t>CUST-201505</t>
  </si>
  <si>
    <t>CUST-201506</t>
  </si>
  <si>
    <t>CUST-201507</t>
  </si>
  <si>
    <t>CUST-201508</t>
  </si>
  <si>
    <t>CUST-201509</t>
  </si>
  <si>
    <t>CUST-201510</t>
  </si>
  <si>
    <t>CUST-201511</t>
  </si>
  <si>
    <t>CUST-201512</t>
  </si>
  <si>
    <t>CUST-201513</t>
  </si>
  <si>
    <t>CUST-201514</t>
  </si>
  <si>
    <t>CUST-201515</t>
  </si>
  <si>
    <t>CUST-201516</t>
  </si>
  <si>
    <t>CUST-201517</t>
  </si>
  <si>
    <t>CUST-201518</t>
  </si>
  <si>
    <t>CUST-201519</t>
  </si>
  <si>
    <t>CUST-201520</t>
  </si>
  <si>
    <t>CUST-201521</t>
  </si>
  <si>
    <t>CUST-201522</t>
  </si>
  <si>
    <t>CUST-201523</t>
  </si>
  <si>
    <t>CUST-201524</t>
  </si>
  <si>
    <t>CUST-201525</t>
  </si>
  <si>
    <t>CUST-201526</t>
  </si>
  <si>
    <t>CUST-201527</t>
  </si>
  <si>
    <t>CUST-201528</t>
  </si>
  <si>
    <t>CUST-201529</t>
  </si>
  <si>
    <t>CUST-201530</t>
  </si>
  <si>
    <t>CUST-201531</t>
  </si>
  <si>
    <t>CUST-201532</t>
  </si>
  <si>
    <t>CUST-201533</t>
  </si>
  <si>
    <t>CUST-201534</t>
  </si>
  <si>
    <t>CUST-201535</t>
  </si>
  <si>
    <t>CUST-201536</t>
  </si>
  <si>
    <t>CUST-201537</t>
  </si>
  <si>
    <t>CUST-201538</t>
  </si>
  <si>
    <t>CUST-201539</t>
  </si>
  <si>
    <t>CUST-201540</t>
  </si>
  <si>
    <t>CUST-201541</t>
  </si>
  <si>
    <t>CUST-201542</t>
  </si>
  <si>
    <t>CUST-201543</t>
  </si>
  <si>
    <t>CUST-201544</t>
  </si>
  <si>
    <t>CUST-201545</t>
  </si>
  <si>
    <t>CUST-201546</t>
  </si>
  <si>
    <t>CUST-201547</t>
  </si>
  <si>
    <t>CUST-201548</t>
  </si>
  <si>
    <t>CUST-201549</t>
  </si>
  <si>
    <t>CUST-201550</t>
  </si>
  <si>
    <t>CUST-201551</t>
  </si>
  <si>
    <t>CUST-201552</t>
  </si>
  <si>
    <t>CUST-201553</t>
  </si>
  <si>
    <t>CUST-201554</t>
  </si>
  <si>
    <t>CUST-201555</t>
  </si>
  <si>
    <t>CUST-201556</t>
  </si>
  <si>
    <t>CUST-201557</t>
  </si>
  <si>
    <t>CUST-201558</t>
  </si>
  <si>
    <t>CUST-201559</t>
  </si>
  <si>
    <t>CUST-201560</t>
  </si>
  <si>
    <t>CUST-201561</t>
  </si>
  <si>
    <t>CUST-201562</t>
  </si>
  <si>
    <t>CUST-201563</t>
  </si>
  <si>
    <t>CUST-201564</t>
  </si>
  <si>
    <t>CUST-201565</t>
  </si>
  <si>
    <t>CUST-201566</t>
  </si>
  <si>
    <t>CUST-201567</t>
  </si>
  <si>
    <t>CUST-201568</t>
  </si>
  <si>
    <t>CUST-201569</t>
  </si>
  <si>
    <t>CUST-201570</t>
  </si>
  <si>
    <t>CUST-201571</t>
  </si>
  <si>
    <t>CUST-201572</t>
  </si>
  <si>
    <t>CUST-201573</t>
  </si>
  <si>
    <t>CUST-201574</t>
  </si>
  <si>
    <t>CUST-201575</t>
  </si>
  <si>
    <t>CUST-201576</t>
  </si>
  <si>
    <t>CUST-201577</t>
  </si>
  <si>
    <t>CUST-201578</t>
  </si>
  <si>
    <t>CUST-201579</t>
  </si>
  <si>
    <t>CUST-201580</t>
  </si>
  <si>
    <t>CUST-201581</t>
  </si>
  <si>
    <t>CUST-201582</t>
  </si>
  <si>
    <t>CUST-201583</t>
  </si>
  <si>
    <t>CUST-201584</t>
  </si>
  <si>
    <t>CUST-201585</t>
  </si>
  <si>
    <t>CUST-201586</t>
  </si>
  <si>
    <t>CUST-201587</t>
  </si>
  <si>
    <t>CUST-201588</t>
  </si>
  <si>
    <t>CUST-201589</t>
  </si>
  <si>
    <t>CUST-201590</t>
  </si>
  <si>
    <t>CUST-201591</t>
  </si>
  <si>
    <t>CUST-201592</t>
  </si>
  <si>
    <t>CUST-201593</t>
  </si>
  <si>
    <t>CUST-201594</t>
  </si>
  <si>
    <t>CUST-201595</t>
  </si>
  <si>
    <t>CUST-201596</t>
  </si>
  <si>
    <t>CUST-201597</t>
  </si>
  <si>
    <t>CUST-201598</t>
  </si>
  <si>
    <t>CUST-201599</t>
  </si>
  <si>
    <t>CUST-201600</t>
  </si>
  <si>
    <t>CUST-201601</t>
  </si>
  <si>
    <t>CUST-201602</t>
  </si>
  <si>
    <t>CUST-201603</t>
  </si>
  <si>
    <t>CUST-201604</t>
  </si>
  <si>
    <t>CUST-201605</t>
  </si>
  <si>
    <t>CUST-201606</t>
  </si>
  <si>
    <t>CUST-201607</t>
  </si>
  <si>
    <t>CUST-201608</t>
  </si>
  <si>
    <t>CUST-201609</t>
  </si>
  <si>
    <t>CUST-201610</t>
  </si>
  <si>
    <t>CUST-201611</t>
  </si>
  <si>
    <t>CUST-201612</t>
  </si>
  <si>
    <t>CUST-201613</t>
  </si>
  <si>
    <t>CUST-201614</t>
  </si>
  <si>
    <t>CUST-201615</t>
  </si>
  <si>
    <t>CUST-201616</t>
  </si>
  <si>
    <t>CUST-201617</t>
  </si>
  <si>
    <t>CUST-201618</t>
  </si>
  <si>
    <t>CUST-201619</t>
  </si>
  <si>
    <t>CUST-201620</t>
  </si>
  <si>
    <t>CUST-201621</t>
  </si>
  <si>
    <t>CUST-201622</t>
  </si>
  <si>
    <t>CUST-201623</t>
  </si>
  <si>
    <t>CUST-201624</t>
  </si>
  <si>
    <t>CUST-201625</t>
  </si>
  <si>
    <t>CUST-201626</t>
  </si>
  <si>
    <t>CUST-201627</t>
  </si>
  <si>
    <t>CUST-201628</t>
  </si>
  <si>
    <t>CUST-201629</t>
  </si>
  <si>
    <t>CUST-201630</t>
  </si>
  <si>
    <t>CUST-201631</t>
  </si>
  <si>
    <t>CUST-201632</t>
  </si>
  <si>
    <t>CUST-201633</t>
  </si>
  <si>
    <t>CUST-201634</t>
  </si>
  <si>
    <t>CUST-201635</t>
  </si>
  <si>
    <t>CUST-201636</t>
  </si>
  <si>
    <t>CUST-201637</t>
  </si>
  <si>
    <t>CUST-201638</t>
  </si>
  <si>
    <t>CUST-201639</t>
  </si>
  <si>
    <t>CUST-201640</t>
  </si>
  <si>
    <t>CUST-201641</t>
  </si>
  <si>
    <t>CUST-201642</t>
  </si>
  <si>
    <t>CUST-201643</t>
  </si>
  <si>
    <t>CUST-201644</t>
  </si>
  <si>
    <t>CUST-201645</t>
  </si>
  <si>
    <t>CUST-201646</t>
  </si>
  <si>
    <t>CUST-201647</t>
  </si>
  <si>
    <t>CUST-201648</t>
  </si>
  <si>
    <t>CUST-201649</t>
  </si>
  <si>
    <t>CUST-201650</t>
  </si>
  <si>
    <t>CUST-201651</t>
  </si>
  <si>
    <t>CUST-201652</t>
  </si>
  <si>
    <t>CUST-201653</t>
  </si>
  <si>
    <t>CUST-201654</t>
  </si>
  <si>
    <t>CUST-201655</t>
  </si>
  <si>
    <t>CUST-201656</t>
  </si>
  <si>
    <t>CUST-201657</t>
  </si>
  <si>
    <t>CUST-201658</t>
  </si>
  <si>
    <t>CUST-201659</t>
  </si>
  <si>
    <t>CUST-201660</t>
  </si>
  <si>
    <t>CUST-201661</t>
  </si>
  <si>
    <t>CUST-201662</t>
  </si>
  <si>
    <t>CUST-201663</t>
  </si>
  <si>
    <t>CUST-201664</t>
  </si>
  <si>
    <t>CUST-201665</t>
  </si>
  <si>
    <t>CUST-201666</t>
  </si>
  <si>
    <t>CUST-201667</t>
  </si>
  <si>
    <t>CUST-201668</t>
  </si>
  <si>
    <t>CUST-201669</t>
  </si>
  <si>
    <t>CUST-201670</t>
  </si>
  <si>
    <t>CUST-201671</t>
  </si>
  <si>
    <t>CUST-201672</t>
  </si>
  <si>
    <t>CUST-201673</t>
  </si>
  <si>
    <t>CUST-201674</t>
  </si>
  <si>
    <t>CUST-201675</t>
  </si>
  <si>
    <t>CUST-201676</t>
  </si>
  <si>
    <t>CUST-201677</t>
  </si>
  <si>
    <t>CUST-201678</t>
  </si>
  <si>
    <t>CUST-201679</t>
  </si>
  <si>
    <t>CUST-201680</t>
  </si>
  <si>
    <t>CUST-201681</t>
  </si>
  <si>
    <t>CUST-201682</t>
  </si>
  <si>
    <t>CUST-201683</t>
  </si>
  <si>
    <t>CUST-201684</t>
  </si>
  <si>
    <t>CUST-201685</t>
  </si>
  <si>
    <t>CUST-201686</t>
  </si>
  <si>
    <t>CUST-201687</t>
  </si>
  <si>
    <t>CUST-201688</t>
  </si>
  <si>
    <t>CUST-201689</t>
  </si>
  <si>
    <t>CUST-201690</t>
  </si>
  <si>
    <t>CUST-201691</t>
  </si>
  <si>
    <t>CUST-201692</t>
  </si>
  <si>
    <t>CUST-201693</t>
  </si>
  <si>
    <t>CUST-201694</t>
  </si>
  <si>
    <t>CUST-201695</t>
  </si>
  <si>
    <t>CUST-201696</t>
  </si>
  <si>
    <t>CUST-201697</t>
  </si>
  <si>
    <t>CUST-201698</t>
  </si>
  <si>
    <t>CUST-201699</t>
  </si>
  <si>
    <t>CUST-201700</t>
  </si>
  <si>
    <t>CUST-201701</t>
  </si>
  <si>
    <t>CUST-201702</t>
  </si>
  <si>
    <t>CUST-201703</t>
  </si>
  <si>
    <t>CUST-201704</t>
  </si>
  <si>
    <t>CUST-201705</t>
  </si>
  <si>
    <t>CUST-201706</t>
  </si>
  <si>
    <t>CUST-201707</t>
  </si>
  <si>
    <t>CUST-201708</t>
  </si>
  <si>
    <t>CUST-201709</t>
  </si>
  <si>
    <t>CUST-201710</t>
  </si>
  <si>
    <t>CUST-201711</t>
  </si>
  <si>
    <t>CUST-201712</t>
  </si>
  <si>
    <t>CUST-201713</t>
  </si>
  <si>
    <t>CUST-201714</t>
  </si>
  <si>
    <t>CUST-201715</t>
  </si>
  <si>
    <t>CUST-201716</t>
  </si>
  <si>
    <t>CUST-201717</t>
  </si>
  <si>
    <t>CUST-201718</t>
  </si>
  <si>
    <t>CUST-201719</t>
  </si>
  <si>
    <t>CUST-201720</t>
  </si>
  <si>
    <t>CUST-201721</t>
  </si>
  <si>
    <t>CUST-201722</t>
  </si>
  <si>
    <t>CUST-201723</t>
  </si>
  <si>
    <t>CUST-201724</t>
  </si>
  <si>
    <t>CUST-201725</t>
  </si>
  <si>
    <t>CUST-201726</t>
  </si>
  <si>
    <t>CUST-201727</t>
  </si>
  <si>
    <t>CUST-201728</t>
  </si>
  <si>
    <t>CUST-201729</t>
  </si>
  <si>
    <t>CUST-201730</t>
  </si>
  <si>
    <t>CUST-201731</t>
  </si>
  <si>
    <t>CUST-201732</t>
  </si>
  <si>
    <t>CUST-201733</t>
  </si>
  <si>
    <t>CUST-201734</t>
  </si>
  <si>
    <t>CUST-201735</t>
  </si>
  <si>
    <t>CUST-201736</t>
  </si>
  <si>
    <t>CUST-201737</t>
  </si>
  <si>
    <t>CUST-201738</t>
  </si>
  <si>
    <t>CUST-201739</t>
  </si>
  <si>
    <t>CUST-201740</t>
  </si>
  <si>
    <t>CUST-201741</t>
  </si>
  <si>
    <t>CUST-201742</t>
  </si>
  <si>
    <t>CUST-201743</t>
  </si>
  <si>
    <t>CUST-201744</t>
  </si>
  <si>
    <t>CUST-201745</t>
  </si>
  <si>
    <t>CUST-201746</t>
  </si>
  <si>
    <t>CUST-201747</t>
  </si>
  <si>
    <t>CUST-201748</t>
  </si>
  <si>
    <t>CUST-201749</t>
  </si>
  <si>
    <t>CUST-201750</t>
  </si>
  <si>
    <t>CUST-201751</t>
  </si>
  <si>
    <t>CUST-201752</t>
  </si>
  <si>
    <t>CUST-201753</t>
  </si>
  <si>
    <t>CUST-201754</t>
  </si>
  <si>
    <t>CUST-201755</t>
  </si>
  <si>
    <t>CUST-201756</t>
  </si>
  <si>
    <t>CUST-201757</t>
  </si>
  <si>
    <t>CUST-201758</t>
  </si>
  <si>
    <t>CUST-201759</t>
  </si>
  <si>
    <t>CUST-201760</t>
  </si>
  <si>
    <t>CUST-201761</t>
  </si>
  <si>
    <t>CUST-201762</t>
  </si>
  <si>
    <t>CUST-201763</t>
  </si>
  <si>
    <t>CUST-201764</t>
  </si>
  <si>
    <t>CUST-201765</t>
  </si>
  <si>
    <t>CUST-201766</t>
  </si>
  <si>
    <t>CUST-201767</t>
  </si>
  <si>
    <t>CUST-201768</t>
  </si>
  <si>
    <t>CUST-201769</t>
  </si>
  <si>
    <t>CUST-201770</t>
  </si>
  <si>
    <t>CUST-201771</t>
  </si>
  <si>
    <t>CUST-201772</t>
  </si>
  <si>
    <t>CUST-201773</t>
  </si>
  <si>
    <t>CUST-201774</t>
  </si>
  <si>
    <t>CUST-201775</t>
  </si>
  <si>
    <t>CUST-201776</t>
  </si>
  <si>
    <t>CUST-201777</t>
  </si>
  <si>
    <t>CUST-201778</t>
  </si>
  <si>
    <t>CUST-201779</t>
  </si>
  <si>
    <t>CUST-201780</t>
  </si>
  <si>
    <t>CUST-201781</t>
  </si>
  <si>
    <t>CUST-201782</t>
  </si>
  <si>
    <t>CUST-201783</t>
  </si>
  <si>
    <t>CUST-201784</t>
  </si>
  <si>
    <t>CUST-201785</t>
  </si>
  <si>
    <t>CUST-201786</t>
  </si>
  <si>
    <t>CUST-201787</t>
  </si>
  <si>
    <t>CUST-201788</t>
  </si>
  <si>
    <t>CUST-201789</t>
  </si>
  <si>
    <t>CUST-201790</t>
  </si>
  <si>
    <t>CUST-201791</t>
  </si>
  <si>
    <t>CUST-201792</t>
  </si>
  <si>
    <t>CUST-201793</t>
  </si>
  <si>
    <t>CUST-201794</t>
  </si>
  <si>
    <t>CUST-201795</t>
  </si>
  <si>
    <t>CUST-201796</t>
  </si>
  <si>
    <t>CUST-201797</t>
  </si>
  <si>
    <t>CUST-201798</t>
  </si>
  <si>
    <t>CUST-201799</t>
  </si>
  <si>
    <t>CUST-201800</t>
  </si>
  <si>
    <t>CUST-201801</t>
  </si>
  <si>
    <t>CUST-201802</t>
  </si>
  <si>
    <t>CUST-201803</t>
  </si>
  <si>
    <t>CUST-201804</t>
  </si>
  <si>
    <t>CUST-201805</t>
  </si>
  <si>
    <t>CUST-201806</t>
  </si>
  <si>
    <t>CUST-201807</t>
  </si>
  <si>
    <t>CUST-201808</t>
  </si>
  <si>
    <t>CUST-201809</t>
  </si>
  <si>
    <t>CUST-201810</t>
  </si>
  <si>
    <t>CUST-201811</t>
  </si>
  <si>
    <t>CUST-201812</t>
  </si>
  <si>
    <t>CUST-201813</t>
  </si>
  <si>
    <t>CUST-201814</t>
  </si>
  <si>
    <t>CUST-201815</t>
  </si>
  <si>
    <t>CUST-201816</t>
  </si>
  <si>
    <t>CUST-201817</t>
  </si>
  <si>
    <t>CUST-201818</t>
  </si>
  <si>
    <t>CUST-201819</t>
  </si>
  <si>
    <t>CUST-201820</t>
  </si>
  <si>
    <t>CUST-201821</t>
  </si>
  <si>
    <t>CUST-201822</t>
  </si>
  <si>
    <t>CUST-201823</t>
  </si>
  <si>
    <t>CUST-201824</t>
  </si>
  <si>
    <t>CUST-201825</t>
  </si>
  <si>
    <t>CUST-201826</t>
  </si>
  <si>
    <t>CUST-201827</t>
  </si>
  <si>
    <t>CUST-201828</t>
  </si>
  <si>
    <t>CUST-201829</t>
  </si>
  <si>
    <t>CUST-201830</t>
  </si>
  <si>
    <t>CUST-201831</t>
  </si>
  <si>
    <t>CUST-201832</t>
  </si>
  <si>
    <t>CUST-201833</t>
  </si>
  <si>
    <t>CUST-201834</t>
  </si>
  <si>
    <t>CUST-201835</t>
  </si>
  <si>
    <t>CUST-201836</t>
  </si>
  <si>
    <t>CUST-201837</t>
  </si>
  <si>
    <t>CUST-201838</t>
  </si>
  <si>
    <t>CUST-201839</t>
  </si>
  <si>
    <t>CUST-201840</t>
  </si>
  <si>
    <t>CUST-201841</t>
  </si>
  <si>
    <t>CUST-201842</t>
  </si>
  <si>
    <t>CUST-201843</t>
  </si>
  <si>
    <t>CUST-201844</t>
  </si>
  <si>
    <t>CUST-201845</t>
  </si>
  <si>
    <t>CUST-201846</t>
  </si>
  <si>
    <t>CUST-201847</t>
  </si>
  <si>
    <t>CUST-201848</t>
  </si>
  <si>
    <t>CUST-201849</t>
  </si>
  <si>
    <t>CUST-201850</t>
  </si>
  <si>
    <t>CUST-201851</t>
  </si>
  <si>
    <t>CUST-201852</t>
  </si>
  <si>
    <t>CUST-201853</t>
  </si>
  <si>
    <t>CUST-201854</t>
  </si>
  <si>
    <t>CUST-201855</t>
  </si>
  <si>
    <t>CUST-201856</t>
  </si>
  <si>
    <t>CUST-201857</t>
  </si>
  <si>
    <t>CUST-201858</t>
  </si>
  <si>
    <t>CUST-201859</t>
  </si>
  <si>
    <t>CUST-201860</t>
  </si>
  <si>
    <t>CUST-201861</t>
  </si>
  <si>
    <t>CUST-201862</t>
  </si>
  <si>
    <t>CUST-201863</t>
  </si>
  <si>
    <t>CUST-201864</t>
  </si>
  <si>
    <t>CUST-201865</t>
  </si>
  <si>
    <t>CUST-201866</t>
  </si>
  <si>
    <t>CUST-201867</t>
  </si>
  <si>
    <t>CUST-201868</t>
  </si>
  <si>
    <t>CUST-201869</t>
  </si>
  <si>
    <t>CUST-201870</t>
  </si>
  <si>
    <t>CUST-201871</t>
  </si>
  <si>
    <t>CUST-201872</t>
  </si>
  <si>
    <t>CUST-201873</t>
  </si>
  <si>
    <t>CUST-201874</t>
  </si>
  <si>
    <t>CUST-201875</t>
  </si>
  <si>
    <t>CUST-201876</t>
  </si>
  <si>
    <t>CUST-201877</t>
  </si>
  <si>
    <t>CUST-201878</t>
  </si>
  <si>
    <t>CUST-201879</t>
  </si>
  <si>
    <t>CUST-201880</t>
  </si>
  <si>
    <t>CUST-201881</t>
  </si>
  <si>
    <t>CUST-201882</t>
  </si>
  <si>
    <t>CUST-201883</t>
  </si>
  <si>
    <t>CUST-201884</t>
  </si>
  <si>
    <t>CUST-201885</t>
  </si>
  <si>
    <t>CUST-201886</t>
  </si>
  <si>
    <t>CUST-201887</t>
  </si>
  <si>
    <t>CUST-201888</t>
  </si>
  <si>
    <t>CUST-201889</t>
  </si>
  <si>
    <t>CUST-201890</t>
  </si>
  <si>
    <t>CUST-201891</t>
  </si>
  <si>
    <t>CUST-201892</t>
  </si>
  <si>
    <t>CUST-201893</t>
  </si>
  <si>
    <t>CUST-201894</t>
  </si>
  <si>
    <t>CUST-201895</t>
  </si>
  <si>
    <t>CUST-201896</t>
  </si>
  <si>
    <t>CUST-201897</t>
  </si>
  <si>
    <t>CUST-201898</t>
  </si>
  <si>
    <t>CUST-201899</t>
  </si>
  <si>
    <t>CUST-201900</t>
  </si>
  <si>
    <t>CUST-201901</t>
  </si>
  <si>
    <t>CUST-201902</t>
  </si>
  <si>
    <t>CUST-201903</t>
  </si>
  <si>
    <t>CUST-201904</t>
  </si>
  <si>
    <t>CUST-201905</t>
  </si>
  <si>
    <t>CUST-201906</t>
  </si>
  <si>
    <t>CUST-201907</t>
  </si>
  <si>
    <t>CUST-201908</t>
  </si>
  <si>
    <t>CUST-201909</t>
  </si>
  <si>
    <t>CUST-201910</t>
  </si>
  <si>
    <t>CUST-201911</t>
  </si>
  <si>
    <t>CUST-201912</t>
  </si>
  <si>
    <t>CUST-201913</t>
  </si>
  <si>
    <t>CUST-201914</t>
  </si>
  <si>
    <t>CUST-201915</t>
  </si>
  <si>
    <t>CUST-201916</t>
  </si>
  <si>
    <t>CUST-201917</t>
  </si>
  <si>
    <t>CUST-201918</t>
  </si>
  <si>
    <t>CUST-201919</t>
  </si>
  <si>
    <t>CUST-201920</t>
  </si>
  <si>
    <t>CUST-201921</t>
  </si>
  <si>
    <t>CUST-201922</t>
  </si>
  <si>
    <t>CUST-201923</t>
  </si>
  <si>
    <t>CUST-201924</t>
  </si>
  <si>
    <t>CUST-201925</t>
  </si>
  <si>
    <t>CUST-201926</t>
  </si>
  <si>
    <t>CUST-201927</t>
  </si>
  <si>
    <t>CUST-201928</t>
  </si>
  <si>
    <t>CUST-201929</t>
  </si>
  <si>
    <t>CUST-201930</t>
  </si>
  <si>
    <t>CUST-201931</t>
  </si>
  <si>
    <t>CUST-201932</t>
  </si>
  <si>
    <t>CUST-201933</t>
  </si>
  <si>
    <t>CUST-201934</t>
  </si>
  <si>
    <t>CUST-201935</t>
  </si>
  <si>
    <t>CUST-201936</t>
  </si>
  <si>
    <t>CUST-201937</t>
  </si>
  <si>
    <t>CUST-201938</t>
  </si>
  <si>
    <t>CUST-201939</t>
  </si>
  <si>
    <t>CUST-201940</t>
  </si>
  <si>
    <t>CUST-201941</t>
  </si>
  <si>
    <t>CUST-201942</t>
  </si>
  <si>
    <t>CUST-201943</t>
  </si>
  <si>
    <t>CUST-201944</t>
  </si>
  <si>
    <t>CUST-201945</t>
  </si>
  <si>
    <t>CUST-201946</t>
  </si>
  <si>
    <t>CUST-201947</t>
  </si>
  <si>
    <t>CUST-201948</t>
  </si>
  <si>
    <t>CUST-201949</t>
  </si>
  <si>
    <t>CUST-201950</t>
  </si>
  <si>
    <t>CUST-201951</t>
  </si>
  <si>
    <t>CUST-201952</t>
  </si>
  <si>
    <t>CUST-201953</t>
  </si>
  <si>
    <t>CUST-201954</t>
  </si>
  <si>
    <t>CUST-201955</t>
  </si>
  <si>
    <t>CUST-201956</t>
  </si>
  <si>
    <t>CUST-201957</t>
  </si>
  <si>
    <t>CUST-201958</t>
  </si>
  <si>
    <t>CUST-201959</t>
  </si>
  <si>
    <t>CUST-201960</t>
  </si>
  <si>
    <t>CUST-201961</t>
  </si>
  <si>
    <t>CUST-201962</t>
  </si>
  <si>
    <t>CUST-201963</t>
  </si>
  <si>
    <t>CUST-201964</t>
  </si>
  <si>
    <t>CUST-201965</t>
  </si>
  <si>
    <t>CUST-201966</t>
  </si>
  <si>
    <t>CUST-201967</t>
  </si>
  <si>
    <t>CUST-201968</t>
  </si>
  <si>
    <t>CUST-201969</t>
  </si>
  <si>
    <t>CUST-201970</t>
  </si>
  <si>
    <t>CUST-201971</t>
  </si>
  <si>
    <t>CUST-201972</t>
  </si>
  <si>
    <t>CUST-201973</t>
  </si>
  <si>
    <t>CUST-201974</t>
  </si>
  <si>
    <t>CUST-201975</t>
  </si>
  <si>
    <t>CUST-201976</t>
  </si>
  <si>
    <t>CUST-201977</t>
  </si>
  <si>
    <t>CUST-201978</t>
  </si>
  <si>
    <t>CUST-201979</t>
  </si>
  <si>
    <t>CUST-201980</t>
  </si>
  <si>
    <t>CUST-201981</t>
  </si>
  <si>
    <t>CUST-201982</t>
  </si>
  <si>
    <t>CUST-201983</t>
  </si>
  <si>
    <t>CUST-201984</t>
  </si>
  <si>
    <t>CUST-201985</t>
  </si>
  <si>
    <t>CUST-201986</t>
  </si>
  <si>
    <t>CUST-201987</t>
  </si>
  <si>
    <t>CUST-201988</t>
  </si>
  <si>
    <t>CUST-201989</t>
  </si>
  <si>
    <t>CUST-201990</t>
  </si>
  <si>
    <t>CUST-201991</t>
  </si>
  <si>
    <t>CUST-201992</t>
  </si>
  <si>
    <t>CUST-201993</t>
  </si>
  <si>
    <t>CUST-201994</t>
  </si>
  <si>
    <t>CUST-201995</t>
  </si>
  <si>
    <t>CUST-201996</t>
  </si>
  <si>
    <t>CUST-201997</t>
  </si>
  <si>
    <t>CUST-201998</t>
  </si>
  <si>
    <t>CUST-201999</t>
  </si>
  <si>
    <t>CUST-202000</t>
  </si>
  <si>
    <t>CUST-202001</t>
  </si>
  <si>
    <t>CUST-202002</t>
  </si>
  <si>
    <t>CUST-202003</t>
  </si>
  <si>
    <t>CUST-202004</t>
  </si>
  <si>
    <t>CUST-202005</t>
  </si>
  <si>
    <t>CUST-202006</t>
  </si>
  <si>
    <t>CUST-202007</t>
  </si>
  <si>
    <t>CUST-202008</t>
  </si>
  <si>
    <t>CUST-202009</t>
  </si>
  <si>
    <t>CUST-202010</t>
  </si>
  <si>
    <t>CUST-202011</t>
  </si>
  <si>
    <t>CUST-202012</t>
  </si>
  <si>
    <t>CUST-202013</t>
  </si>
  <si>
    <t>CUST-202014</t>
  </si>
  <si>
    <t>CUST-202015</t>
  </si>
  <si>
    <t>CUST-202016</t>
  </si>
  <si>
    <t>CUST-202017</t>
  </si>
  <si>
    <t>CUST-202018</t>
  </si>
  <si>
    <t>CUST-202019</t>
  </si>
  <si>
    <t>CUST-202020</t>
  </si>
  <si>
    <t>CUST-202021</t>
  </si>
  <si>
    <t>CUST-202022</t>
  </si>
  <si>
    <t>CUST-202023</t>
  </si>
  <si>
    <t>CUST-202024</t>
  </si>
  <si>
    <t>CUST-202025</t>
  </si>
  <si>
    <t>CUST-202026</t>
  </si>
  <si>
    <t>CUST-202027</t>
  </si>
  <si>
    <t>CUST-202028</t>
  </si>
  <si>
    <t>CUST-202029</t>
  </si>
  <si>
    <t>CUST-202030</t>
  </si>
  <si>
    <t>CUST-202031</t>
  </si>
  <si>
    <t>CUST-202032</t>
  </si>
  <si>
    <t>CUST-202033</t>
  </si>
  <si>
    <t>CUST-202034</t>
  </si>
  <si>
    <t>CUST-202035</t>
  </si>
  <si>
    <t>CUST-202036</t>
  </si>
  <si>
    <t>CUST-202037</t>
  </si>
  <si>
    <t>CUST-202038</t>
  </si>
  <si>
    <t>CUST-202039</t>
  </si>
  <si>
    <t>CUST-202040</t>
  </si>
  <si>
    <t>CUST-202041</t>
  </si>
  <si>
    <t>CUST-202042</t>
  </si>
  <si>
    <t>CUST-202043</t>
  </si>
  <si>
    <t>CUST-202044</t>
  </si>
  <si>
    <t>CUST-202045</t>
  </si>
  <si>
    <t>CUST-202046</t>
  </si>
  <si>
    <t>CUST-202047</t>
  </si>
  <si>
    <t>CUST-202048</t>
  </si>
  <si>
    <t>CUST-202049</t>
  </si>
  <si>
    <t>Neobank Retention Dashboard - Churn &amp; Feature Engagement</t>
  </si>
  <si>
    <t>Metric</t>
  </si>
  <si>
    <t>Value</t>
  </si>
  <si>
    <t>Customers</t>
  </si>
  <si>
    <t>Churned Customers</t>
  </si>
  <si>
    <t>Churn Rate</t>
  </si>
  <si>
    <t>Average AI Risk Score</t>
  </si>
  <si>
    <t>Average Core Feature Score</t>
  </si>
  <si>
    <t>Average App Sessions</t>
  </si>
  <si>
    <t>Average Monthly Deposits</t>
  </si>
  <si>
    <t>High Risk Customers</t>
  </si>
  <si>
    <t>Risk Band</t>
  </si>
  <si>
    <t>Avg Feature Score</t>
  </si>
  <si>
    <t>Avg Balance</t>
  </si>
  <si>
    <t>Medium</t>
  </si>
  <si>
    <t>Plan</t>
  </si>
  <si>
    <t>Avg Sessions</t>
  </si>
  <si>
    <t>Avg Risk</t>
  </si>
  <si>
    <t>Avg Deposits</t>
  </si>
  <si>
    <t>Field</t>
  </si>
  <si>
    <t>Description</t>
  </si>
  <si>
    <t>Type</t>
  </si>
  <si>
    <t>Example/Notes</t>
  </si>
  <si>
    <t>Unique customer key</t>
  </si>
  <si>
    <t>Text</t>
  </si>
  <si>
    <t>Date customer joined</t>
  </si>
  <si>
    <t>Date</t>
  </si>
  <si>
    <t>Tenure input</t>
  </si>
  <si>
    <t>All financial transactions</t>
  </si>
  <si>
    <t>Integer</t>
  </si>
  <si>
    <t>Core engagement input</t>
  </si>
  <si>
    <t>App sessions in last 30 days</t>
  </si>
  <si>
    <t>Engagement input</t>
  </si>
  <si>
    <t>Target label</t>
  </si>
  <si>
    <t>Binary</t>
  </si>
  <si>
    <t>1 means churned</t>
  </si>
  <si>
    <t>Weighted usage score</t>
  </si>
  <si>
    <t>Formula</t>
  </si>
  <si>
    <t>Derived from transactions and feature use</t>
  </si>
  <si>
    <t>AI-style risk score</t>
  </si>
  <si>
    <t>0 to 100</t>
  </si>
  <si>
    <t>Risk grouping</t>
  </si>
  <si>
    <t>High/Medium/Low</t>
  </si>
  <si>
    <t>Retention recommendation</t>
  </si>
  <si>
    <t>AI-assisted action</t>
  </si>
  <si>
    <t>Remaining room to max score</t>
  </si>
  <si>
    <t>100 -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</si>
</sst>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Band Signals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invertIfNegative val="0"/>
          <c:cat>
            <c:strRef>
              <c:f>Dashboard!$A$15:$A$17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43</c:v>
                </c:pt>
                <c:pt idx="1">
                  <c:v>397</c:v>
                </c:pt>
                <c:pt idx="2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F-4003-AC0B-A4CD8D7E3CD5}"/>
            </c:ext>
          </c:extLst>
        </c:ser>
        <c:ser>
          <c:idx val="1"/>
          <c:order val="1"/>
          <c:tx>
            <c:v>Avg Feature Score</c:v>
          </c:tx>
          <c:invertIfNegative val="0"/>
          <c:cat>
            <c:strRef>
              <c:f>Dashboard!$A$15:$A$17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Dashboard!$D$15:$D$17</c:f>
              <c:numCache>
                <c:formatCode>0.00</c:formatCode>
                <c:ptCount val="3"/>
                <c:pt idx="0">
                  <c:v>35.953488372093027</c:v>
                </c:pt>
                <c:pt idx="1">
                  <c:v>45.622166246851386</c:v>
                </c:pt>
                <c:pt idx="2">
                  <c:v>72.163354037267084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F-4003-AC0B-A4CD8D7E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Plan-Level Retention Signals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0"/>
          <c:cat>
            <c:strRef>
              <c:f>Dashboard!$A$22:$A$25</c:f>
              <c:strCache>
                <c:ptCount val="4"/>
                <c:pt idx="0">
                  <c:v>Free</c:v>
                </c:pt>
                <c:pt idx="1">
                  <c:v>Plus</c:v>
                </c:pt>
                <c:pt idx="2">
                  <c:v>Premium</c:v>
                </c:pt>
                <c:pt idx="3">
                  <c:v>Business</c:v>
                </c:pt>
              </c:strCache>
            </c:strRef>
          </c:cat>
          <c:val>
            <c:numRef>
              <c:f>Dashboard!$C$22:$C$25</c:f>
              <c:numCache>
                <c:formatCode>0.00%</c:formatCode>
                <c:ptCount val="4"/>
                <c:pt idx="0">
                  <c:v>0.44878472222222221</c:v>
                </c:pt>
                <c:pt idx="1">
                  <c:v>0.18363273453093812</c:v>
                </c:pt>
                <c:pt idx="2">
                  <c:v>0.12720848056537101</c:v>
                </c:pt>
                <c:pt idx="3">
                  <c:v>0.20175438596491227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F-4E0C-8BF6-E8BE9D406271}"/>
            </c:ext>
          </c:extLst>
        </c:ser>
        <c:ser>
          <c:idx val="1"/>
          <c:order val="1"/>
          <c:tx>
            <c:v>Avg Risk</c:v>
          </c:tx>
          <c:invertIfNegative val="0"/>
          <c:cat>
            <c:strRef>
              <c:f>Dashboard!$A$22:$A$25</c:f>
              <c:strCache>
                <c:ptCount val="4"/>
                <c:pt idx="0">
                  <c:v>Free</c:v>
                </c:pt>
                <c:pt idx="1">
                  <c:v>Plus</c:v>
                </c:pt>
                <c:pt idx="2">
                  <c:v>Premium</c:v>
                </c:pt>
                <c:pt idx="3">
                  <c:v>Business</c:v>
                </c:pt>
              </c:strCache>
            </c:strRef>
          </c:cat>
          <c:val>
            <c:numRef>
              <c:f>Dashboard!$E$22:$E$25</c:f>
              <c:numCache>
                <c:formatCode>0.00</c:formatCode>
                <c:ptCount val="4"/>
                <c:pt idx="0">
                  <c:v>29.832465277777779</c:v>
                </c:pt>
                <c:pt idx="1">
                  <c:v>14.702594810379242</c:v>
                </c:pt>
                <c:pt idx="2">
                  <c:v>11.1660777385159</c:v>
                </c:pt>
                <c:pt idx="3">
                  <c:v>15.017543859649123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F-4E0C-8BF6-E8BE9D40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10</xdr:col>
      <xdr:colOff>1028700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1028700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5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9" width="15.7265625" customWidth="1"/>
    <col min="30" max="30" width="30.7265625" customWidth="1"/>
    <col min="31" max="31" width="15.7265625" customWidth="1"/>
  </cols>
  <sheetData>
    <row r="1" spans="1:3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35">
      <c r="A2" t="s">
        <v>31</v>
      </c>
      <c r="B2" s="4">
        <v>45880</v>
      </c>
      <c r="C2" s="4">
        <v>46143</v>
      </c>
      <c r="D2" t="s">
        <v>32</v>
      </c>
      <c r="E2">
        <v>70</v>
      </c>
      <c r="F2" t="s">
        <v>33</v>
      </c>
      <c r="G2" t="s">
        <v>34</v>
      </c>
      <c r="H2" t="s">
        <v>35</v>
      </c>
      <c r="I2" t="s">
        <v>36</v>
      </c>
      <c r="J2">
        <v>8</v>
      </c>
      <c r="K2" s="5">
        <v>836.59</v>
      </c>
      <c r="L2" s="5">
        <v>121.65</v>
      </c>
      <c r="M2">
        <v>28</v>
      </c>
      <c r="N2">
        <v>12</v>
      </c>
      <c r="O2">
        <v>5</v>
      </c>
      <c r="P2">
        <v>5</v>
      </c>
      <c r="Q2">
        <v>32</v>
      </c>
      <c r="R2">
        <v>1</v>
      </c>
      <c r="S2">
        <v>0</v>
      </c>
      <c r="T2">
        <v>0</v>
      </c>
      <c r="U2">
        <v>1</v>
      </c>
      <c r="V2">
        <v>1</v>
      </c>
      <c r="W2" t="s">
        <v>37</v>
      </c>
      <c r="X2">
        <v>59</v>
      </c>
      <c r="Y2">
        <v>0</v>
      </c>
      <c r="Z2">
        <f t="shared" ref="Z2:Z65" si="0">MIN(100,ROUND((M2*1.1+N2*0.7+O2*1.2+P2*1.4+Q2*0.9+U2*8+V2*7),0))</f>
        <v>96</v>
      </c>
      <c r="AA2">
        <f t="shared" ref="AA2:AA65" si="1">IFERROR((M2+Q2)/(30+J2),0)</f>
        <v>1.5789473684210527</v>
      </c>
      <c r="AB2">
        <f t="shared" ref="AB2:AB65" si="2">ROUND(MIN(100,MAX(0,60-Z2*0.4-R2*1.5+S2*8-IF(L2&gt;1500,10,0)-X2*0.5+IF(I2="Completed",-8,8)+IF(H2="Free",6,-4))),0)</f>
        <v>0</v>
      </c>
      <c r="AC2" t="str">
        <f t="shared" ref="AC2:AC65" si="3">IF(AB2&gt;=70,"High",IF(AB2&gt;=40,"Medium","Low"))</f>
        <v>Low</v>
      </c>
      <c r="AD2" t="str">
        <f t="shared" ref="AD2:AD65" si="4">IF(AC2="High",IF(Q2&lt;5,"Re-engage with app usage offer",IF(K2&lt;100,"Deposit incentive","Retention call")),IF(AC2="Medium","Nudge core feature adoption","Upsell premium bundle"))</f>
        <v>Upsell premium bundle</v>
      </c>
      <c r="AE2">
        <f t="shared" ref="AE2:AE65" si="5">100-Z2</f>
        <v>4</v>
      </c>
    </row>
    <row r="3" spans="1:31" x14ac:dyDescent="0.35">
      <c r="A3" t="s">
        <v>38</v>
      </c>
      <c r="B3" s="4">
        <v>44732</v>
      </c>
      <c r="C3" s="4">
        <v>46143</v>
      </c>
      <c r="D3" t="s">
        <v>39</v>
      </c>
      <c r="E3">
        <v>41</v>
      </c>
      <c r="F3" t="s">
        <v>33</v>
      </c>
      <c r="G3" t="s">
        <v>40</v>
      </c>
      <c r="H3" t="s">
        <v>41</v>
      </c>
      <c r="I3" t="s">
        <v>36</v>
      </c>
      <c r="J3">
        <v>47</v>
      </c>
      <c r="K3" s="5">
        <v>447.93</v>
      </c>
      <c r="L3" s="5">
        <v>391.86</v>
      </c>
      <c r="M3">
        <v>14</v>
      </c>
      <c r="N3">
        <v>7</v>
      </c>
      <c r="O3">
        <v>3</v>
      </c>
      <c r="P3">
        <v>0</v>
      </c>
      <c r="Q3">
        <v>17</v>
      </c>
      <c r="R3">
        <v>3</v>
      </c>
      <c r="S3">
        <v>0</v>
      </c>
      <c r="T3">
        <v>1</v>
      </c>
      <c r="U3">
        <v>0</v>
      </c>
      <c r="V3">
        <v>0</v>
      </c>
      <c r="W3" t="s">
        <v>37</v>
      </c>
      <c r="X3">
        <v>13</v>
      </c>
      <c r="Y3">
        <v>1</v>
      </c>
      <c r="Z3">
        <f t="shared" si="0"/>
        <v>39</v>
      </c>
      <c r="AA3">
        <f t="shared" si="1"/>
        <v>0.40259740259740262</v>
      </c>
      <c r="AB3">
        <f t="shared" si="2"/>
        <v>31</v>
      </c>
      <c r="AC3" t="str">
        <f t="shared" si="3"/>
        <v>Low</v>
      </c>
      <c r="AD3" t="str">
        <f t="shared" si="4"/>
        <v>Upsell premium bundle</v>
      </c>
      <c r="AE3">
        <f t="shared" si="5"/>
        <v>61</v>
      </c>
    </row>
    <row r="4" spans="1:31" x14ac:dyDescent="0.35">
      <c r="A4" t="s">
        <v>42</v>
      </c>
      <c r="B4" s="4">
        <v>45259</v>
      </c>
      <c r="C4" s="4">
        <v>46143</v>
      </c>
      <c r="D4" t="s">
        <v>39</v>
      </c>
      <c r="E4">
        <v>51</v>
      </c>
      <c r="F4" t="s">
        <v>43</v>
      </c>
      <c r="G4" t="s">
        <v>34</v>
      </c>
      <c r="H4" t="s">
        <v>44</v>
      </c>
      <c r="I4" t="s">
        <v>36</v>
      </c>
      <c r="J4">
        <v>29</v>
      </c>
      <c r="K4" s="5">
        <v>119.6</v>
      </c>
      <c r="L4" s="5">
        <v>20.8</v>
      </c>
      <c r="M4">
        <v>26</v>
      </c>
      <c r="N4">
        <v>17</v>
      </c>
      <c r="O4">
        <v>3</v>
      </c>
      <c r="P4">
        <v>3</v>
      </c>
      <c r="Q4">
        <v>30</v>
      </c>
      <c r="R4">
        <v>2</v>
      </c>
      <c r="S4">
        <v>0</v>
      </c>
      <c r="T4">
        <v>0</v>
      </c>
      <c r="U4">
        <v>1</v>
      </c>
      <c r="V4">
        <v>0</v>
      </c>
      <c r="W4" t="s">
        <v>45</v>
      </c>
      <c r="X4">
        <v>-9</v>
      </c>
      <c r="Y4">
        <v>0</v>
      </c>
      <c r="Z4">
        <f t="shared" si="0"/>
        <v>83</v>
      </c>
      <c r="AA4">
        <f t="shared" si="1"/>
        <v>0.94915254237288138</v>
      </c>
      <c r="AB4">
        <f t="shared" si="2"/>
        <v>16</v>
      </c>
      <c r="AC4" t="str">
        <f t="shared" si="3"/>
        <v>Low</v>
      </c>
      <c r="AD4" t="str">
        <f t="shared" si="4"/>
        <v>Upsell premium bundle</v>
      </c>
      <c r="AE4">
        <f t="shared" si="5"/>
        <v>17</v>
      </c>
    </row>
    <row r="5" spans="1:31" x14ac:dyDescent="0.35">
      <c r="A5" t="s">
        <v>46</v>
      </c>
      <c r="B5" s="4">
        <v>44849</v>
      </c>
      <c r="C5" s="4">
        <v>46143</v>
      </c>
      <c r="D5" t="s">
        <v>47</v>
      </c>
      <c r="E5">
        <v>45</v>
      </c>
      <c r="F5" t="s">
        <v>33</v>
      </c>
      <c r="G5" t="s">
        <v>48</v>
      </c>
      <c r="H5" t="s">
        <v>41</v>
      </c>
      <c r="I5" t="s">
        <v>49</v>
      </c>
      <c r="J5">
        <v>43</v>
      </c>
      <c r="K5" s="5">
        <v>159.27000000000001</v>
      </c>
      <c r="L5" s="5">
        <v>279.81</v>
      </c>
      <c r="M5">
        <v>16</v>
      </c>
      <c r="N5">
        <v>9</v>
      </c>
      <c r="O5">
        <v>4</v>
      </c>
      <c r="P5">
        <v>3</v>
      </c>
      <c r="Q5">
        <v>13</v>
      </c>
      <c r="R5">
        <v>0</v>
      </c>
      <c r="S5">
        <v>0</v>
      </c>
      <c r="T5">
        <v>0</v>
      </c>
      <c r="U5">
        <v>0</v>
      </c>
      <c r="V5">
        <v>0</v>
      </c>
      <c r="W5" t="s">
        <v>50</v>
      </c>
      <c r="X5">
        <v>59</v>
      </c>
      <c r="Y5">
        <v>0</v>
      </c>
      <c r="Z5">
        <f t="shared" si="0"/>
        <v>45</v>
      </c>
      <c r="AA5">
        <f t="shared" si="1"/>
        <v>0.39726027397260272</v>
      </c>
      <c r="AB5">
        <f t="shared" si="2"/>
        <v>27</v>
      </c>
      <c r="AC5" t="str">
        <f t="shared" si="3"/>
        <v>Low</v>
      </c>
      <c r="AD5" t="str">
        <f t="shared" si="4"/>
        <v>Upsell premium bundle</v>
      </c>
      <c r="AE5">
        <f t="shared" si="5"/>
        <v>55</v>
      </c>
    </row>
    <row r="6" spans="1:31" x14ac:dyDescent="0.35">
      <c r="A6" t="s">
        <v>51</v>
      </c>
      <c r="B6" s="4">
        <v>45573</v>
      </c>
      <c r="C6" s="4">
        <v>46143</v>
      </c>
      <c r="D6" t="s">
        <v>47</v>
      </c>
      <c r="E6">
        <v>62</v>
      </c>
      <c r="F6" t="s">
        <v>43</v>
      </c>
      <c r="G6" t="s">
        <v>34</v>
      </c>
      <c r="H6" t="s">
        <v>41</v>
      </c>
      <c r="I6" t="s">
        <v>49</v>
      </c>
      <c r="J6">
        <v>19</v>
      </c>
      <c r="K6" s="5">
        <v>177.96</v>
      </c>
      <c r="L6" s="5">
        <v>34.35</v>
      </c>
      <c r="M6">
        <v>25</v>
      </c>
      <c r="N6">
        <v>8</v>
      </c>
      <c r="O6">
        <v>5</v>
      </c>
      <c r="P6">
        <v>2</v>
      </c>
      <c r="Q6">
        <v>23</v>
      </c>
      <c r="R6">
        <v>1</v>
      </c>
      <c r="S6">
        <v>0</v>
      </c>
      <c r="T6">
        <v>1</v>
      </c>
      <c r="U6">
        <v>0</v>
      </c>
      <c r="V6">
        <v>1</v>
      </c>
      <c r="W6" t="s">
        <v>52</v>
      </c>
      <c r="X6">
        <v>25</v>
      </c>
      <c r="Y6">
        <v>0</v>
      </c>
      <c r="Z6">
        <f t="shared" si="0"/>
        <v>70</v>
      </c>
      <c r="AA6">
        <f t="shared" si="1"/>
        <v>0.97959183673469385</v>
      </c>
      <c r="AB6">
        <f t="shared" si="2"/>
        <v>32</v>
      </c>
      <c r="AC6" t="str">
        <f t="shared" si="3"/>
        <v>Low</v>
      </c>
      <c r="AD6" t="str">
        <f t="shared" si="4"/>
        <v>Upsell premium bundle</v>
      </c>
      <c r="AE6">
        <f t="shared" si="5"/>
        <v>30</v>
      </c>
    </row>
    <row r="7" spans="1:31" x14ac:dyDescent="0.35">
      <c r="A7" t="s">
        <v>53</v>
      </c>
      <c r="B7" s="4">
        <v>45593</v>
      </c>
      <c r="C7" s="4">
        <v>46143</v>
      </c>
      <c r="D7" t="s">
        <v>32</v>
      </c>
      <c r="E7">
        <v>57</v>
      </c>
      <c r="F7" t="s">
        <v>33</v>
      </c>
      <c r="G7" t="s">
        <v>48</v>
      </c>
      <c r="H7" t="s">
        <v>35</v>
      </c>
      <c r="I7" t="s">
        <v>54</v>
      </c>
      <c r="J7">
        <v>18</v>
      </c>
      <c r="K7" s="5">
        <v>612.48</v>
      </c>
      <c r="L7" s="5">
        <v>337.18</v>
      </c>
      <c r="M7">
        <v>26</v>
      </c>
      <c r="N7">
        <v>12</v>
      </c>
      <c r="O7">
        <v>1</v>
      </c>
      <c r="P7">
        <v>4</v>
      </c>
      <c r="Q7">
        <v>14</v>
      </c>
      <c r="R7">
        <v>1</v>
      </c>
      <c r="S7">
        <v>0</v>
      </c>
      <c r="T7">
        <v>1</v>
      </c>
      <c r="U7">
        <v>1</v>
      </c>
      <c r="V7">
        <v>0</v>
      </c>
      <c r="W7" t="s">
        <v>55</v>
      </c>
      <c r="X7">
        <v>42</v>
      </c>
      <c r="Y7">
        <v>0</v>
      </c>
      <c r="Z7">
        <f t="shared" si="0"/>
        <v>64</v>
      </c>
      <c r="AA7">
        <f t="shared" si="1"/>
        <v>0.83333333333333337</v>
      </c>
      <c r="AB7">
        <f t="shared" si="2"/>
        <v>16</v>
      </c>
      <c r="AC7" t="str">
        <f t="shared" si="3"/>
        <v>Low</v>
      </c>
      <c r="AD7" t="str">
        <f t="shared" si="4"/>
        <v>Upsell premium bundle</v>
      </c>
      <c r="AE7">
        <f t="shared" si="5"/>
        <v>36</v>
      </c>
    </row>
    <row r="8" spans="1:31" x14ac:dyDescent="0.35">
      <c r="A8" t="s">
        <v>56</v>
      </c>
      <c r="B8" s="4">
        <v>45876</v>
      </c>
      <c r="C8" s="4">
        <v>46143</v>
      </c>
      <c r="D8" t="s">
        <v>32</v>
      </c>
      <c r="E8">
        <v>44</v>
      </c>
      <c r="F8" t="s">
        <v>57</v>
      </c>
      <c r="G8" t="s">
        <v>34</v>
      </c>
      <c r="H8" t="s">
        <v>58</v>
      </c>
      <c r="I8" t="s">
        <v>49</v>
      </c>
      <c r="J8">
        <v>8</v>
      </c>
      <c r="K8" s="5">
        <v>563.9</v>
      </c>
      <c r="L8" s="5">
        <v>33.97</v>
      </c>
      <c r="M8">
        <v>37</v>
      </c>
      <c r="N8">
        <v>20</v>
      </c>
      <c r="O8">
        <v>8</v>
      </c>
      <c r="P8">
        <v>7</v>
      </c>
      <c r="Q8">
        <v>27</v>
      </c>
      <c r="R8">
        <v>0</v>
      </c>
      <c r="S8">
        <v>0</v>
      </c>
      <c r="T8">
        <v>1</v>
      </c>
      <c r="U8">
        <v>1</v>
      </c>
      <c r="V8">
        <v>0</v>
      </c>
      <c r="W8" t="s">
        <v>55</v>
      </c>
      <c r="X8">
        <v>96</v>
      </c>
      <c r="Y8">
        <v>0</v>
      </c>
      <c r="Z8">
        <f t="shared" si="0"/>
        <v>100</v>
      </c>
      <c r="AA8">
        <f t="shared" si="1"/>
        <v>1.6842105263157894</v>
      </c>
      <c r="AB8">
        <f t="shared" si="2"/>
        <v>0</v>
      </c>
      <c r="AC8" t="str">
        <f t="shared" si="3"/>
        <v>Low</v>
      </c>
      <c r="AD8" t="str">
        <f t="shared" si="4"/>
        <v>Upsell premium bundle</v>
      </c>
      <c r="AE8">
        <f t="shared" si="5"/>
        <v>0</v>
      </c>
    </row>
    <row r="9" spans="1:31" x14ac:dyDescent="0.35">
      <c r="A9" t="s">
        <v>59</v>
      </c>
      <c r="B9" s="4">
        <v>45846</v>
      </c>
      <c r="C9" s="4">
        <v>46143</v>
      </c>
      <c r="D9" t="s">
        <v>60</v>
      </c>
      <c r="E9">
        <v>61</v>
      </c>
      <c r="F9" t="s">
        <v>61</v>
      </c>
      <c r="G9" t="s">
        <v>40</v>
      </c>
      <c r="H9" t="s">
        <v>44</v>
      </c>
      <c r="I9" t="s">
        <v>36</v>
      </c>
      <c r="J9">
        <v>9</v>
      </c>
      <c r="K9" s="5">
        <v>2076.8000000000002</v>
      </c>
      <c r="L9" s="5">
        <v>0</v>
      </c>
      <c r="M9">
        <v>37</v>
      </c>
      <c r="N9">
        <v>9</v>
      </c>
      <c r="O9">
        <v>2</v>
      </c>
      <c r="P9">
        <v>7</v>
      </c>
      <c r="Q9">
        <v>31</v>
      </c>
      <c r="R9">
        <v>1</v>
      </c>
      <c r="S9">
        <v>1</v>
      </c>
      <c r="T9">
        <v>1</v>
      </c>
      <c r="U9">
        <v>0</v>
      </c>
      <c r="V9">
        <v>1</v>
      </c>
      <c r="W9" t="s">
        <v>37</v>
      </c>
      <c r="X9">
        <v>38</v>
      </c>
      <c r="Y9">
        <v>0</v>
      </c>
      <c r="Z9">
        <f t="shared" si="0"/>
        <v>94</v>
      </c>
      <c r="AA9">
        <f t="shared" si="1"/>
        <v>1.7435897435897436</v>
      </c>
      <c r="AB9">
        <f t="shared" si="2"/>
        <v>0</v>
      </c>
      <c r="AC9" t="str">
        <f t="shared" si="3"/>
        <v>Low</v>
      </c>
      <c r="AD9" t="str">
        <f t="shared" si="4"/>
        <v>Upsell premium bundle</v>
      </c>
      <c r="AE9">
        <f t="shared" si="5"/>
        <v>6</v>
      </c>
    </row>
    <row r="10" spans="1:31" x14ac:dyDescent="0.35">
      <c r="A10" t="s">
        <v>62</v>
      </c>
      <c r="B10" s="4">
        <v>45456</v>
      </c>
      <c r="C10" s="4">
        <v>46143</v>
      </c>
      <c r="D10" t="s">
        <v>39</v>
      </c>
      <c r="E10">
        <v>30</v>
      </c>
      <c r="F10" t="s">
        <v>61</v>
      </c>
      <c r="G10" t="s">
        <v>63</v>
      </c>
      <c r="H10" t="s">
        <v>41</v>
      </c>
      <c r="I10" t="s">
        <v>36</v>
      </c>
      <c r="J10">
        <v>22</v>
      </c>
      <c r="K10" s="5">
        <v>2261.17</v>
      </c>
      <c r="L10" s="5">
        <v>1460.32</v>
      </c>
      <c r="M10">
        <v>15</v>
      </c>
      <c r="N10">
        <v>8</v>
      </c>
      <c r="O10">
        <v>2</v>
      </c>
      <c r="P10">
        <v>0</v>
      </c>
      <c r="Q10">
        <v>10</v>
      </c>
      <c r="R10">
        <v>0</v>
      </c>
      <c r="S10">
        <v>0</v>
      </c>
      <c r="T10">
        <v>1</v>
      </c>
      <c r="U10">
        <v>0</v>
      </c>
      <c r="V10">
        <v>1</v>
      </c>
      <c r="W10" t="s">
        <v>45</v>
      </c>
      <c r="X10">
        <v>-9</v>
      </c>
      <c r="Y10">
        <v>1</v>
      </c>
      <c r="Z10">
        <f t="shared" si="0"/>
        <v>41</v>
      </c>
      <c r="AA10">
        <f t="shared" si="1"/>
        <v>0.48076923076923078</v>
      </c>
      <c r="AB10">
        <f t="shared" si="2"/>
        <v>46</v>
      </c>
      <c r="AC10" t="str">
        <f t="shared" si="3"/>
        <v>Medium</v>
      </c>
      <c r="AD10" t="str">
        <f t="shared" si="4"/>
        <v>Nudge core feature adoption</v>
      </c>
      <c r="AE10">
        <f t="shared" si="5"/>
        <v>59</v>
      </c>
    </row>
    <row r="11" spans="1:31" x14ac:dyDescent="0.35">
      <c r="A11" t="s">
        <v>64</v>
      </c>
      <c r="B11" s="4">
        <v>45859</v>
      </c>
      <c r="C11" s="4">
        <v>46143</v>
      </c>
      <c r="D11" t="s">
        <v>60</v>
      </c>
      <c r="E11">
        <v>47</v>
      </c>
      <c r="F11" t="s">
        <v>57</v>
      </c>
      <c r="G11" t="s">
        <v>48</v>
      </c>
      <c r="H11" t="s">
        <v>41</v>
      </c>
      <c r="I11" t="s">
        <v>49</v>
      </c>
      <c r="J11">
        <v>9</v>
      </c>
      <c r="K11" s="5">
        <v>0</v>
      </c>
      <c r="L11" s="5">
        <v>951.14</v>
      </c>
      <c r="M11">
        <v>16</v>
      </c>
      <c r="N11">
        <v>6</v>
      </c>
      <c r="O11">
        <v>2</v>
      </c>
      <c r="P11">
        <v>3</v>
      </c>
      <c r="Q11">
        <v>11</v>
      </c>
      <c r="R11">
        <v>0</v>
      </c>
      <c r="S11">
        <v>0</v>
      </c>
      <c r="T11">
        <v>1</v>
      </c>
      <c r="U11">
        <v>0</v>
      </c>
      <c r="V11">
        <v>0</v>
      </c>
      <c r="W11" t="s">
        <v>50</v>
      </c>
      <c r="X11">
        <v>41</v>
      </c>
      <c r="Y11">
        <v>0</v>
      </c>
      <c r="Z11">
        <f t="shared" si="0"/>
        <v>38</v>
      </c>
      <c r="AA11">
        <f t="shared" si="1"/>
        <v>0.69230769230769229</v>
      </c>
      <c r="AB11">
        <f t="shared" si="2"/>
        <v>38</v>
      </c>
      <c r="AC11" t="str">
        <f t="shared" si="3"/>
        <v>Low</v>
      </c>
      <c r="AD11" t="str">
        <f t="shared" si="4"/>
        <v>Upsell premium bundle</v>
      </c>
      <c r="AE11">
        <f t="shared" si="5"/>
        <v>62</v>
      </c>
    </row>
    <row r="12" spans="1:31" x14ac:dyDescent="0.35">
      <c r="A12" t="s">
        <v>65</v>
      </c>
      <c r="B12" s="4">
        <v>45060</v>
      </c>
      <c r="C12" s="4">
        <v>46143</v>
      </c>
      <c r="D12" t="s">
        <v>66</v>
      </c>
      <c r="E12">
        <v>68</v>
      </c>
      <c r="F12" t="s">
        <v>33</v>
      </c>
      <c r="G12" t="s">
        <v>67</v>
      </c>
      <c r="H12" t="s">
        <v>41</v>
      </c>
      <c r="I12" t="s">
        <v>36</v>
      </c>
      <c r="J12">
        <v>36</v>
      </c>
      <c r="K12" s="5">
        <v>480.45</v>
      </c>
      <c r="L12" s="5">
        <v>0</v>
      </c>
      <c r="M12">
        <v>21</v>
      </c>
      <c r="N12">
        <v>15</v>
      </c>
      <c r="O12">
        <v>5</v>
      </c>
      <c r="P12">
        <v>2</v>
      </c>
      <c r="Q12">
        <v>20</v>
      </c>
      <c r="R12">
        <v>0</v>
      </c>
      <c r="S12">
        <v>1</v>
      </c>
      <c r="T12">
        <v>0</v>
      </c>
      <c r="U12">
        <v>0</v>
      </c>
      <c r="V12">
        <v>0</v>
      </c>
      <c r="W12" t="s">
        <v>55</v>
      </c>
      <c r="X12">
        <v>18</v>
      </c>
      <c r="Y12">
        <v>0</v>
      </c>
      <c r="Z12">
        <f t="shared" si="0"/>
        <v>60</v>
      </c>
      <c r="AA12">
        <f t="shared" si="1"/>
        <v>0.62121212121212122</v>
      </c>
      <c r="AB12">
        <f t="shared" si="2"/>
        <v>33</v>
      </c>
      <c r="AC12" t="str">
        <f t="shared" si="3"/>
        <v>Low</v>
      </c>
      <c r="AD12" t="str">
        <f t="shared" si="4"/>
        <v>Upsell premium bundle</v>
      </c>
      <c r="AE12">
        <f t="shared" si="5"/>
        <v>40</v>
      </c>
    </row>
    <row r="13" spans="1:31" x14ac:dyDescent="0.35">
      <c r="A13" t="s">
        <v>68</v>
      </c>
      <c r="B13" s="4">
        <v>45899</v>
      </c>
      <c r="C13" s="4">
        <v>46143</v>
      </c>
      <c r="D13" t="s">
        <v>32</v>
      </c>
      <c r="E13">
        <v>50</v>
      </c>
      <c r="F13" t="s">
        <v>57</v>
      </c>
      <c r="G13" t="s">
        <v>40</v>
      </c>
      <c r="H13" t="s">
        <v>41</v>
      </c>
      <c r="I13" t="s">
        <v>36</v>
      </c>
      <c r="J13">
        <v>8</v>
      </c>
      <c r="K13" s="5">
        <v>1460.51</v>
      </c>
      <c r="L13" s="5">
        <v>629.79</v>
      </c>
      <c r="M13">
        <v>1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1</v>
      </c>
      <c r="U13">
        <v>0</v>
      </c>
      <c r="V13">
        <v>0</v>
      </c>
      <c r="W13" t="s">
        <v>50</v>
      </c>
      <c r="X13">
        <v>29</v>
      </c>
      <c r="Y13">
        <v>1</v>
      </c>
      <c r="Z13">
        <f t="shared" si="0"/>
        <v>4</v>
      </c>
      <c r="AA13">
        <f t="shared" si="1"/>
        <v>0.10526315789473684</v>
      </c>
      <c r="AB13">
        <f t="shared" si="2"/>
        <v>42</v>
      </c>
      <c r="AC13" t="str">
        <f t="shared" si="3"/>
        <v>Medium</v>
      </c>
      <c r="AD13" t="str">
        <f t="shared" si="4"/>
        <v>Nudge core feature adoption</v>
      </c>
      <c r="AE13">
        <f t="shared" si="5"/>
        <v>96</v>
      </c>
    </row>
    <row r="14" spans="1:31" x14ac:dyDescent="0.35">
      <c r="A14" t="s">
        <v>69</v>
      </c>
      <c r="B14" s="4">
        <v>44919</v>
      </c>
      <c r="C14" s="4">
        <v>46143</v>
      </c>
      <c r="D14" t="s">
        <v>66</v>
      </c>
      <c r="E14">
        <v>58</v>
      </c>
      <c r="F14" t="s">
        <v>61</v>
      </c>
      <c r="G14" t="s">
        <v>34</v>
      </c>
      <c r="H14" t="s">
        <v>41</v>
      </c>
      <c r="I14" t="s">
        <v>36</v>
      </c>
      <c r="J14">
        <v>40</v>
      </c>
      <c r="K14" s="5">
        <v>3243.25</v>
      </c>
      <c r="L14" s="5">
        <v>2738.27</v>
      </c>
      <c r="M14">
        <v>19</v>
      </c>
      <c r="N14">
        <v>12</v>
      </c>
      <c r="O14">
        <v>2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 t="s">
        <v>52</v>
      </c>
      <c r="X14">
        <v>40</v>
      </c>
      <c r="Y14">
        <v>0</v>
      </c>
      <c r="Z14">
        <f t="shared" si="0"/>
        <v>32</v>
      </c>
      <c r="AA14">
        <f t="shared" si="1"/>
        <v>0.27142857142857141</v>
      </c>
      <c r="AB14">
        <f t="shared" si="2"/>
        <v>14</v>
      </c>
      <c r="AC14" t="str">
        <f t="shared" si="3"/>
        <v>Low</v>
      </c>
      <c r="AD14" t="str">
        <f t="shared" si="4"/>
        <v>Upsell premium bundle</v>
      </c>
      <c r="AE14">
        <f t="shared" si="5"/>
        <v>68</v>
      </c>
    </row>
    <row r="15" spans="1:31" x14ac:dyDescent="0.35">
      <c r="A15" t="s">
        <v>70</v>
      </c>
      <c r="B15" s="4">
        <v>46046</v>
      </c>
      <c r="C15" s="4">
        <v>46143</v>
      </c>
      <c r="D15" t="s">
        <v>39</v>
      </c>
      <c r="E15">
        <v>39</v>
      </c>
      <c r="F15" t="s">
        <v>61</v>
      </c>
      <c r="G15" t="s">
        <v>40</v>
      </c>
      <c r="H15" t="s">
        <v>41</v>
      </c>
      <c r="I15" t="s">
        <v>36</v>
      </c>
      <c r="J15">
        <v>3</v>
      </c>
      <c r="K15" s="5">
        <v>2461.75</v>
      </c>
      <c r="L15" s="5">
        <v>0</v>
      </c>
      <c r="M15">
        <v>34</v>
      </c>
      <c r="N15">
        <v>23</v>
      </c>
      <c r="O15">
        <v>7</v>
      </c>
      <c r="P15">
        <v>6</v>
      </c>
      <c r="Q15">
        <v>20</v>
      </c>
      <c r="R15">
        <v>0</v>
      </c>
      <c r="S15">
        <v>0</v>
      </c>
      <c r="T15">
        <v>1</v>
      </c>
      <c r="U15">
        <v>0</v>
      </c>
      <c r="V15">
        <v>0</v>
      </c>
      <c r="W15" t="s">
        <v>45</v>
      </c>
      <c r="X15">
        <v>79</v>
      </c>
      <c r="Y15">
        <v>0</v>
      </c>
      <c r="Z15">
        <f t="shared" si="0"/>
        <v>88</v>
      </c>
      <c r="AA15">
        <f t="shared" si="1"/>
        <v>1.6363636363636365</v>
      </c>
      <c r="AB15">
        <f t="shared" si="2"/>
        <v>0</v>
      </c>
      <c r="AC15" t="str">
        <f t="shared" si="3"/>
        <v>Low</v>
      </c>
      <c r="AD15" t="str">
        <f t="shared" si="4"/>
        <v>Upsell premium bundle</v>
      </c>
      <c r="AE15">
        <f t="shared" si="5"/>
        <v>12</v>
      </c>
    </row>
    <row r="16" spans="1:31" x14ac:dyDescent="0.35">
      <c r="A16" t="s">
        <v>71</v>
      </c>
      <c r="B16" s="4">
        <v>45515</v>
      </c>
      <c r="C16" s="4">
        <v>46143</v>
      </c>
      <c r="D16" t="s">
        <v>72</v>
      </c>
      <c r="E16">
        <v>67</v>
      </c>
      <c r="F16" t="s">
        <v>57</v>
      </c>
      <c r="G16" t="s">
        <v>63</v>
      </c>
      <c r="H16" t="s">
        <v>41</v>
      </c>
      <c r="I16" t="s">
        <v>49</v>
      </c>
      <c r="J16">
        <v>20</v>
      </c>
      <c r="K16" s="5">
        <v>419.48</v>
      </c>
      <c r="L16" s="5">
        <v>583.15</v>
      </c>
      <c r="M16">
        <v>6</v>
      </c>
      <c r="N16">
        <v>1</v>
      </c>
      <c r="O16">
        <v>1</v>
      </c>
      <c r="P16">
        <v>0</v>
      </c>
      <c r="Q16">
        <v>2</v>
      </c>
      <c r="R16">
        <v>2</v>
      </c>
      <c r="S16">
        <v>1</v>
      </c>
      <c r="T16">
        <v>0</v>
      </c>
      <c r="U16">
        <v>0</v>
      </c>
      <c r="V16">
        <v>1</v>
      </c>
      <c r="W16" t="s">
        <v>55</v>
      </c>
      <c r="X16">
        <v>-17</v>
      </c>
      <c r="Y16">
        <v>1</v>
      </c>
      <c r="Z16">
        <f t="shared" si="0"/>
        <v>17</v>
      </c>
      <c r="AA16">
        <f t="shared" si="1"/>
        <v>0.16</v>
      </c>
      <c r="AB16">
        <f t="shared" si="2"/>
        <v>81</v>
      </c>
      <c r="AC16" t="str">
        <f t="shared" si="3"/>
        <v>High</v>
      </c>
      <c r="AD16" t="str">
        <f t="shared" si="4"/>
        <v>Re-engage with app usage offer</v>
      </c>
      <c r="AE16">
        <f t="shared" si="5"/>
        <v>83</v>
      </c>
    </row>
    <row r="17" spans="1:31" x14ac:dyDescent="0.35">
      <c r="A17" t="s">
        <v>73</v>
      </c>
      <c r="B17" s="4">
        <v>45867</v>
      </c>
      <c r="C17" s="4">
        <v>46143</v>
      </c>
      <c r="D17" t="s">
        <v>32</v>
      </c>
      <c r="E17">
        <v>59</v>
      </c>
      <c r="F17" t="s">
        <v>43</v>
      </c>
      <c r="G17" t="s">
        <v>67</v>
      </c>
      <c r="H17" t="s">
        <v>41</v>
      </c>
      <c r="I17" t="s">
        <v>36</v>
      </c>
      <c r="J17">
        <v>9</v>
      </c>
      <c r="K17" s="5">
        <v>55.24</v>
      </c>
      <c r="L17" s="5">
        <v>2.81</v>
      </c>
      <c r="M17">
        <v>29</v>
      </c>
      <c r="N17">
        <v>10</v>
      </c>
      <c r="O17">
        <v>1</v>
      </c>
      <c r="P17">
        <v>3</v>
      </c>
      <c r="Q17">
        <v>11</v>
      </c>
      <c r="R17">
        <v>0</v>
      </c>
      <c r="S17">
        <v>0</v>
      </c>
      <c r="T17">
        <v>1</v>
      </c>
      <c r="U17">
        <v>0</v>
      </c>
      <c r="V17">
        <v>1</v>
      </c>
      <c r="W17" t="s">
        <v>50</v>
      </c>
      <c r="X17">
        <v>64</v>
      </c>
      <c r="Y17">
        <v>0</v>
      </c>
      <c r="Z17">
        <f t="shared" si="0"/>
        <v>61</v>
      </c>
      <c r="AA17">
        <f t="shared" si="1"/>
        <v>1.0256410256410255</v>
      </c>
      <c r="AB17">
        <f t="shared" si="2"/>
        <v>2</v>
      </c>
      <c r="AC17" t="str">
        <f t="shared" si="3"/>
        <v>Low</v>
      </c>
      <c r="AD17" t="str">
        <f t="shared" si="4"/>
        <v>Upsell premium bundle</v>
      </c>
      <c r="AE17">
        <f t="shared" si="5"/>
        <v>39</v>
      </c>
    </row>
    <row r="18" spans="1:31" x14ac:dyDescent="0.35">
      <c r="A18" t="s">
        <v>74</v>
      </c>
      <c r="B18" s="4">
        <v>45426</v>
      </c>
      <c r="C18" s="4">
        <v>46143</v>
      </c>
      <c r="D18" t="s">
        <v>72</v>
      </c>
      <c r="E18">
        <v>41</v>
      </c>
      <c r="F18" t="s">
        <v>57</v>
      </c>
      <c r="G18" t="s">
        <v>40</v>
      </c>
      <c r="H18" t="s">
        <v>58</v>
      </c>
      <c r="I18" t="s">
        <v>36</v>
      </c>
      <c r="J18">
        <v>23</v>
      </c>
      <c r="K18" s="5">
        <v>1036.18</v>
      </c>
      <c r="L18" s="5">
        <v>645.25</v>
      </c>
      <c r="M18">
        <v>35</v>
      </c>
      <c r="N18">
        <v>25</v>
      </c>
      <c r="O18">
        <v>7</v>
      </c>
      <c r="P18">
        <v>6</v>
      </c>
      <c r="Q18">
        <v>33</v>
      </c>
      <c r="R18">
        <v>4</v>
      </c>
      <c r="S18">
        <v>0</v>
      </c>
      <c r="T18">
        <v>1</v>
      </c>
      <c r="U18">
        <v>0</v>
      </c>
      <c r="V18">
        <v>0</v>
      </c>
      <c r="W18" t="s">
        <v>37</v>
      </c>
      <c r="X18">
        <v>30</v>
      </c>
      <c r="Y18">
        <v>0</v>
      </c>
      <c r="Z18">
        <f t="shared" si="0"/>
        <v>100</v>
      </c>
      <c r="AA18">
        <f t="shared" si="1"/>
        <v>1.2830188679245282</v>
      </c>
      <c r="AB18">
        <f t="shared" si="2"/>
        <v>0</v>
      </c>
      <c r="AC18" t="str">
        <f t="shared" si="3"/>
        <v>Low</v>
      </c>
      <c r="AD18" t="str">
        <f t="shared" si="4"/>
        <v>Upsell premium bundle</v>
      </c>
      <c r="AE18">
        <f t="shared" si="5"/>
        <v>0</v>
      </c>
    </row>
    <row r="19" spans="1:31" x14ac:dyDescent="0.35">
      <c r="A19" t="s">
        <v>75</v>
      </c>
      <c r="B19" s="4">
        <v>44819</v>
      </c>
      <c r="C19" s="4">
        <v>46143</v>
      </c>
      <c r="D19" t="s">
        <v>66</v>
      </c>
      <c r="E19">
        <v>64</v>
      </c>
      <c r="F19" t="s">
        <v>33</v>
      </c>
      <c r="G19" t="s">
        <v>40</v>
      </c>
      <c r="H19" t="s">
        <v>44</v>
      </c>
      <c r="I19" t="s">
        <v>49</v>
      </c>
      <c r="J19">
        <v>44</v>
      </c>
      <c r="K19" s="5">
        <v>807.72</v>
      </c>
      <c r="L19" s="5">
        <v>157.41</v>
      </c>
      <c r="M19">
        <v>36</v>
      </c>
      <c r="N19">
        <v>17</v>
      </c>
      <c r="O19">
        <v>1</v>
      </c>
      <c r="P19">
        <v>2</v>
      </c>
      <c r="Q19">
        <v>18</v>
      </c>
      <c r="R19">
        <v>2</v>
      </c>
      <c r="S19">
        <v>2</v>
      </c>
      <c r="T19">
        <v>1</v>
      </c>
      <c r="U19">
        <v>1</v>
      </c>
      <c r="V19">
        <v>1</v>
      </c>
      <c r="W19" t="s">
        <v>55</v>
      </c>
      <c r="X19">
        <v>0</v>
      </c>
      <c r="Y19">
        <v>1</v>
      </c>
      <c r="Z19">
        <f t="shared" si="0"/>
        <v>87</v>
      </c>
      <c r="AA19">
        <f t="shared" si="1"/>
        <v>0.72972972972972971</v>
      </c>
      <c r="AB19">
        <f t="shared" si="2"/>
        <v>42</v>
      </c>
      <c r="AC19" t="str">
        <f t="shared" si="3"/>
        <v>Medium</v>
      </c>
      <c r="AD19" t="str">
        <f t="shared" si="4"/>
        <v>Nudge core feature adoption</v>
      </c>
      <c r="AE19">
        <f t="shared" si="5"/>
        <v>13</v>
      </c>
    </row>
    <row r="20" spans="1:31" x14ac:dyDescent="0.35">
      <c r="A20" t="s">
        <v>76</v>
      </c>
      <c r="B20" s="4">
        <v>45917</v>
      </c>
      <c r="C20" s="4">
        <v>46143</v>
      </c>
      <c r="D20" t="s">
        <v>66</v>
      </c>
      <c r="E20">
        <v>60</v>
      </c>
      <c r="F20" t="s">
        <v>77</v>
      </c>
      <c r="G20" t="s">
        <v>48</v>
      </c>
      <c r="H20" t="s">
        <v>41</v>
      </c>
      <c r="I20" t="s">
        <v>36</v>
      </c>
      <c r="J20">
        <v>7</v>
      </c>
      <c r="K20" s="5">
        <v>13838.96</v>
      </c>
      <c r="L20" s="5">
        <v>1010.78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 t="s">
        <v>55</v>
      </c>
      <c r="X20">
        <v>11</v>
      </c>
      <c r="Y20">
        <v>1</v>
      </c>
      <c r="Z20">
        <f t="shared" si="0"/>
        <v>9</v>
      </c>
      <c r="AA20">
        <f t="shared" si="1"/>
        <v>2.7027027027027029E-2</v>
      </c>
      <c r="AB20">
        <f t="shared" si="2"/>
        <v>49</v>
      </c>
      <c r="AC20" t="str">
        <f t="shared" si="3"/>
        <v>Medium</v>
      </c>
      <c r="AD20" t="str">
        <f t="shared" si="4"/>
        <v>Nudge core feature adoption</v>
      </c>
      <c r="AE20">
        <f t="shared" si="5"/>
        <v>91</v>
      </c>
    </row>
    <row r="21" spans="1:31" x14ac:dyDescent="0.35">
      <c r="A21" t="s">
        <v>78</v>
      </c>
      <c r="B21" s="4">
        <v>45524</v>
      </c>
      <c r="C21" s="4">
        <v>46143</v>
      </c>
      <c r="D21" t="s">
        <v>60</v>
      </c>
      <c r="E21">
        <v>52</v>
      </c>
      <c r="F21" t="s">
        <v>33</v>
      </c>
      <c r="G21" t="s">
        <v>48</v>
      </c>
      <c r="H21" t="s">
        <v>41</v>
      </c>
      <c r="I21" t="s">
        <v>36</v>
      </c>
      <c r="J21">
        <v>20</v>
      </c>
      <c r="K21" s="5">
        <v>515.02</v>
      </c>
      <c r="L21" s="5">
        <v>0</v>
      </c>
      <c r="M21">
        <v>24</v>
      </c>
      <c r="N21">
        <v>13</v>
      </c>
      <c r="O21">
        <v>6</v>
      </c>
      <c r="P21">
        <v>1</v>
      </c>
      <c r="Q21">
        <v>31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55</v>
      </c>
      <c r="X21">
        <v>-4</v>
      </c>
      <c r="Y21">
        <v>1</v>
      </c>
      <c r="Z21">
        <f t="shared" si="0"/>
        <v>72</v>
      </c>
      <c r="AA21">
        <f t="shared" si="1"/>
        <v>1.1000000000000001</v>
      </c>
      <c r="AB21">
        <f t="shared" si="2"/>
        <v>31</v>
      </c>
      <c r="AC21" t="str">
        <f t="shared" si="3"/>
        <v>Low</v>
      </c>
      <c r="AD21" t="str">
        <f t="shared" si="4"/>
        <v>Upsell premium bundle</v>
      </c>
      <c r="AE21">
        <f t="shared" si="5"/>
        <v>28</v>
      </c>
    </row>
    <row r="22" spans="1:31" x14ac:dyDescent="0.35">
      <c r="A22" t="s">
        <v>79</v>
      </c>
      <c r="B22" s="4">
        <v>46065</v>
      </c>
      <c r="C22" s="4">
        <v>46143</v>
      </c>
      <c r="D22" t="s">
        <v>60</v>
      </c>
      <c r="E22">
        <v>48</v>
      </c>
      <c r="F22" t="s">
        <v>61</v>
      </c>
      <c r="G22" t="s">
        <v>63</v>
      </c>
      <c r="H22" t="s">
        <v>41</v>
      </c>
      <c r="I22" t="s">
        <v>49</v>
      </c>
      <c r="J22">
        <v>2</v>
      </c>
      <c r="K22" s="5">
        <v>3209.42</v>
      </c>
      <c r="L22" s="5">
        <v>2063.3000000000002</v>
      </c>
      <c r="M22">
        <v>21</v>
      </c>
      <c r="N22">
        <v>7</v>
      </c>
      <c r="O22">
        <v>1</v>
      </c>
      <c r="P22">
        <v>2</v>
      </c>
      <c r="Q22">
        <v>8</v>
      </c>
      <c r="R22">
        <v>4</v>
      </c>
      <c r="S22">
        <v>3</v>
      </c>
      <c r="T22">
        <v>1</v>
      </c>
      <c r="U22">
        <v>0</v>
      </c>
      <c r="V22">
        <v>0</v>
      </c>
      <c r="W22" t="s">
        <v>45</v>
      </c>
      <c r="X22">
        <v>-44</v>
      </c>
      <c r="Y22">
        <v>1</v>
      </c>
      <c r="Z22">
        <f t="shared" si="0"/>
        <v>39</v>
      </c>
      <c r="AA22">
        <f t="shared" si="1"/>
        <v>0.90625</v>
      </c>
      <c r="AB22">
        <f t="shared" si="2"/>
        <v>88</v>
      </c>
      <c r="AC22" t="str">
        <f t="shared" si="3"/>
        <v>High</v>
      </c>
      <c r="AD22" t="str">
        <f t="shared" si="4"/>
        <v>Retention call</v>
      </c>
      <c r="AE22">
        <f t="shared" si="5"/>
        <v>61</v>
      </c>
    </row>
    <row r="23" spans="1:31" x14ac:dyDescent="0.35">
      <c r="A23" t="s">
        <v>80</v>
      </c>
      <c r="B23" s="4">
        <v>44986</v>
      </c>
      <c r="C23" s="4">
        <v>46143</v>
      </c>
      <c r="D23" t="s">
        <v>39</v>
      </c>
      <c r="E23">
        <v>60</v>
      </c>
      <c r="F23" t="s">
        <v>57</v>
      </c>
      <c r="G23" t="s">
        <v>63</v>
      </c>
      <c r="H23" t="s">
        <v>44</v>
      </c>
      <c r="I23" t="s">
        <v>36</v>
      </c>
      <c r="J23">
        <v>38</v>
      </c>
      <c r="K23" s="5">
        <v>1824.34</v>
      </c>
      <c r="L23" s="5">
        <v>13.04</v>
      </c>
      <c r="M23">
        <v>52</v>
      </c>
      <c r="N23">
        <v>15</v>
      </c>
      <c r="O23">
        <v>9</v>
      </c>
      <c r="P23">
        <v>3</v>
      </c>
      <c r="Q23">
        <v>28</v>
      </c>
      <c r="R23">
        <v>2</v>
      </c>
      <c r="S23">
        <v>1</v>
      </c>
      <c r="T23">
        <v>1</v>
      </c>
      <c r="U23">
        <v>1</v>
      </c>
      <c r="V23">
        <v>1</v>
      </c>
      <c r="W23" t="s">
        <v>37</v>
      </c>
      <c r="X23">
        <v>3</v>
      </c>
      <c r="Y23">
        <v>0</v>
      </c>
      <c r="Z23">
        <f t="shared" si="0"/>
        <v>100</v>
      </c>
      <c r="AA23">
        <f t="shared" si="1"/>
        <v>1.1764705882352942</v>
      </c>
      <c r="AB23">
        <f t="shared" si="2"/>
        <v>12</v>
      </c>
      <c r="AC23" t="str">
        <f t="shared" si="3"/>
        <v>Low</v>
      </c>
      <c r="AD23" t="str">
        <f t="shared" si="4"/>
        <v>Upsell premium bundle</v>
      </c>
      <c r="AE23">
        <f t="shared" si="5"/>
        <v>0</v>
      </c>
    </row>
    <row r="24" spans="1:31" x14ac:dyDescent="0.35">
      <c r="A24" t="s">
        <v>81</v>
      </c>
      <c r="B24" s="4">
        <v>45481</v>
      </c>
      <c r="C24" s="4">
        <v>46143</v>
      </c>
      <c r="D24" t="s">
        <v>72</v>
      </c>
      <c r="E24">
        <v>52</v>
      </c>
      <c r="F24" t="s">
        <v>43</v>
      </c>
      <c r="G24" t="s">
        <v>34</v>
      </c>
      <c r="H24" t="s">
        <v>44</v>
      </c>
      <c r="I24" t="s">
        <v>36</v>
      </c>
      <c r="J24">
        <v>22</v>
      </c>
      <c r="K24" s="5">
        <v>60.66</v>
      </c>
      <c r="L24" s="5">
        <v>17.64</v>
      </c>
      <c r="M24">
        <v>30</v>
      </c>
      <c r="N24">
        <v>19</v>
      </c>
      <c r="O24">
        <v>4</v>
      </c>
      <c r="P24">
        <v>1</v>
      </c>
      <c r="Q24">
        <v>25</v>
      </c>
      <c r="R24">
        <v>1</v>
      </c>
      <c r="S24">
        <v>0</v>
      </c>
      <c r="T24">
        <v>1</v>
      </c>
      <c r="U24">
        <v>1</v>
      </c>
      <c r="V24">
        <v>0</v>
      </c>
      <c r="W24" t="s">
        <v>50</v>
      </c>
      <c r="X24">
        <v>11</v>
      </c>
      <c r="Y24">
        <v>0</v>
      </c>
      <c r="Z24">
        <f t="shared" si="0"/>
        <v>83</v>
      </c>
      <c r="AA24">
        <f t="shared" si="1"/>
        <v>1.0576923076923077</v>
      </c>
      <c r="AB24">
        <f t="shared" si="2"/>
        <v>8</v>
      </c>
      <c r="AC24" t="str">
        <f t="shared" si="3"/>
        <v>Low</v>
      </c>
      <c r="AD24" t="str">
        <f t="shared" si="4"/>
        <v>Upsell premium bundle</v>
      </c>
      <c r="AE24">
        <f t="shared" si="5"/>
        <v>17</v>
      </c>
    </row>
    <row r="25" spans="1:31" x14ac:dyDescent="0.35">
      <c r="A25" t="s">
        <v>82</v>
      </c>
      <c r="B25" s="4">
        <v>45644</v>
      </c>
      <c r="C25" s="4">
        <v>46143</v>
      </c>
      <c r="D25" t="s">
        <v>66</v>
      </c>
      <c r="E25">
        <v>51</v>
      </c>
      <c r="F25" t="s">
        <v>33</v>
      </c>
      <c r="G25" t="s">
        <v>48</v>
      </c>
      <c r="H25" t="s">
        <v>41</v>
      </c>
      <c r="I25" t="s">
        <v>36</v>
      </c>
      <c r="J25">
        <v>16</v>
      </c>
      <c r="K25" s="5">
        <v>775.22</v>
      </c>
      <c r="L25" s="5">
        <v>201.81</v>
      </c>
      <c r="M25">
        <v>26</v>
      </c>
      <c r="N25">
        <v>13</v>
      </c>
      <c r="O25">
        <v>3</v>
      </c>
      <c r="P25">
        <v>2</v>
      </c>
      <c r="Q25">
        <v>27</v>
      </c>
      <c r="R25">
        <v>0</v>
      </c>
      <c r="S25">
        <v>2</v>
      </c>
      <c r="T25">
        <v>1</v>
      </c>
      <c r="U25">
        <v>0</v>
      </c>
      <c r="V25">
        <v>0</v>
      </c>
      <c r="W25" t="s">
        <v>37</v>
      </c>
      <c r="X25">
        <v>51</v>
      </c>
      <c r="Y25">
        <v>0</v>
      </c>
      <c r="Z25">
        <f t="shared" si="0"/>
        <v>68</v>
      </c>
      <c r="AA25">
        <f t="shared" si="1"/>
        <v>1.1521739130434783</v>
      </c>
      <c r="AB25">
        <f t="shared" si="2"/>
        <v>21</v>
      </c>
      <c r="AC25" t="str">
        <f t="shared" si="3"/>
        <v>Low</v>
      </c>
      <c r="AD25" t="str">
        <f t="shared" si="4"/>
        <v>Upsell premium bundle</v>
      </c>
      <c r="AE25">
        <f t="shared" si="5"/>
        <v>32</v>
      </c>
    </row>
    <row r="26" spans="1:31" x14ac:dyDescent="0.35">
      <c r="A26" t="s">
        <v>83</v>
      </c>
      <c r="B26" s="4">
        <v>45402</v>
      </c>
      <c r="C26" s="4">
        <v>46143</v>
      </c>
      <c r="D26" t="s">
        <v>60</v>
      </c>
      <c r="E26">
        <v>19</v>
      </c>
      <c r="F26" t="s">
        <v>57</v>
      </c>
      <c r="G26" t="s">
        <v>48</v>
      </c>
      <c r="H26" t="s">
        <v>41</v>
      </c>
      <c r="I26" t="s">
        <v>36</v>
      </c>
      <c r="J26">
        <v>24</v>
      </c>
      <c r="K26" s="5">
        <v>1382.43</v>
      </c>
      <c r="L26" s="5">
        <v>1098.75</v>
      </c>
      <c r="M26">
        <v>17</v>
      </c>
      <c r="N26">
        <v>9</v>
      </c>
      <c r="O26">
        <v>3</v>
      </c>
      <c r="P26">
        <v>3</v>
      </c>
      <c r="Q26">
        <v>14</v>
      </c>
      <c r="R26">
        <v>2</v>
      </c>
      <c r="S26">
        <v>0</v>
      </c>
      <c r="T26">
        <v>1</v>
      </c>
      <c r="U26">
        <v>1</v>
      </c>
      <c r="V26">
        <v>0</v>
      </c>
      <c r="W26" t="s">
        <v>37</v>
      </c>
      <c r="X26">
        <v>-5</v>
      </c>
      <c r="Y26">
        <v>0</v>
      </c>
      <c r="Z26">
        <f t="shared" si="0"/>
        <v>53</v>
      </c>
      <c r="AA26">
        <f t="shared" si="1"/>
        <v>0.57407407407407407</v>
      </c>
      <c r="AB26">
        <f t="shared" si="2"/>
        <v>36</v>
      </c>
      <c r="AC26" t="str">
        <f t="shared" si="3"/>
        <v>Low</v>
      </c>
      <c r="AD26" t="str">
        <f t="shared" si="4"/>
        <v>Upsell premium bundle</v>
      </c>
      <c r="AE26">
        <f t="shared" si="5"/>
        <v>47</v>
      </c>
    </row>
    <row r="27" spans="1:31" x14ac:dyDescent="0.35">
      <c r="A27" t="s">
        <v>84</v>
      </c>
      <c r="B27" s="4">
        <v>45069</v>
      </c>
      <c r="C27" s="4">
        <v>46143</v>
      </c>
      <c r="D27" t="s">
        <v>66</v>
      </c>
      <c r="E27">
        <v>26</v>
      </c>
      <c r="F27" t="s">
        <v>33</v>
      </c>
      <c r="G27" t="s">
        <v>85</v>
      </c>
      <c r="H27" t="s">
        <v>58</v>
      </c>
      <c r="I27" t="s">
        <v>36</v>
      </c>
      <c r="J27">
        <v>35</v>
      </c>
      <c r="K27" s="5">
        <v>77.91</v>
      </c>
      <c r="L27" s="5">
        <v>150.44</v>
      </c>
      <c r="M27">
        <v>24</v>
      </c>
      <c r="N27">
        <v>9</v>
      </c>
      <c r="O27">
        <v>2</v>
      </c>
      <c r="P27">
        <v>2</v>
      </c>
      <c r="Q27">
        <v>14</v>
      </c>
      <c r="R27">
        <v>1</v>
      </c>
      <c r="S27">
        <v>0</v>
      </c>
      <c r="T27">
        <v>1</v>
      </c>
      <c r="U27">
        <v>0</v>
      </c>
      <c r="V27">
        <v>0</v>
      </c>
      <c r="W27" t="s">
        <v>45</v>
      </c>
      <c r="X27">
        <v>16</v>
      </c>
      <c r="Y27">
        <v>0</v>
      </c>
      <c r="Z27">
        <f t="shared" si="0"/>
        <v>51</v>
      </c>
      <c r="AA27">
        <f t="shared" si="1"/>
        <v>0.58461538461538465</v>
      </c>
      <c r="AB27">
        <f t="shared" si="2"/>
        <v>18</v>
      </c>
      <c r="AC27" t="str">
        <f t="shared" si="3"/>
        <v>Low</v>
      </c>
      <c r="AD27" t="str">
        <f t="shared" si="4"/>
        <v>Upsell premium bundle</v>
      </c>
      <c r="AE27">
        <f t="shared" si="5"/>
        <v>49</v>
      </c>
    </row>
    <row r="28" spans="1:31" x14ac:dyDescent="0.35">
      <c r="A28" t="s">
        <v>86</v>
      </c>
      <c r="B28" s="4">
        <v>45569</v>
      </c>
      <c r="C28" s="4">
        <v>46143</v>
      </c>
      <c r="D28" t="s">
        <v>47</v>
      </c>
      <c r="E28">
        <v>30</v>
      </c>
      <c r="F28" t="s">
        <v>77</v>
      </c>
      <c r="G28" t="s">
        <v>40</v>
      </c>
      <c r="H28" t="s">
        <v>41</v>
      </c>
      <c r="I28" t="s">
        <v>36</v>
      </c>
      <c r="J28">
        <v>19</v>
      </c>
      <c r="K28" s="5">
        <v>4446.04</v>
      </c>
      <c r="L28" s="5">
        <v>5574.94</v>
      </c>
      <c r="M28">
        <v>26</v>
      </c>
      <c r="N28">
        <v>15</v>
      </c>
      <c r="O28">
        <v>3</v>
      </c>
      <c r="P28">
        <v>1</v>
      </c>
      <c r="Q28">
        <v>25</v>
      </c>
      <c r="R28">
        <v>0</v>
      </c>
      <c r="S28">
        <v>0</v>
      </c>
      <c r="T28">
        <v>1</v>
      </c>
      <c r="U28">
        <v>1</v>
      </c>
      <c r="V28">
        <v>0</v>
      </c>
      <c r="W28" t="s">
        <v>50</v>
      </c>
      <c r="X28">
        <v>60</v>
      </c>
      <c r="Y28">
        <v>0</v>
      </c>
      <c r="Z28">
        <f t="shared" si="0"/>
        <v>75</v>
      </c>
      <c r="AA28">
        <f t="shared" si="1"/>
        <v>1.0408163265306123</v>
      </c>
      <c r="AB28">
        <f t="shared" si="2"/>
        <v>0</v>
      </c>
      <c r="AC28" t="str">
        <f t="shared" si="3"/>
        <v>Low</v>
      </c>
      <c r="AD28" t="str">
        <f t="shared" si="4"/>
        <v>Upsell premium bundle</v>
      </c>
      <c r="AE28">
        <f t="shared" si="5"/>
        <v>25</v>
      </c>
    </row>
    <row r="29" spans="1:31" x14ac:dyDescent="0.35">
      <c r="A29" t="s">
        <v>87</v>
      </c>
      <c r="B29" s="4">
        <v>45074</v>
      </c>
      <c r="C29" s="4">
        <v>46143</v>
      </c>
      <c r="D29" t="s">
        <v>60</v>
      </c>
      <c r="E29">
        <v>60</v>
      </c>
      <c r="F29" t="s">
        <v>61</v>
      </c>
      <c r="G29" t="s">
        <v>40</v>
      </c>
      <c r="H29" t="s">
        <v>41</v>
      </c>
      <c r="I29" t="s">
        <v>36</v>
      </c>
      <c r="J29">
        <v>35</v>
      </c>
      <c r="K29" s="5">
        <v>5264.06</v>
      </c>
      <c r="L29" s="5">
        <v>3744.89</v>
      </c>
      <c r="M29">
        <v>37</v>
      </c>
      <c r="N29">
        <v>21</v>
      </c>
      <c r="O29">
        <v>8</v>
      </c>
      <c r="P29">
        <v>6</v>
      </c>
      <c r="Q29">
        <v>20</v>
      </c>
      <c r="R29">
        <v>2</v>
      </c>
      <c r="S29">
        <v>0</v>
      </c>
      <c r="T29">
        <v>1</v>
      </c>
      <c r="U29">
        <v>0</v>
      </c>
      <c r="V29">
        <v>0</v>
      </c>
      <c r="W29" t="s">
        <v>50</v>
      </c>
      <c r="X29">
        <v>56</v>
      </c>
      <c r="Y29">
        <v>0</v>
      </c>
      <c r="Z29">
        <f t="shared" si="0"/>
        <v>91</v>
      </c>
      <c r="AA29">
        <f t="shared" si="1"/>
        <v>0.87692307692307692</v>
      </c>
      <c r="AB29">
        <f t="shared" si="2"/>
        <v>0</v>
      </c>
      <c r="AC29" t="str">
        <f t="shared" si="3"/>
        <v>Low</v>
      </c>
      <c r="AD29" t="str">
        <f t="shared" si="4"/>
        <v>Upsell premium bundle</v>
      </c>
      <c r="AE29">
        <f t="shared" si="5"/>
        <v>9</v>
      </c>
    </row>
    <row r="30" spans="1:31" x14ac:dyDescent="0.35">
      <c r="A30" t="s">
        <v>88</v>
      </c>
      <c r="B30" s="4">
        <v>45752</v>
      </c>
      <c r="C30" s="4">
        <v>46143</v>
      </c>
      <c r="D30" t="s">
        <v>39</v>
      </c>
      <c r="E30">
        <v>49</v>
      </c>
      <c r="F30" t="s">
        <v>43</v>
      </c>
      <c r="G30" t="s">
        <v>48</v>
      </c>
      <c r="H30" t="s">
        <v>58</v>
      </c>
      <c r="I30" t="s">
        <v>36</v>
      </c>
      <c r="J30">
        <v>13</v>
      </c>
      <c r="K30" s="5">
        <v>88.45</v>
      </c>
      <c r="L30" s="5">
        <v>0</v>
      </c>
      <c r="M30">
        <v>33</v>
      </c>
      <c r="N30">
        <v>22</v>
      </c>
      <c r="O30">
        <v>6</v>
      </c>
      <c r="P30">
        <v>6</v>
      </c>
      <c r="Q30">
        <v>33</v>
      </c>
      <c r="R30">
        <v>1</v>
      </c>
      <c r="S30">
        <v>0</v>
      </c>
      <c r="T30">
        <v>1</v>
      </c>
      <c r="U30">
        <v>0</v>
      </c>
      <c r="V30">
        <v>0</v>
      </c>
      <c r="W30" t="s">
        <v>52</v>
      </c>
      <c r="X30">
        <v>53</v>
      </c>
      <c r="Y30">
        <v>0</v>
      </c>
      <c r="Z30">
        <f t="shared" si="0"/>
        <v>97</v>
      </c>
      <c r="AA30">
        <f t="shared" si="1"/>
        <v>1.5348837209302326</v>
      </c>
      <c r="AB30">
        <f t="shared" si="2"/>
        <v>0</v>
      </c>
      <c r="AC30" t="str">
        <f t="shared" si="3"/>
        <v>Low</v>
      </c>
      <c r="AD30" t="str">
        <f t="shared" si="4"/>
        <v>Upsell premium bundle</v>
      </c>
      <c r="AE30">
        <f t="shared" si="5"/>
        <v>3</v>
      </c>
    </row>
    <row r="31" spans="1:31" x14ac:dyDescent="0.35">
      <c r="A31" t="s">
        <v>89</v>
      </c>
      <c r="B31" s="4">
        <v>44734</v>
      </c>
      <c r="C31" s="4">
        <v>46143</v>
      </c>
      <c r="D31" t="s">
        <v>60</v>
      </c>
      <c r="E31">
        <v>70</v>
      </c>
      <c r="F31" t="s">
        <v>61</v>
      </c>
      <c r="G31" t="s">
        <v>48</v>
      </c>
      <c r="H31" t="s">
        <v>41</v>
      </c>
      <c r="I31" t="s">
        <v>54</v>
      </c>
      <c r="J31">
        <v>46</v>
      </c>
      <c r="K31" s="5">
        <v>4435.83</v>
      </c>
      <c r="L31" s="5">
        <v>369.7</v>
      </c>
      <c r="M31">
        <v>25</v>
      </c>
      <c r="N31">
        <v>13</v>
      </c>
      <c r="O31">
        <v>7</v>
      </c>
      <c r="P31">
        <v>4</v>
      </c>
      <c r="Q31">
        <v>25</v>
      </c>
      <c r="R31">
        <v>0</v>
      </c>
      <c r="S31">
        <v>1</v>
      </c>
      <c r="T31">
        <v>0</v>
      </c>
      <c r="U31">
        <v>1</v>
      </c>
      <c r="V31">
        <v>0</v>
      </c>
      <c r="W31" t="s">
        <v>55</v>
      </c>
      <c r="X31">
        <v>69</v>
      </c>
      <c r="Y31">
        <v>1</v>
      </c>
      <c r="Z31">
        <f t="shared" si="0"/>
        <v>81</v>
      </c>
      <c r="AA31">
        <f t="shared" si="1"/>
        <v>0.65789473684210531</v>
      </c>
      <c r="AB31">
        <f t="shared" si="2"/>
        <v>15</v>
      </c>
      <c r="AC31" t="str">
        <f t="shared" si="3"/>
        <v>Low</v>
      </c>
      <c r="AD31" t="str">
        <f t="shared" si="4"/>
        <v>Upsell premium bundle</v>
      </c>
      <c r="AE31">
        <f t="shared" si="5"/>
        <v>19</v>
      </c>
    </row>
    <row r="32" spans="1:31" x14ac:dyDescent="0.35">
      <c r="A32" t="s">
        <v>90</v>
      </c>
      <c r="B32" s="4">
        <v>45576</v>
      </c>
      <c r="C32" s="4">
        <v>46143</v>
      </c>
      <c r="D32" t="s">
        <v>72</v>
      </c>
      <c r="E32">
        <v>63</v>
      </c>
      <c r="F32" t="s">
        <v>77</v>
      </c>
      <c r="G32" t="s">
        <v>67</v>
      </c>
      <c r="H32" t="s">
        <v>58</v>
      </c>
      <c r="I32" t="s">
        <v>36</v>
      </c>
      <c r="J32">
        <v>18</v>
      </c>
      <c r="K32" s="5">
        <v>13754.86</v>
      </c>
      <c r="L32" s="5">
        <v>11874.05</v>
      </c>
      <c r="M32">
        <v>16</v>
      </c>
      <c r="N32">
        <v>7</v>
      </c>
      <c r="O32">
        <v>3</v>
      </c>
      <c r="P32">
        <v>3</v>
      </c>
      <c r="Q32">
        <v>23</v>
      </c>
      <c r="R32">
        <v>2</v>
      </c>
      <c r="S32">
        <v>0</v>
      </c>
      <c r="T32">
        <v>1</v>
      </c>
      <c r="U32">
        <v>0</v>
      </c>
      <c r="V32">
        <v>1</v>
      </c>
      <c r="W32" t="s">
        <v>45</v>
      </c>
      <c r="X32">
        <v>15</v>
      </c>
      <c r="Y32">
        <v>0</v>
      </c>
      <c r="Z32">
        <f t="shared" si="0"/>
        <v>58</v>
      </c>
      <c r="AA32">
        <f t="shared" si="1"/>
        <v>0.8125</v>
      </c>
      <c r="AB32">
        <f t="shared" si="2"/>
        <v>4</v>
      </c>
      <c r="AC32" t="str">
        <f t="shared" si="3"/>
        <v>Low</v>
      </c>
      <c r="AD32" t="str">
        <f t="shared" si="4"/>
        <v>Upsell premium bundle</v>
      </c>
      <c r="AE32">
        <f t="shared" si="5"/>
        <v>42</v>
      </c>
    </row>
    <row r="33" spans="1:31" x14ac:dyDescent="0.35">
      <c r="A33" t="s">
        <v>91</v>
      </c>
      <c r="B33" s="4">
        <v>45159</v>
      </c>
      <c r="C33" s="4">
        <v>46143</v>
      </c>
      <c r="D33" t="s">
        <v>72</v>
      </c>
      <c r="E33">
        <v>41</v>
      </c>
      <c r="F33" t="s">
        <v>43</v>
      </c>
      <c r="G33" t="s">
        <v>48</v>
      </c>
      <c r="H33" t="s">
        <v>41</v>
      </c>
      <c r="I33" t="s">
        <v>36</v>
      </c>
      <c r="J33">
        <v>32</v>
      </c>
      <c r="K33" s="5">
        <v>28.16</v>
      </c>
      <c r="L33" s="5">
        <v>31.39</v>
      </c>
      <c r="M33">
        <v>9</v>
      </c>
      <c r="N33">
        <v>2</v>
      </c>
      <c r="O33">
        <v>0</v>
      </c>
      <c r="P33">
        <v>1</v>
      </c>
      <c r="Q33">
        <v>0</v>
      </c>
      <c r="R33">
        <v>4</v>
      </c>
      <c r="S33">
        <v>0</v>
      </c>
      <c r="T33">
        <v>0</v>
      </c>
      <c r="U33">
        <v>1</v>
      </c>
      <c r="V33">
        <v>1</v>
      </c>
      <c r="W33" t="s">
        <v>52</v>
      </c>
      <c r="X33">
        <v>15</v>
      </c>
      <c r="Y33">
        <v>0</v>
      </c>
      <c r="Z33">
        <f t="shared" si="0"/>
        <v>28</v>
      </c>
      <c r="AA33">
        <f t="shared" si="1"/>
        <v>0.14516129032258066</v>
      </c>
      <c r="AB33">
        <f t="shared" si="2"/>
        <v>33</v>
      </c>
      <c r="AC33" t="str">
        <f t="shared" si="3"/>
        <v>Low</v>
      </c>
      <c r="AD33" t="str">
        <f t="shared" si="4"/>
        <v>Upsell premium bundle</v>
      </c>
      <c r="AE33">
        <f t="shared" si="5"/>
        <v>72</v>
      </c>
    </row>
    <row r="34" spans="1:31" x14ac:dyDescent="0.35">
      <c r="A34" t="s">
        <v>92</v>
      </c>
      <c r="B34" s="4">
        <v>45259</v>
      </c>
      <c r="C34" s="4">
        <v>46143</v>
      </c>
      <c r="D34" t="s">
        <v>47</v>
      </c>
      <c r="E34">
        <v>30</v>
      </c>
      <c r="F34" t="s">
        <v>57</v>
      </c>
      <c r="G34" t="s">
        <v>63</v>
      </c>
      <c r="H34" t="s">
        <v>41</v>
      </c>
      <c r="I34" t="s">
        <v>36</v>
      </c>
      <c r="J34">
        <v>29</v>
      </c>
      <c r="K34" s="5">
        <v>1267.8399999999999</v>
      </c>
      <c r="L34" s="5">
        <v>1172.1500000000001</v>
      </c>
      <c r="M34">
        <v>2</v>
      </c>
      <c r="N34">
        <v>1</v>
      </c>
      <c r="O34">
        <v>0</v>
      </c>
      <c r="P34">
        <v>0</v>
      </c>
      <c r="Q34">
        <v>14</v>
      </c>
      <c r="R34">
        <v>1</v>
      </c>
      <c r="S34">
        <v>1</v>
      </c>
      <c r="T34">
        <v>0</v>
      </c>
      <c r="U34">
        <v>0</v>
      </c>
      <c r="V34">
        <v>0</v>
      </c>
      <c r="W34" t="s">
        <v>45</v>
      </c>
      <c r="X34">
        <v>13</v>
      </c>
      <c r="Y34">
        <v>1</v>
      </c>
      <c r="Z34">
        <f t="shared" si="0"/>
        <v>16</v>
      </c>
      <c r="AA34">
        <f t="shared" si="1"/>
        <v>0.2711864406779661</v>
      </c>
      <c r="AB34">
        <f t="shared" si="2"/>
        <v>52</v>
      </c>
      <c r="AC34" t="str">
        <f t="shared" si="3"/>
        <v>Medium</v>
      </c>
      <c r="AD34" t="str">
        <f t="shared" si="4"/>
        <v>Nudge core feature adoption</v>
      </c>
      <c r="AE34">
        <f t="shared" si="5"/>
        <v>84</v>
      </c>
    </row>
    <row r="35" spans="1:31" x14ac:dyDescent="0.35">
      <c r="A35" t="s">
        <v>93</v>
      </c>
      <c r="B35" s="4">
        <v>45003</v>
      </c>
      <c r="C35" s="4">
        <v>46143</v>
      </c>
      <c r="D35" t="s">
        <v>66</v>
      </c>
      <c r="E35">
        <v>58</v>
      </c>
      <c r="F35" t="s">
        <v>77</v>
      </c>
      <c r="G35" t="s">
        <v>67</v>
      </c>
      <c r="H35" t="s">
        <v>58</v>
      </c>
      <c r="I35" t="s">
        <v>49</v>
      </c>
      <c r="J35">
        <v>38</v>
      </c>
      <c r="K35" s="5">
        <v>6117.91</v>
      </c>
      <c r="L35" s="5">
        <v>6758.33</v>
      </c>
      <c r="M35">
        <v>22</v>
      </c>
      <c r="N35">
        <v>11</v>
      </c>
      <c r="O35">
        <v>5</v>
      </c>
      <c r="P35">
        <v>4</v>
      </c>
      <c r="Q35">
        <v>17</v>
      </c>
      <c r="R35">
        <v>1</v>
      </c>
      <c r="S35">
        <v>0</v>
      </c>
      <c r="T35">
        <v>0</v>
      </c>
      <c r="U35">
        <v>0</v>
      </c>
      <c r="V35">
        <v>0</v>
      </c>
      <c r="W35" t="s">
        <v>45</v>
      </c>
      <c r="X35">
        <v>30</v>
      </c>
      <c r="Y35">
        <v>0</v>
      </c>
      <c r="Z35">
        <f t="shared" si="0"/>
        <v>59</v>
      </c>
      <c r="AA35">
        <f t="shared" si="1"/>
        <v>0.57352941176470584</v>
      </c>
      <c r="AB35">
        <f t="shared" si="2"/>
        <v>14</v>
      </c>
      <c r="AC35" t="str">
        <f t="shared" si="3"/>
        <v>Low</v>
      </c>
      <c r="AD35" t="str">
        <f t="shared" si="4"/>
        <v>Upsell premium bundle</v>
      </c>
      <c r="AE35">
        <f t="shared" si="5"/>
        <v>41</v>
      </c>
    </row>
    <row r="36" spans="1:31" x14ac:dyDescent="0.35">
      <c r="A36" t="s">
        <v>94</v>
      </c>
      <c r="B36" s="4">
        <v>44694</v>
      </c>
      <c r="C36" s="4">
        <v>46143</v>
      </c>
      <c r="D36" t="s">
        <v>66</v>
      </c>
      <c r="E36">
        <v>47</v>
      </c>
      <c r="F36" t="s">
        <v>57</v>
      </c>
      <c r="G36" t="s">
        <v>67</v>
      </c>
      <c r="H36" t="s">
        <v>41</v>
      </c>
      <c r="I36" t="s">
        <v>36</v>
      </c>
      <c r="J36">
        <v>48</v>
      </c>
      <c r="K36" s="5">
        <v>745.41</v>
      </c>
      <c r="L36" s="5">
        <v>158.44999999999999</v>
      </c>
      <c r="M36">
        <v>28</v>
      </c>
      <c r="N36">
        <v>14</v>
      </c>
      <c r="O36">
        <v>5</v>
      </c>
      <c r="P36">
        <v>0</v>
      </c>
      <c r="Q36">
        <v>8</v>
      </c>
      <c r="R36">
        <v>1</v>
      </c>
      <c r="S36">
        <v>1</v>
      </c>
      <c r="T36">
        <v>1</v>
      </c>
      <c r="U36">
        <v>1</v>
      </c>
      <c r="V36">
        <v>0</v>
      </c>
      <c r="W36" t="s">
        <v>37</v>
      </c>
      <c r="X36">
        <v>-10</v>
      </c>
      <c r="Y36">
        <v>0</v>
      </c>
      <c r="Z36">
        <f t="shared" si="0"/>
        <v>62</v>
      </c>
      <c r="AA36">
        <f t="shared" si="1"/>
        <v>0.46153846153846156</v>
      </c>
      <c r="AB36">
        <f t="shared" si="2"/>
        <v>45</v>
      </c>
      <c r="AC36" t="str">
        <f t="shared" si="3"/>
        <v>Medium</v>
      </c>
      <c r="AD36" t="str">
        <f t="shared" si="4"/>
        <v>Nudge core feature adoption</v>
      </c>
      <c r="AE36">
        <f t="shared" si="5"/>
        <v>38</v>
      </c>
    </row>
    <row r="37" spans="1:31" x14ac:dyDescent="0.35">
      <c r="A37" t="s">
        <v>95</v>
      </c>
      <c r="B37" s="4">
        <v>45016</v>
      </c>
      <c r="C37" s="4">
        <v>46143</v>
      </c>
      <c r="D37" t="s">
        <v>47</v>
      </c>
      <c r="E37">
        <v>33</v>
      </c>
      <c r="F37" t="s">
        <v>43</v>
      </c>
      <c r="G37" t="s">
        <v>40</v>
      </c>
      <c r="H37" t="s">
        <v>44</v>
      </c>
      <c r="I37" t="s">
        <v>36</v>
      </c>
      <c r="J37">
        <v>37</v>
      </c>
      <c r="K37" s="5">
        <v>58.22</v>
      </c>
      <c r="L37" s="5">
        <v>65.86</v>
      </c>
      <c r="M37">
        <v>33</v>
      </c>
      <c r="N37">
        <v>24</v>
      </c>
      <c r="O37">
        <v>7</v>
      </c>
      <c r="P37">
        <v>0</v>
      </c>
      <c r="Q37">
        <v>27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37</v>
      </c>
      <c r="X37">
        <v>32</v>
      </c>
      <c r="Y37">
        <v>0</v>
      </c>
      <c r="Z37">
        <f t="shared" si="0"/>
        <v>86</v>
      </c>
      <c r="AA37">
        <f t="shared" si="1"/>
        <v>0.89552238805970152</v>
      </c>
      <c r="AB37">
        <f t="shared" si="2"/>
        <v>0</v>
      </c>
      <c r="AC37" t="str">
        <f t="shared" si="3"/>
        <v>Low</v>
      </c>
      <c r="AD37" t="str">
        <f t="shared" si="4"/>
        <v>Upsell premium bundle</v>
      </c>
      <c r="AE37">
        <f t="shared" si="5"/>
        <v>14</v>
      </c>
    </row>
    <row r="38" spans="1:31" x14ac:dyDescent="0.35">
      <c r="A38" t="s">
        <v>96</v>
      </c>
      <c r="B38" s="4">
        <v>44709</v>
      </c>
      <c r="C38" s="4">
        <v>46143</v>
      </c>
      <c r="D38" t="s">
        <v>66</v>
      </c>
      <c r="E38">
        <v>38</v>
      </c>
      <c r="F38" t="s">
        <v>33</v>
      </c>
      <c r="G38" t="s">
        <v>40</v>
      </c>
      <c r="H38" t="s">
        <v>41</v>
      </c>
      <c r="I38" t="s">
        <v>49</v>
      </c>
      <c r="J38">
        <v>47</v>
      </c>
      <c r="K38" s="5">
        <v>322.73</v>
      </c>
      <c r="L38" s="5">
        <v>274.43</v>
      </c>
      <c r="M38">
        <v>28</v>
      </c>
      <c r="N38">
        <v>9</v>
      </c>
      <c r="O38">
        <v>2</v>
      </c>
      <c r="P38">
        <v>2</v>
      </c>
      <c r="Q38">
        <v>17</v>
      </c>
      <c r="R38">
        <v>0</v>
      </c>
      <c r="S38">
        <v>1</v>
      </c>
      <c r="T38">
        <v>1</v>
      </c>
      <c r="U38">
        <v>1</v>
      </c>
      <c r="V38">
        <v>0</v>
      </c>
      <c r="W38" t="s">
        <v>37</v>
      </c>
      <c r="X38">
        <v>-22</v>
      </c>
      <c r="Y38">
        <v>1</v>
      </c>
      <c r="Z38">
        <f t="shared" si="0"/>
        <v>66</v>
      </c>
      <c r="AA38">
        <f t="shared" si="1"/>
        <v>0.58441558441558439</v>
      </c>
      <c r="AB38">
        <f t="shared" si="2"/>
        <v>67</v>
      </c>
      <c r="AC38" t="str">
        <f t="shared" si="3"/>
        <v>Medium</v>
      </c>
      <c r="AD38" t="str">
        <f t="shared" si="4"/>
        <v>Nudge core feature adoption</v>
      </c>
      <c r="AE38">
        <f t="shared" si="5"/>
        <v>34</v>
      </c>
    </row>
    <row r="39" spans="1:31" x14ac:dyDescent="0.35">
      <c r="A39" t="s">
        <v>97</v>
      </c>
      <c r="B39" s="4">
        <v>44935</v>
      </c>
      <c r="C39" s="4">
        <v>46143</v>
      </c>
      <c r="D39" t="s">
        <v>60</v>
      </c>
      <c r="E39">
        <v>66</v>
      </c>
      <c r="F39" t="s">
        <v>43</v>
      </c>
      <c r="G39" t="s">
        <v>48</v>
      </c>
      <c r="H39" t="s">
        <v>58</v>
      </c>
      <c r="I39" t="s">
        <v>36</v>
      </c>
      <c r="J39">
        <v>40</v>
      </c>
      <c r="K39" s="5">
        <v>61.89</v>
      </c>
      <c r="L39" s="5">
        <v>71.540000000000006</v>
      </c>
      <c r="M39">
        <v>25</v>
      </c>
      <c r="N39">
        <v>7</v>
      </c>
      <c r="O39">
        <v>2</v>
      </c>
      <c r="P39">
        <v>2</v>
      </c>
      <c r="Q39">
        <v>24</v>
      </c>
      <c r="R39">
        <v>2</v>
      </c>
      <c r="S39">
        <v>1</v>
      </c>
      <c r="T39">
        <v>0</v>
      </c>
      <c r="U39">
        <v>0</v>
      </c>
      <c r="V39">
        <v>1</v>
      </c>
      <c r="W39" t="s">
        <v>52</v>
      </c>
      <c r="X39">
        <v>29</v>
      </c>
      <c r="Y39">
        <v>1</v>
      </c>
      <c r="Z39">
        <f t="shared" si="0"/>
        <v>66</v>
      </c>
      <c r="AA39">
        <f t="shared" si="1"/>
        <v>0.7</v>
      </c>
      <c r="AB39">
        <f t="shared" si="2"/>
        <v>12</v>
      </c>
      <c r="AC39" t="str">
        <f t="shared" si="3"/>
        <v>Low</v>
      </c>
      <c r="AD39" t="str">
        <f t="shared" si="4"/>
        <v>Upsell premium bundle</v>
      </c>
      <c r="AE39">
        <f t="shared" si="5"/>
        <v>34</v>
      </c>
    </row>
    <row r="40" spans="1:31" x14ac:dyDescent="0.35">
      <c r="A40" t="s">
        <v>98</v>
      </c>
      <c r="B40" s="4">
        <v>45578</v>
      </c>
      <c r="C40" s="4">
        <v>46143</v>
      </c>
      <c r="D40" t="s">
        <v>72</v>
      </c>
      <c r="E40">
        <v>59</v>
      </c>
      <c r="F40" t="s">
        <v>61</v>
      </c>
      <c r="G40" t="s">
        <v>34</v>
      </c>
      <c r="H40" t="s">
        <v>41</v>
      </c>
      <c r="I40" t="s">
        <v>36</v>
      </c>
      <c r="J40">
        <v>18</v>
      </c>
      <c r="K40" s="5">
        <v>4677.92</v>
      </c>
      <c r="L40" s="5">
        <v>1533.39</v>
      </c>
      <c r="M40">
        <v>17</v>
      </c>
      <c r="N40">
        <v>9</v>
      </c>
      <c r="O40">
        <v>4</v>
      </c>
      <c r="P40">
        <v>2</v>
      </c>
      <c r="Q40">
        <v>24</v>
      </c>
      <c r="R40">
        <v>5</v>
      </c>
      <c r="S40">
        <v>2</v>
      </c>
      <c r="T40">
        <v>0</v>
      </c>
      <c r="U40">
        <v>0</v>
      </c>
      <c r="V40">
        <v>0</v>
      </c>
      <c r="W40" t="s">
        <v>37</v>
      </c>
      <c r="X40">
        <v>-67</v>
      </c>
      <c r="Y40">
        <v>1</v>
      </c>
      <c r="Z40">
        <f t="shared" si="0"/>
        <v>54</v>
      </c>
      <c r="AA40">
        <f t="shared" si="1"/>
        <v>0.85416666666666663</v>
      </c>
      <c r="AB40">
        <f t="shared" si="2"/>
        <v>68</v>
      </c>
      <c r="AC40" t="str">
        <f t="shared" si="3"/>
        <v>Medium</v>
      </c>
      <c r="AD40" t="str">
        <f t="shared" si="4"/>
        <v>Nudge core feature adoption</v>
      </c>
      <c r="AE40">
        <f t="shared" si="5"/>
        <v>46</v>
      </c>
    </row>
    <row r="41" spans="1:31" x14ac:dyDescent="0.35">
      <c r="A41" t="s">
        <v>99</v>
      </c>
      <c r="B41" s="4">
        <v>46027</v>
      </c>
      <c r="C41" s="4">
        <v>46143</v>
      </c>
      <c r="D41" t="s">
        <v>72</v>
      </c>
      <c r="E41">
        <v>52</v>
      </c>
      <c r="F41" t="s">
        <v>33</v>
      </c>
      <c r="G41" t="s">
        <v>63</v>
      </c>
      <c r="H41" t="s">
        <v>41</v>
      </c>
      <c r="I41" t="s">
        <v>36</v>
      </c>
      <c r="J41">
        <v>3</v>
      </c>
      <c r="K41" s="5">
        <v>294.5</v>
      </c>
      <c r="L41" s="5">
        <v>268</v>
      </c>
      <c r="M41">
        <v>21</v>
      </c>
      <c r="N41">
        <v>7</v>
      </c>
      <c r="O41">
        <v>5</v>
      </c>
      <c r="P41">
        <v>3</v>
      </c>
      <c r="Q41">
        <v>21</v>
      </c>
      <c r="R41">
        <v>0</v>
      </c>
      <c r="S41">
        <v>1</v>
      </c>
      <c r="T41">
        <v>1</v>
      </c>
      <c r="U41">
        <v>1</v>
      </c>
      <c r="V41">
        <v>0</v>
      </c>
      <c r="W41" t="s">
        <v>37</v>
      </c>
      <c r="X41">
        <v>63</v>
      </c>
      <c r="Y41">
        <v>0</v>
      </c>
      <c r="Z41">
        <f t="shared" si="0"/>
        <v>65</v>
      </c>
      <c r="AA41">
        <f t="shared" si="1"/>
        <v>1.2727272727272727</v>
      </c>
      <c r="AB41">
        <f t="shared" si="2"/>
        <v>9</v>
      </c>
      <c r="AC41" t="str">
        <f t="shared" si="3"/>
        <v>Low</v>
      </c>
      <c r="AD41" t="str">
        <f t="shared" si="4"/>
        <v>Upsell premium bundle</v>
      </c>
      <c r="AE41">
        <f t="shared" si="5"/>
        <v>35</v>
      </c>
    </row>
    <row r="42" spans="1:31" x14ac:dyDescent="0.35">
      <c r="A42" t="s">
        <v>100</v>
      </c>
      <c r="B42" s="4">
        <v>45944</v>
      </c>
      <c r="C42" s="4">
        <v>46143</v>
      </c>
      <c r="D42" t="s">
        <v>66</v>
      </c>
      <c r="E42">
        <v>67</v>
      </c>
      <c r="F42" t="s">
        <v>33</v>
      </c>
      <c r="G42" t="s">
        <v>48</v>
      </c>
      <c r="H42" t="s">
        <v>41</v>
      </c>
      <c r="I42" t="s">
        <v>36</v>
      </c>
      <c r="J42">
        <v>6</v>
      </c>
      <c r="K42" s="5">
        <v>660.86</v>
      </c>
      <c r="L42" s="5">
        <v>367.19</v>
      </c>
      <c r="M42">
        <v>28</v>
      </c>
      <c r="N42">
        <v>14</v>
      </c>
      <c r="O42">
        <v>4</v>
      </c>
      <c r="P42">
        <v>2</v>
      </c>
      <c r="Q42">
        <v>17</v>
      </c>
      <c r="R42">
        <v>0</v>
      </c>
      <c r="S42">
        <v>2</v>
      </c>
      <c r="T42">
        <v>1</v>
      </c>
      <c r="U42">
        <v>1</v>
      </c>
      <c r="V42">
        <v>1</v>
      </c>
      <c r="W42" t="s">
        <v>37</v>
      </c>
      <c r="X42">
        <v>17</v>
      </c>
      <c r="Y42">
        <v>0</v>
      </c>
      <c r="Z42">
        <f t="shared" si="0"/>
        <v>79</v>
      </c>
      <c r="AA42">
        <f t="shared" si="1"/>
        <v>1.25</v>
      </c>
      <c r="AB42">
        <f t="shared" si="2"/>
        <v>34</v>
      </c>
      <c r="AC42" t="str">
        <f t="shared" si="3"/>
        <v>Low</v>
      </c>
      <c r="AD42" t="str">
        <f t="shared" si="4"/>
        <v>Upsell premium bundle</v>
      </c>
      <c r="AE42">
        <f t="shared" si="5"/>
        <v>21</v>
      </c>
    </row>
    <row r="43" spans="1:31" x14ac:dyDescent="0.35">
      <c r="A43" t="s">
        <v>101</v>
      </c>
      <c r="B43" s="4">
        <v>44703</v>
      </c>
      <c r="C43" s="4">
        <v>46143</v>
      </c>
      <c r="D43" t="s">
        <v>32</v>
      </c>
      <c r="E43">
        <v>42</v>
      </c>
      <c r="F43" t="s">
        <v>43</v>
      </c>
      <c r="G43" t="s">
        <v>48</v>
      </c>
      <c r="H43" t="s">
        <v>58</v>
      </c>
      <c r="I43" t="s">
        <v>36</v>
      </c>
      <c r="J43">
        <v>48</v>
      </c>
      <c r="K43" s="5">
        <v>50.41</v>
      </c>
      <c r="L43" s="5">
        <v>31.22</v>
      </c>
      <c r="M43">
        <v>30</v>
      </c>
      <c r="N43">
        <v>17</v>
      </c>
      <c r="O43">
        <v>6</v>
      </c>
      <c r="P43">
        <v>4</v>
      </c>
      <c r="Q43">
        <v>24</v>
      </c>
      <c r="R43">
        <v>0</v>
      </c>
      <c r="S43">
        <v>0</v>
      </c>
      <c r="T43">
        <v>1</v>
      </c>
      <c r="U43">
        <v>0</v>
      </c>
      <c r="V43">
        <v>1</v>
      </c>
      <c r="W43" t="s">
        <v>50</v>
      </c>
      <c r="X43">
        <v>95</v>
      </c>
      <c r="Y43">
        <v>0</v>
      </c>
      <c r="Z43">
        <f t="shared" si="0"/>
        <v>86</v>
      </c>
      <c r="AA43">
        <f t="shared" si="1"/>
        <v>0.69230769230769229</v>
      </c>
      <c r="AB43">
        <f t="shared" si="2"/>
        <v>0</v>
      </c>
      <c r="AC43" t="str">
        <f t="shared" si="3"/>
        <v>Low</v>
      </c>
      <c r="AD43" t="str">
        <f t="shared" si="4"/>
        <v>Upsell premium bundle</v>
      </c>
      <c r="AE43">
        <f t="shared" si="5"/>
        <v>14</v>
      </c>
    </row>
    <row r="44" spans="1:31" x14ac:dyDescent="0.35">
      <c r="A44" t="s">
        <v>102</v>
      </c>
      <c r="B44" s="4">
        <v>44906</v>
      </c>
      <c r="C44" s="4">
        <v>46143</v>
      </c>
      <c r="D44" t="s">
        <v>66</v>
      </c>
      <c r="E44">
        <v>51</v>
      </c>
      <c r="F44" t="s">
        <v>57</v>
      </c>
      <c r="G44" t="s">
        <v>40</v>
      </c>
      <c r="H44" t="s">
        <v>58</v>
      </c>
      <c r="I44" t="s">
        <v>36</v>
      </c>
      <c r="J44">
        <v>41</v>
      </c>
      <c r="K44" s="5">
        <v>768.42</v>
      </c>
      <c r="L44" s="5">
        <v>1349.28</v>
      </c>
      <c r="M44">
        <v>35</v>
      </c>
      <c r="N44">
        <v>21</v>
      </c>
      <c r="O44">
        <v>8</v>
      </c>
      <c r="P44">
        <v>4</v>
      </c>
      <c r="Q44">
        <v>33</v>
      </c>
      <c r="R44">
        <v>1</v>
      </c>
      <c r="S44">
        <v>2</v>
      </c>
      <c r="T44">
        <v>0</v>
      </c>
      <c r="U44">
        <v>0</v>
      </c>
      <c r="V44">
        <v>0</v>
      </c>
      <c r="W44" t="s">
        <v>55</v>
      </c>
      <c r="X44">
        <v>16</v>
      </c>
      <c r="Y44">
        <v>0</v>
      </c>
      <c r="Z44">
        <f t="shared" si="0"/>
        <v>98</v>
      </c>
      <c r="AA44">
        <f t="shared" si="1"/>
        <v>0.95774647887323938</v>
      </c>
      <c r="AB44">
        <f t="shared" si="2"/>
        <v>15</v>
      </c>
      <c r="AC44" t="str">
        <f t="shared" si="3"/>
        <v>Low</v>
      </c>
      <c r="AD44" t="str">
        <f t="shared" si="4"/>
        <v>Upsell premium bundle</v>
      </c>
      <c r="AE44">
        <f t="shared" si="5"/>
        <v>2</v>
      </c>
    </row>
    <row r="45" spans="1:31" x14ac:dyDescent="0.35">
      <c r="A45" t="s">
        <v>103</v>
      </c>
      <c r="B45" s="4">
        <v>45289</v>
      </c>
      <c r="C45" s="4">
        <v>46143</v>
      </c>
      <c r="D45" t="s">
        <v>60</v>
      </c>
      <c r="E45">
        <v>34</v>
      </c>
      <c r="F45" t="s">
        <v>77</v>
      </c>
      <c r="G45" t="s">
        <v>63</v>
      </c>
      <c r="H45" t="s">
        <v>41</v>
      </c>
      <c r="I45" t="s">
        <v>36</v>
      </c>
      <c r="J45">
        <v>28</v>
      </c>
      <c r="K45" s="5">
        <v>6371.45</v>
      </c>
      <c r="L45" s="5">
        <v>10028.84</v>
      </c>
      <c r="M45">
        <v>14</v>
      </c>
      <c r="N45">
        <v>4</v>
      </c>
      <c r="O45">
        <v>1</v>
      </c>
      <c r="P45">
        <v>1</v>
      </c>
      <c r="Q45">
        <v>13</v>
      </c>
      <c r="R45">
        <v>0</v>
      </c>
      <c r="S45">
        <v>1</v>
      </c>
      <c r="T45">
        <v>0</v>
      </c>
      <c r="U45">
        <v>0</v>
      </c>
      <c r="V45">
        <v>0</v>
      </c>
      <c r="W45" t="s">
        <v>52</v>
      </c>
      <c r="X45">
        <v>-27</v>
      </c>
      <c r="Y45">
        <v>0</v>
      </c>
      <c r="Z45">
        <f t="shared" si="0"/>
        <v>33</v>
      </c>
      <c r="AA45">
        <f t="shared" si="1"/>
        <v>0.46551724137931033</v>
      </c>
      <c r="AB45">
        <f t="shared" si="2"/>
        <v>56</v>
      </c>
      <c r="AC45" t="str">
        <f t="shared" si="3"/>
        <v>Medium</v>
      </c>
      <c r="AD45" t="str">
        <f t="shared" si="4"/>
        <v>Nudge core feature adoption</v>
      </c>
      <c r="AE45">
        <f t="shared" si="5"/>
        <v>67</v>
      </c>
    </row>
    <row r="46" spans="1:31" x14ac:dyDescent="0.35">
      <c r="A46" t="s">
        <v>104</v>
      </c>
      <c r="B46" s="4">
        <v>45283</v>
      </c>
      <c r="C46" s="4">
        <v>46143</v>
      </c>
      <c r="D46" t="s">
        <v>72</v>
      </c>
      <c r="E46">
        <v>57</v>
      </c>
      <c r="F46" t="s">
        <v>33</v>
      </c>
      <c r="G46" t="s">
        <v>67</v>
      </c>
      <c r="H46" t="s">
        <v>44</v>
      </c>
      <c r="I46" t="s">
        <v>36</v>
      </c>
      <c r="J46">
        <v>28</v>
      </c>
      <c r="K46" s="5">
        <v>597.85</v>
      </c>
      <c r="L46" s="5">
        <v>358.97</v>
      </c>
      <c r="M46">
        <v>65</v>
      </c>
      <c r="N46">
        <v>25</v>
      </c>
      <c r="O46">
        <v>19</v>
      </c>
      <c r="P46">
        <v>14</v>
      </c>
      <c r="Q46">
        <v>31</v>
      </c>
      <c r="R46">
        <v>1</v>
      </c>
      <c r="S46">
        <v>2</v>
      </c>
      <c r="T46">
        <v>1</v>
      </c>
      <c r="U46">
        <v>0</v>
      </c>
      <c r="V46">
        <v>1</v>
      </c>
      <c r="W46" t="s">
        <v>50</v>
      </c>
      <c r="X46">
        <v>40</v>
      </c>
      <c r="Y46">
        <v>0</v>
      </c>
      <c r="Z46">
        <f t="shared" si="0"/>
        <v>100</v>
      </c>
      <c r="AA46">
        <f t="shared" si="1"/>
        <v>1.6551724137931034</v>
      </c>
      <c r="AB46">
        <f t="shared" si="2"/>
        <v>3</v>
      </c>
      <c r="AC46" t="str">
        <f t="shared" si="3"/>
        <v>Low</v>
      </c>
      <c r="AD46" t="str">
        <f t="shared" si="4"/>
        <v>Upsell premium bundle</v>
      </c>
      <c r="AE46">
        <f t="shared" si="5"/>
        <v>0</v>
      </c>
    </row>
    <row r="47" spans="1:31" x14ac:dyDescent="0.35">
      <c r="A47" t="s">
        <v>105</v>
      </c>
      <c r="B47" s="4">
        <v>45012</v>
      </c>
      <c r="C47" s="4">
        <v>46143</v>
      </c>
      <c r="D47" t="s">
        <v>66</v>
      </c>
      <c r="E47">
        <v>37</v>
      </c>
      <c r="F47" t="s">
        <v>57</v>
      </c>
      <c r="G47" t="s">
        <v>34</v>
      </c>
      <c r="H47" t="s">
        <v>41</v>
      </c>
      <c r="I47" t="s">
        <v>36</v>
      </c>
      <c r="J47">
        <v>37</v>
      </c>
      <c r="K47" s="5">
        <v>1602.58</v>
      </c>
      <c r="L47" s="5">
        <v>1115.83</v>
      </c>
      <c r="M47">
        <v>20</v>
      </c>
      <c r="N47">
        <v>12</v>
      </c>
      <c r="O47">
        <v>5</v>
      </c>
      <c r="P47">
        <v>1</v>
      </c>
      <c r="Q47">
        <v>9</v>
      </c>
      <c r="R47">
        <v>2</v>
      </c>
      <c r="S47">
        <v>2</v>
      </c>
      <c r="T47">
        <v>1</v>
      </c>
      <c r="U47">
        <v>0</v>
      </c>
      <c r="V47">
        <v>0</v>
      </c>
      <c r="W47" t="s">
        <v>45</v>
      </c>
      <c r="X47">
        <v>-31</v>
      </c>
      <c r="Y47">
        <v>1</v>
      </c>
      <c r="Z47">
        <f t="shared" si="0"/>
        <v>46</v>
      </c>
      <c r="AA47">
        <f t="shared" si="1"/>
        <v>0.43283582089552236</v>
      </c>
      <c r="AB47">
        <f t="shared" si="2"/>
        <v>68</v>
      </c>
      <c r="AC47" t="str">
        <f t="shared" si="3"/>
        <v>Medium</v>
      </c>
      <c r="AD47" t="str">
        <f t="shared" si="4"/>
        <v>Nudge core feature adoption</v>
      </c>
      <c r="AE47">
        <f t="shared" si="5"/>
        <v>54</v>
      </c>
    </row>
    <row r="48" spans="1:31" x14ac:dyDescent="0.35">
      <c r="A48" t="s">
        <v>106</v>
      </c>
      <c r="B48" s="4">
        <v>44902</v>
      </c>
      <c r="C48" s="4">
        <v>46143</v>
      </c>
      <c r="D48" t="s">
        <v>47</v>
      </c>
      <c r="E48">
        <v>57</v>
      </c>
      <c r="F48" t="s">
        <v>57</v>
      </c>
      <c r="G48" t="s">
        <v>40</v>
      </c>
      <c r="H48" t="s">
        <v>58</v>
      </c>
      <c r="I48" t="s">
        <v>49</v>
      </c>
      <c r="J48">
        <v>41</v>
      </c>
      <c r="K48" s="5">
        <v>1278.57</v>
      </c>
      <c r="L48" s="5">
        <v>1548.41</v>
      </c>
      <c r="M48">
        <v>30</v>
      </c>
      <c r="N48">
        <v>21</v>
      </c>
      <c r="O48">
        <v>5</v>
      </c>
      <c r="P48">
        <v>5</v>
      </c>
      <c r="Q48">
        <v>39</v>
      </c>
      <c r="R48">
        <v>2</v>
      </c>
      <c r="S48">
        <v>0</v>
      </c>
      <c r="T48">
        <v>1</v>
      </c>
      <c r="U48">
        <v>0</v>
      </c>
      <c r="V48">
        <v>0</v>
      </c>
      <c r="W48" t="s">
        <v>55</v>
      </c>
      <c r="X48">
        <v>34</v>
      </c>
      <c r="Y48">
        <v>0</v>
      </c>
      <c r="Z48">
        <f t="shared" si="0"/>
        <v>96</v>
      </c>
      <c r="AA48">
        <f t="shared" si="1"/>
        <v>0.971830985915493</v>
      </c>
      <c r="AB48">
        <f t="shared" si="2"/>
        <v>0</v>
      </c>
      <c r="AC48" t="str">
        <f t="shared" si="3"/>
        <v>Low</v>
      </c>
      <c r="AD48" t="str">
        <f t="shared" si="4"/>
        <v>Upsell premium bundle</v>
      </c>
      <c r="AE48">
        <f t="shared" si="5"/>
        <v>4</v>
      </c>
    </row>
    <row r="49" spans="1:31" x14ac:dyDescent="0.35">
      <c r="A49" t="s">
        <v>107</v>
      </c>
      <c r="B49" s="4">
        <v>44978</v>
      </c>
      <c r="C49" s="4">
        <v>46143</v>
      </c>
      <c r="D49" t="s">
        <v>47</v>
      </c>
      <c r="E49">
        <v>56</v>
      </c>
      <c r="F49" t="s">
        <v>57</v>
      </c>
      <c r="G49" t="s">
        <v>40</v>
      </c>
      <c r="H49" t="s">
        <v>41</v>
      </c>
      <c r="I49" t="s">
        <v>36</v>
      </c>
      <c r="J49">
        <v>38</v>
      </c>
      <c r="K49" s="5">
        <v>1079.55</v>
      </c>
      <c r="L49" s="5">
        <v>896.05</v>
      </c>
      <c r="M49">
        <v>23</v>
      </c>
      <c r="N49">
        <v>10</v>
      </c>
      <c r="O49">
        <v>6</v>
      </c>
      <c r="P49">
        <v>0</v>
      </c>
      <c r="Q49">
        <v>14</v>
      </c>
      <c r="R49">
        <v>3</v>
      </c>
      <c r="S49">
        <v>0</v>
      </c>
      <c r="T49">
        <v>1</v>
      </c>
      <c r="U49">
        <v>0</v>
      </c>
      <c r="V49">
        <v>1</v>
      </c>
      <c r="W49" t="s">
        <v>52</v>
      </c>
      <c r="X49">
        <v>14</v>
      </c>
      <c r="Y49">
        <v>1</v>
      </c>
      <c r="Z49">
        <f t="shared" si="0"/>
        <v>59</v>
      </c>
      <c r="AA49">
        <f t="shared" si="1"/>
        <v>0.54411764705882348</v>
      </c>
      <c r="AB49">
        <f t="shared" si="2"/>
        <v>23</v>
      </c>
      <c r="AC49" t="str">
        <f t="shared" si="3"/>
        <v>Low</v>
      </c>
      <c r="AD49" t="str">
        <f t="shared" si="4"/>
        <v>Upsell premium bundle</v>
      </c>
      <c r="AE49">
        <f t="shared" si="5"/>
        <v>41</v>
      </c>
    </row>
    <row r="50" spans="1:31" x14ac:dyDescent="0.35">
      <c r="A50" t="s">
        <v>108</v>
      </c>
      <c r="B50" s="4">
        <v>44841</v>
      </c>
      <c r="C50" s="4">
        <v>46143</v>
      </c>
      <c r="D50" t="s">
        <v>47</v>
      </c>
      <c r="E50">
        <v>47</v>
      </c>
      <c r="F50" t="s">
        <v>43</v>
      </c>
      <c r="G50" t="s">
        <v>85</v>
      </c>
      <c r="H50" t="s">
        <v>41</v>
      </c>
      <c r="I50" t="s">
        <v>36</v>
      </c>
      <c r="J50">
        <v>43</v>
      </c>
      <c r="K50" s="5">
        <v>197.76</v>
      </c>
      <c r="L50" s="5">
        <v>53.82</v>
      </c>
      <c r="M50">
        <v>12</v>
      </c>
      <c r="N50">
        <v>5</v>
      </c>
      <c r="O50">
        <v>1</v>
      </c>
      <c r="P50">
        <v>1</v>
      </c>
      <c r="Q50">
        <v>18</v>
      </c>
      <c r="R50">
        <v>1</v>
      </c>
      <c r="S50">
        <v>0</v>
      </c>
      <c r="T50">
        <v>0</v>
      </c>
      <c r="U50">
        <v>0</v>
      </c>
      <c r="V50">
        <v>1</v>
      </c>
      <c r="W50" t="s">
        <v>52</v>
      </c>
      <c r="X50">
        <v>34</v>
      </c>
      <c r="Y50">
        <v>1</v>
      </c>
      <c r="Z50">
        <f t="shared" si="0"/>
        <v>43</v>
      </c>
      <c r="AA50">
        <f t="shared" si="1"/>
        <v>0.41095890410958902</v>
      </c>
      <c r="AB50">
        <f t="shared" si="2"/>
        <v>22</v>
      </c>
      <c r="AC50" t="str">
        <f t="shared" si="3"/>
        <v>Low</v>
      </c>
      <c r="AD50" t="str">
        <f t="shared" si="4"/>
        <v>Upsell premium bundle</v>
      </c>
      <c r="AE50">
        <f t="shared" si="5"/>
        <v>57</v>
      </c>
    </row>
    <row r="51" spans="1:31" x14ac:dyDescent="0.35">
      <c r="A51" t="s">
        <v>109</v>
      </c>
      <c r="B51" s="4">
        <v>45256</v>
      </c>
      <c r="C51" s="4">
        <v>46143</v>
      </c>
      <c r="D51" t="s">
        <v>32</v>
      </c>
      <c r="E51">
        <v>40</v>
      </c>
      <c r="F51" t="s">
        <v>57</v>
      </c>
      <c r="G51" t="s">
        <v>48</v>
      </c>
      <c r="H51" t="s">
        <v>41</v>
      </c>
      <c r="I51" t="s">
        <v>36</v>
      </c>
      <c r="J51">
        <v>29</v>
      </c>
      <c r="K51" s="5">
        <v>1397.51</v>
      </c>
      <c r="L51" s="5">
        <v>0</v>
      </c>
      <c r="M51">
        <v>34</v>
      </c>
      <c r="N51">
        <v>16</v>
      </c>
      <c r="O51">
        <v>4</v>
      </c>
      <c r="P51">
        <v>0</v>
      </c>
      <c r="Q51">
        <v>20</v>
      </c>
      <c r="R51">
        <v>2</v>
      </c>
      <c r="S51">
        <v>1</v>
      </c>
      <c r="T51">
        <v>0</v>
      </c>
      <c r="U51">
        <v>1</v>
      </c>
      <c r="V51">
        <v>0</v>
      </c>
      <c r="W51" t="s">
        <v>45</v>
      </c>
      <c r="X51">
        <v>23</v>
      </c>
      <c r="Y51">
        <v>1</v>
      </c>
      <c r="Z51">
        <f t="shared" si="0"/>
        <v>79</v>
      </c>
      <c r="AA51">
        <f t="shared" si="1"/>
        <v>0.9152542372881356</v>
      </c>
      <c r="AB51">
        <f t="shared" si="2"/>
        <v>20</v>
      </c>
      <c r="AC51" t="str">
        <f t="shared" si="3"/>
        <v>Low</v>
      </c>
      <c r="AD51" t="str">
        <f t="shared" si="4"/>
        <v>Upsell premium bundle</v>
      </c>
      <c r="AE51">
        <f t="shared" si="5"/>
        <v>21</v>
      </c>
    </row>
    <row r="52" spans="1:31" x14ac:dyDescent="0.35">
      <c r="A52" t="s">
        <v>110</v>
      </c>
      <c r="B52" s="4">
        <v>45833</v>
      </c>
      <c r="C52" s="4">
        <v>46143</v>
      </c>
      <c r="D52" t="s">
        <v>72</v>
      </c>
      <c r="E52">
        <v>51</v>
      </c>
      <c r="F52" t="s">
        <v>57</v>
      </c>
      <c r="G52" t="s">
        <v>63</v>
      </c>
      <c r="H52" t="s">
        <v>58</v>
      </c>
      <c r="I52" t="s">
        <v>36</v>
      </c>
      <c r="J52">
        <v>10</v>
      </c>
      <c r="K52" s="5">
        <v>1530.12</v>
      </c>
      <c r="L52" s="5">
        <v>0</v>
      </c>
      <c r="M52">
        <v>18</v>
      </c>
      <c r="N52">
        <v>11</v>
      </c>
      <c r="O52">
        <v>2</v>
      </c>
      <c r="P52">
        <v>2</v>
      </c>
      <c r="Q52">
        <v>19</v>
      </c>
      <c r="R52">
        <v>0</v>
      </c>
      <c r="S52">
        <v>0</v>
      </c>
      <c r="T52">
        <v>1</v>
      </c>
      <c r="U52">
        <v>0</v>
      </c>
      <c r="V52">
        <v>0</v>
      </c>
      <c r="W52" t="s">
        <v>50</v>
      </c>
      <c r="X52">
        <v>18</v>
      </c>
      <c r="Y52">
        <v>0</v>
      </c>
      <c r="Z52">
        <f t="shared" si="0"/>
        <v>50</v>
      </c>
      <c r="AA52">
        <f t="shared" si="1"/>
        <v>0.92500000000000004</v>
      </c>
      <c r="AB52">
        <f t="shared" si="2"/>
        <v>19</v>
      </c>
      <c r="AC52" t="str">
        <f t="shared" si="3"/>
        <v>Low</v>
      </c>
      <c r="AD52" t="str">
        <f t="shared" si="4"/>
        <v>Upsell premium bundle</v>
      </c>
      <c r="AE52">
        <f t="shared" si="5"/>
        <v>50</v>
      </c>
    </row>
    <row r="53" spans="1:31" x14ac:dyDescent="0.35">
      <c r="A53" t="s">
        <v>111</v>
      </c>
      <c r="B53" s="4">
        <v>46054</v>
      </c>
      <c r="C53" s="4">
        <v>46143</v>
      </c>
      <c r="D53" t="s">
        <v>72</v>
      </c>
      <c r="E53">
        <v>56</v>
      </c>
      <c r="F53" t="s">
        <v>57</v>
      </c>
      <c r="G53" t="s">
        <v>67</v>
      </c>
      <c r="H53" t="s">
        <v>41</v>
      </c>
      <c r="I53" t="s">
        <v>36</v>
      </c>
      <c r="J53">
        <v>2</v>
      </c>
      <c r="K53" s="5">
        <v>2275.58</v>
      </c>
      <c r="L53" s="5">
        <v>0</v>
      </c>
      <c r="M53">
        <v>27</v>
      </c>
      <c r="N53">
        <v>17</v>
      </c>
      <c r="O53">
        <v>5</v>
      </c>
      <c r="P53">
        <v>0</v>
      </c>
      <c r="Q53">
        <v>23</v>
      </c>
      <c r="R53">
        <v>4</v>
      </c>
      <c r="S53">
        <v>2</v>
      </c>
      <c r="T53">
        <v>1</v>
      </c>
      <c r="U53">
        <v>1</v>
      </c>
      <c r="V53">
        <v>0</v>
      </c>
      <c r="W53" t="s">
        <v>50</v>
      </c>
      <c r="X53">
        <v>-20</v>
      </c>
      <c r="Y53">
        <v>1</v>
      </c>
      <c r="Z53">
        <f t="shared" si="0"/>
        <v>76</v>
      </c>
      <c r="AA53">
        <f t="shared" si="1"/>
        <v>1.5625</v>
      </c>
      <c r="AB53">
        <f t="shared" si="2"/>
        <v>48</v>
      </c>
      <c r="AC53" t="str">
        <f t="shared" si="3"/>
        <v>Medium</v>
      </c>
      <c r="AD53" t="str">
        <f t="shared" si="4"/>
        <v>Nudge core feature adoption</v>
      </c>
      <c r="AE53">
        <f t="shared" si="5"/>
        <v>24</v>
      </c>
    </row>
    <row r="54" spans="1:31" x14ac:dyDescent="0.35">
      <c r="A54" t="s">
        <v>112</v>
      </c>
      <c r="B54" s="4">
        <v>44696</v>
      </c>
      <c r="C54" s="4">
        <v>46143</v>
      </c>
      <c r="D54" t="s">
        <v>60</v>
      </c>
      <c r="E54">
        <v>68</v>
      </c>
      <c r="F54" t="s">
        <v>33</v>
      </c>
      <c r="G54" t="s">
        <v>40</v>
      </c>
      <c r="H54" t="s">
        <v>44</v>
      </c>
      <c r="I54" t="s">
        <v>36</v>
      </c>
      <c r="J54">
        <v>48</v>
      </c>
      <c r="K54" s="5">
        <v>217.35</v>
      </c>
      <c r="L54" s="5">
        <v>76.09</v>
      </c>
      <c r="M54">
        <v>35</v>
      </c>
      <c r="N54">
        <v>15</v>
      </c>
      <c r="O54">
        <v>2</v>
      </c>
      <c r="P54">
        <v>2</v>
      </c>
      <c r="Q54">
        <v>17</v>
      </c>
      <c r="R54">
        <v>2</v>
      </c>
      <c r="S54">
        <v>0</v>
      </c>
      <c r="T54">
        <v>0</v>
      </c>
      <c r="U54">
        <v>0</v>
      </c>
      <c r="V54">
        <v>1</v>
      </c>
      <c r="W54" t="s">
        <v>37</v>
      </c>
      <c r="X54">
        <v>-5</v>
      </c>
      <c r="Y54">
        <v>0</v>
      </c>
      <c r="Z54">
        <f t="shared" si="0"/>
        <v>77</v>
      </c>
      <c r="AA54">
        <f t="shared" si="1"/>
        <v>0.66666666666666663</v>
      </c>
      <c r="AB54">
        <f t="shared" si="2"/>
        <v>17</v>
      </c>
      <c r="AC54" t="str">
        <f t="shared" si="3"/>
        <v>Low</v>
      </c>
      <c r="AD54" t="str">
        <f t="shared" si="4"/>
        <v>Upsell premium bundle</v>
      </c>
      <c r="AE54">
        <f t="shared" si="5"/>
        <v>23</v>
      </c>
    </row>
    <row r="55" spans="1:31" x14ac:dyDescent="0.35">
      <c r="A55" t="s">
        <v>113</v>
      </c>
      <c r="B55" s="4">
        <v>46103</v>
      </c>
      <c r="C55" s="4">
        <v>46143</v>
      </c>
      <c r="D55" t="s">
        <v>72</v>
      </c>
      <c r="E55">
        <v>21</v>
      </c>
      <c r="F55" t="s">
        <v>33</v>
      </c>
      <c r="G55" t="s">
        <v>34</v>
      </c>
      <c r="H55" t="s">
        <v>41</v>
      </c>
      <c r="I55" t="s">
        <v>36</v>
      </c>
      <c r="J55">
        <v>1</v>
      </c>
      <c r="K55" s="5">
        <v>672.08</v>
      </c>
      <c r="L55" s="5">
        <v>323.14</v>
      </c>
      <c r="M55">
        <v>30</v>
      </c>
      <c r="N55">
        <v>9</v>
      </c>
      <c r="O55">
        <v>3</v>
      </c>
      <c r="P55">
        <v>1</v>
      </c>
      <c r="Q55">
        <v>8</v>
      </c>
      <c r="R55">
        <v>0</v>
      </c>
      <c r="S55">
        <v>0</v>
      </c>
      <c r="T55">
        <v>0</v>
      </c>
      <c r="U55">
        <v>1</v>
      </c>
      <c r="V55">
        <v>1</v>
      </c>
      <c r="W55" t="s">
        <v>50</v>
      </c>
      <c r="X55">
        <v>80</v>
      </c>
      <c r="Y55">
        <v>0</v>
      </c>
      <c r="Z55">
        <f t="shared" si="0"/>
        <v>67</v>
      </c>
      <c r="AA55">
        <f t="shared" si="1"/>
        <v>1.2258064516129032</v>
      </c>
      <c r="AB55">
        <f t="shared" si="2"/>
        <v>0</v>
      </c>
      <c r="AC55" t="str">
        <f t="shared" si="3"/>
        <v>Low</v>
      </c>
      <c r="AD55" t="str">
        <f t="shared" si="4"/>
        <v>Upsell premium bundle</v>
      </c>
      <c r="AE55">
        <f t="shared" si="5"/>
        <v>33</v>
      </c>
    </row>
    <row r="56" spans="1:31" x14ac:dyDescent="0.35">
      <c r="A56" t="s">
        <v>114</v>
      </c>
      <c r="B56" s="4">
        <v>44856</v>
      </c>
      <c r="C56" s="4">
        <v>46143</v>
      </c>
      <c r="D56" t="s">
        <v>66</v>
      </c>
      <c r="E56">
        <v>65</v>
      </c>
      <c r="F56" t="s">
        <v>57</v>
      </c>
      <c r="G56" t="s">
        <v>85</v>
      </c>
      <c r="H56" t="s">
        <v>41</v>
      </c>
      <c r="I56" t="s">
        <v>36</v>
      </c>
      <c r="J56">
        <v>42</v>
      </c>
      <c r="K56" s="5">
        <v>38.119999999999997</v>
      </c>
      <c r="L56" s="5">
        <v>637.69000000000005</v>
      </c>
      <c r="M56">
        <v>26</v>
      </c>
      <c r="N56">
        <v>11</v>
      </c>
      <c r="O56">
        <v>2</v>
      </c>
      <c r="P56">
        <v>5</v>
      </c>
      <c r="Q56">
        <v>16</v>
      </c>
      <c r="R56">
        <v>3</v>
      </c>
      <c r="S56">
        <v>0</v>
      </c>
      <c r="T56">
        <v>1</v>
      </c>
      <c r="U56">
        <v>0</v>
      </c>
      <c r="V56">
        <v>0</v>
      </c>
      <c r="W56" t="s">
        <v>50</v>
      </c>
      <c r="X56">
        <v>6</v>
      </c>
      <c r="Y56">
        <v>0</v>
      </c>
      <c r="Z56">
        <f t="shared" si="0"/>
        <v>60</v>
      </c>
      <c r="AA56">
        <f t="shared" si="1"/>
        <v>0.58333333333333337</v>
      </c>
      <c r="AB56">
        <f t="shared" si="2"/>
        <v>27</v>
      </c>
      <c r="AC56" t="str">
        <f t="shared" si="3"/>
        <v>Low</v>
      </c>
      <c r="AD56" t="str">
        <f t="shared" si="4"/>
        <v>Upsell premium bundle</v>
      </c>
      <c r="AE56">
        <f t="shared" si="5"/>
        <v>40</v>
      </c>
    </row>
    <row r="57" spans="1:31" x14ac:dyDescent="0.35">
      <c r="A57" t="s">
        <v>115</v>
      </c>
      <c r="B57" s="4">
        <v>45286</v>
      </c>
      <c r="C57" s="4">
        <v>46143</v>
      </c>
      <c r="D57" t="s">
        <v>39</v>
      </c>
      <c r="E57">
        <v>27</v>
      </c>
      <c r="F57" t="s">
        <v>61</v>
      </c>
      <c r="G57" t="s">
        <v>85</v>
      </c>
      <c r="H57" t="s">
        <v>58</v>
      </c>
      <c r="I57" t="s">
        <v>49</v>
      </c>
      <c r="J57">
        <v>28</v>
      </c>
      <c r="K57" s="5">
        <v>4110.28</v>
      </c>
      <c r="L57" s="5">
        <v>0</v>
      </c>
      <c r="M57">
        <v>30</v>
      </c>
      <c r="N57">
        <v>17</v>
      </c>
      <c r="O57">
        <v>8</v>
      </c>
      <c r="P57">
        <v>1</v>
      </c>
      <c r="Q57">
        <v>31</v>
      </c>
      <c r="R57">
        <v>1</v>
      </c>
      <c r="S57">
        <v>0</v>
      </c>
      <c r="T57">
        <v>1</v>
      </c>
      <c r="U57">
        <v>0</v>
      </c>
      <c r="V57">
        <v>0</v>
      </c>
      <c r="W57" t="s">
        <v>50</v>
      </c>
      <c r="X57">
        <v>44</v>
      </c>
      <c r="Y57">
        <v>0</v>
      </c>
      <c r="Z57">
        <f t="shared" si="0"/>
        <v>84</v>
      </c>
      <c r="AA57">
        <f t="shared" si="1"/>
        <v>1.0517241379310345</v>
      </c>
      <c r="AB57">
        <f t="shared" si="2"/>
        <v>7</v>
      </c>
      <c r="AC57" t="str">
        <f t="shared" si="3"/>
        <v>Low</v>
      </c>
      <c r="AD57" t="str">
        <f t="shared" si="4"/>
        <v>Upsell premium bundle</v>
      </c>
      <c r="AE57">
        <f t="shared" si="5"/>
        <v>16</v>
      </c>
    </row>
    <row r="58" spans="1:31" x14ac:dyDescent="0.35">
      <c r="A58" t="s">
        <v>116</v>
      </c>
      <c r="B58" s="4">
        <v>45930</v>
      </c>
      <c r="C58" s="4">
        <v>46143</v>
      </c>
      <c r="D58" t="s">
        <v>60</v>
      </c>
      <c r="E58">
        <v>53</v>
      </c>
      <c r="F58" t="s">
        <v>61</v>
      </c>
      <c r="G58" t="s">
        <v>48</v>
      </c>
      <c r="H58" t="s">
        <v>41</v>
      </c>
      <c r="I58" t="s">
        <v>36</v>
      </c>
      <c r="J58">
        <v>7</v>
      </c>
      <c r="K58" s="5">
        <v>3129.76</v>
      </c>
      <c r="L58" s="5">
        <v>138.59</v>
      </c>
      <c r="M58">
        <v>30</v>
      </c>
      <c r="N58">
        <v>18</v>
      </c>
      <c r="O58">
        <v>6</v>
      </c>
      <c r="P58">
        <v>0</v>
      </c>
      <c r="Q58">
        <v>19</v>
      </c>
      <c r="R58">
        <v>2</v>
      </c>
      <c r="S58">
        <v>1</v>
      </c>
      <c r="T58">
        <v>1</v>
      </c>
      <c r="U58">
        <v>0</v>
      </c>
      <c r="V58">
        <v>1</v>
      </c>
      <c r="W58" t="s">
        <v>55</v>
      </c>
      <c r="X58">
        <v>44</v>
      </c>
      <c r="Y58">
        <v>0</v>
      </c>
      <c r="Z58">
        <f t="shared" si="0"/>
        <v>77</v>
      </c>
      <c r="AA58">
        <f t="shared" si="1"/>
        <v>1.3243243243243243</v>
      </c>
      <c r="AB58">
        <f t="shared" si="2"/>
        <v>10</v>
      </c>
      <c r="AC58" t="str">
        <f t="shared" si="3"/>
        <v>Low</v>
      </c>
      <c r="AD58" t="str">
        <f t="shared" si="4"/>
        <v>Upsell premium bundle</v>
      </c>
      <c r="AE58">
        <f t="shared" si="5"/>
        <v>23</v>
      </c>
    </row>
    <row r="59" spans="1:31" x14ac:dyDescent="0.35">
      <c r="A59" t="s">
        <v>117</v>
      </c>
      <c r="B59" s="4">
        <v>45427</v>
      </c>
      <c r="C59" s="4">
        <v>46143</v>
      </c>
      <c r="D59" t="s">
        <v>72</v>
      </c>
      <c r="E59">
        <v>66</v>
      </c>
      <c r="F59" t="s">
        <v>33</v>
      </c>
      <c r="G59" t="s">
        <v>48</v>
      </c>
      <c r="H59" t="s">
        <v>41</v>
      </c>
      <c r="I59" t="s">
        <v>36</v>
      </c>
      <c r="J59">
        <v>23</v>
      </c>
      <c r="K59" s="5">
        <v>341.72</v>
      </c>
      <c r="L59" s="5">
        <v>258.14</v>
      </c>
      <c r="M59">
        <v>21</v>
      </c>
      <c r="N59">
        <v>13</v>
      </c>
      <c r="O59">
        <v>5</v>
      </c>
      <c r="P59">
        <v>0</v>
      </c>
      <c r="Q59">
        <v>12</v>
      </c>
      <c r="R59">
        <v>3</v>
      </c>
      <c r="S59">
        <v>1</v>
      </c>
      <c r="T59">
        <v>1</v>
      </c>
      <c r="U59">
        <v>1</v>
      </c>
      <c r="V59">
        <v>0</v>
      </c>
      <c r="W59" t="s">
        <v>50</v>
      </c>
      <c r="X59">
        <v>27</v>
      </c>
      <c r="Y59">
        <v>1</v>
      </c>
      <c r="Z59">
        <f t="shared" si="0"/>
        <v>57</v>
      </c>
      <c r="AA59">
        <f t="shared" si="1"/>
        <v>0.62264150943396224</v>
      </c>
      <c r="AB59">
        <f t="shared" si="2"/>
        <v>25</v>
      </c>
      <c r="AC59" t="str">
        <f t="shared" si="3"/>
        <v>Low</v>
      </c>
      <c r="AD59" t="str">
        <f t="shared" si="4"/>
        <v>Upsell premium bundle</v>
      </c>
      <c r="AE59">
        <f t="shared" si="5"/>
        <v>43</v>
      </c>
    </row>
    <row r="60" spans="1:31" x14ac:dyDescent="0.35">
      <c r="A60" t="s">
        <v>118</v>
      </c>
      <c r="B60" s="4">
        <v>45153</v>
      </c>
      <c r="C60" s="4">
        <v>46143</v>
      </c>
      <c r="D60" t="s">
        <v>32</v>
      </c>
      <c r="E60">
        <v>31</v>
      </c>
      <c r="F60" t="s">
        <v>43</v>
      </c>
      <c r="G60" t="s">
        <v>40</v>
      </c>
      <c r="H60" t="s">
        <v>58</v>
      </c>
      <c r="I60" t="s">
        <v>36</v>
      </c>
      <c r="J60">
        <v>33</v>
      </c>
      <c r="K60" s="5">
        <v>180.1</v>
      </c>
      <c r="L60" s="5">
        <v>48.72</v>
      </c>
      <c r="M60">
        <v>27</v>
      </c>
      <c r="N60">
        <v>14</v>
      </c>
      <c r="O60">
        <v>7</v>
      </c>
      <c r="P60">
        <v>1</v>
      </c>
      <c r="Q60">
        <v>25</v>
      </c>
      <c r="R60">
        <v>0</v>
      </c>
      <c r="S60">
        <v>2</v>
      </c>
      <c r="T60">
        <v>1</v>
      </c>
      <c r="U60">
        <v>0</v>
      </c>
      <c r="V60">
        <v>1</v>
      </c>
      <c r="W60" t="s">
        <v>45</v>
      </c>
      <c r="X60">
        <v>-15</v>
      </c>
      <c r="Y60">
        <v>0</v>
      </c>
      <c r="Z60">
        <f t="shared" si="0"/>
        <v>79</v>
      </c>
      <c r="AA60">
        <f t="shared" si="1"/>
        <v>0.82539682539682535</v>
      </c>
      <c r="AB60">
        <f t="shared" si="2"/>
        <v>40</v>
      </c>
      <c r="AC60" t="str">
        <f t="shared" si="3"/>
        <v>Medium</v>
      </c>
      <c r="AD60" t="str">
        <f t="shared" si="4"/>
        <v>Nudge core feature adoption</v>
      </c>
      <c r="AE60">
        <f t="shared" si="5"/>
        <v>21</v>
      </c>
    </row>
    <row r="61" spans="1:31" x14ac:dyDescent="0.35">
      <c r="A61" t="s">
        <v>119</v>
      </c>
      <c r="B61" s="4">
        <v>45594</v>
      </c>
      <c r="C61" s="4">
        <v>46143</v>
      </c>
      <c r="D61" t="s">
        <v>72</v>
      </c>
      <c r="E61">
        <v>19</v>
      </c>
      <c r="F61" t="s">
        <v>77</v>
      </c>
      <c r="G61" t="s">
        <v>34</v>
      </c>
      <c r="H61" t="s">
        <v>44</v>
      </c>
      <c r="I61" t="s">
        <v>36</v>
      </c>
      <c r="J61">
        <v>18</v>
      </c>
      <c r="K61" s="5">
        <v>15952.71</v>
      </c>
      <c r="L61" s="5">
        <v>4318.29</v>
      </c>
      <c r="M61">
        <v>54</v>
      </c>
      <c r="N61">
        <v>35</v>
      </c>
      <c r="O61">
        <v>15</v>
      </c>
      <c r="P61">
        <v>3</v>
      </c>
      <c r="Q61">
        <v>30</v>
      </c>
      <c r="R61">
        <v>0</v>
      </c>
      <c r="S61">
        <v>0</v>
      </c>
      <c r="T61">
        <v>0</v>
      </c>
      <c r="U61">
        <v>0</v>
      </c>
      <c r="V61">
        <v>1</v>
      </c>
      <c r="W61" t="s">
        <v>50</v>
      </c>
      <c r="X61">
        <v>65</v>
      </c>
      <c r="Y61">
        <v>0</v>
      </c>
      <c r="Z61">
        <f t="shared" si="0"/>
        <v>100</v>
      </c>
      <c r="AA61">
        <f t="shared" si="1"/>
        <v>1.75</v>
      </c>
      <c r="AB61">
        <f t="shared" si="2"/>
        <v>0</v>
      </c>
      <c r="AC61" t="str">
        <f t="shared" si="3"/>
        <v>Low</v>
      </c>
      <c r="AD61" t="str">
        <f t="shared" si="4"/>
        <v>Upsell premium bundle</v>
      </c>
      <c r="AE61">
        <f t="shared" si="5"/>
        <v>0</v>
      </c>
    </row>
    <row r="62" spans="1:31" x14ac:dyDescent="0.35">
      <c r="A62" t="s">
        <v>120</v>
      </c>
      <c r="B62" s="4">
        <v>45931</v>
      </c>
      <c r="C62" s="4">
        <v>46143</v>
      </c>
      <c r="D62" t="s">
        <v>66</v>
      </c>
      <c r="E62">
        <v>40</v>
      </c>
      <c r="F62" t="s">
        <v>33</v>
      </c>
      <c r="G62" t="s">
        <v>63</v>
      </c>
      <c r="H62" t="s">
        <v>35</v>
      </c>
      <c r="I62" t="s">
        <v>49</v>
      </c>
      <c r="J62">
        <v>7</v>
      </c>
      <c r="K62" s="5">
        <v>225.14</v>
      </c>
      <c r="L62" s="5">
        <v>28.28</v>
      </c>
      <c r="M62">
        <v>24</v>
      </c>
      <c r="N62">
        <v>16</v>
      </c>
      <c r="O62">
        <v>4</v>
      </c>
      <c r="P62">
        <v>2</v>
      </c>
      <c r="Q62">
        <v>20</v>
      </c>
      <c r="R62">
        <v>0</v>
      </c>
      <c r="S62">
        <v>0</v>
      </c>
      <c r="T62">
        <v>1</v>
      </c>
      <c r="U62">
        <v>0</v>
      </c>
      <c r="V62">
        <v>0</v>
      </c>
      <c r="W62" t="s">
        <v>52</v>
      </c>
      <c r="X62">
        <v>55</v>
      </c>
      <c r="Y62">
        <v>0</v>
      </c>
      <c r="Z62">
        <f t="shared" si="0"/>
        <v>63</v>
      </c>
      <c r="AA62">
        <f t="shared" si="1"/>
        <v>1.1891891891891893</v>
      </c>
      <c r="AB62">
        <f t="shared" si="2"/>
        <v>11</v>
      </c>
      <c r="AC62" t="str">
        <f t="shared" si="3"/>
        <v>Low</v>
      </c>
      <c r="AD62" t="str">
        <f t="shared" si="4"/>
        <v>Upsell premium bundle</v>
      </c>
      <c r="AE62">
        <f t="shared" si="5"/>
        <v>37</v>
      </c>
    </row>
    <row r="63" spans="1:31" x14ac:dyDescent="0.35">
      <c r="A63" t="s">
        <v>121</v>
      </c>
      <c r="B63" s="4">
        <v>45958</v>
      </c>
      <c r="C63" s="4">
        <v>46143</v>
      </c>
      <c r="D63" t="s">
        <v>72</v>
      </c>
      <c r="E63">
        <v>59</v>
      </c>
      <c r="F63" t="s">
        <v>57</v>
      </c>
      <c r="G63" t="s">
        <v>48</v>
      </c>
      <c r="H63" t="s">
        <v>44</v>
      </c>
      <c r="I63" t="s">
        <v>36</v>
      </c>
      <c r="J63">
        <v>6</v>
      </c>
      <c r="K63" s="5">
        <v>2831.83</v>
      </c>
      <c r="L63" s="5">
        <v>0</v>
      </c>
      <c r="M63">
        <v>53</v>
      </c>
      <c r="N63">
        <v>25</v>
      </c>
      <c r="O63">
        <v>14</v>
      </c>
      <c r="P63">
        <v>5</v>
      </c>
      <c r="Q63">
        <v>31</v>
      </c>
      <c r="R63">
        <v>1</v>
      </c>
      <c r="S63">
        <v>2</v>
      </c>
      <c r="T63">
        <v>0</v>
      </c>
      <c r="U63">
        <v>0</v>
      </c>
      <c r="V63">
        <v>1</v>
      </c>
      <c r="W63" t="s">
        <v>50</v>
      </c>
      <c r="X63">
        <v>65</v>
      </c>
      <c r="Y63">
        <v>0</v>
      </c>
      <c r="Z63">
        <f t="shared" si="0"/>
        <v>100</v>
      </c>
      <c r="AA63">
        <f t="shared" si="1"/>
        <v>2.3333333333333335</v>
      </c>
      <c r="AB63">
        <f t="shared" si="2"/>
        <v>0</v>
      </c>
      <c r="AC63" t="str">
        <f t="shared" si="3"/>
        <v>Low</v>
      </c>
      <c r="AD63" t="str">
        <f t="shared" si="4"/>
        <v>Upsell premium bundle</v>
      </c>
      <c r="AE63">
        <f t="shared" si="5"/>
        <v>0</v>
      </c>
    </row>
    <row r="64" spans="1:31" x14ac:dyDescent="0.35">
      <c r="A64" t="s">
        <v>122</v>
      </c>
      <c r="B64" s="4">
        <v>45686</v>
      </c>
      <c r="C64" s="4">
        <v>46143</v>
      </c>
      <c r="D64" t="s">
        <v>47</v>
      </c>
      <c r="E64">
        <v>72</v>
      </c>
      <c r="F64" t="s">
        <v>33</v>
      </c>
      <c r="G64" t="s">
        <v>40</v>
      </c>
      <c r="H64" t="s">
        <v>58</v>
      </c>
      <c r="I64" t="s">
        <v>36</v>
      </c>
      <c r="J64">
        <v>15</v>
      </c>
      <c r="K64" s="5">
        <v>331.17</v>
      </c>
      <c r="L64" s="5">
        <v>13.63</v>
      </c>
      <c r="M64">
        <v>30</v>
      </c>
      <c r="N64">
        <v>19</v>
      </c>
      <c r="O64">
        <v>6</v>
      </c>
      <c r="P64">
        <v>5</v>
      </c>
      <c r="Q64">
        <v>17</v>
      </c>
      <c r="R64">
        <v>0</v>
      </c>
      <c r="S64">
        <v>0</v>
      </c>
      <c r="T64">
        <v>1</v>
      </c>
      <c r="U64">
        <v>0</v>
      </c>
      <c r="V64">
        <v>0</v>
      </c>
      <c r="W64" t="s">
        <v>55</v>
      </c>
      <c r="X64">
        <v>6</v>
      </c>
      <c r="Y64">
        <v>0</v>
      </c>
      <c r="Z64">
        <f t="shared" si="0"/>
        <v>76</v>
      </c>
      <c r="AA64">
        <f t="shared" si="1"/>
        <v>1.0444444444444445</v>
      </c>
      <c r="AB64">
        <f t="shared" si="2"/>
        <v>15</v>
      </c>
      <c r="AC64" t="str">
        <f t="shared" si="3"/>
        <v>Low</v>
      </c>
      <c r="AD64" t="str">
        <f t="shared" si="4"/>
        <v>Upsell premium bundle</v>
      </c>
      <c r="AE64">
        <f t="shared" si="5"/>
        <v>24</v>
      </c>
    </row>
    <row r="65" spans="1:31" x14ac:dyDescent="0.35">
      <c r="A65" t="s">
        <v>123</v>
      </c>
      <c r="B65" s="4">
        <v>44878</v>
      </c>
      <c r="C65" s="4">
        <v>46143</v>
      </c>
      <c r="D65" t="s">
        <v>39</v>
      </c>
      <c r="E65">
        <v>67</v>
      </c>
      <c r="F65" t="s">
        <v>57</v>
      </c>
      <c r="G65" t="s">
        <v>48</v>
      </c>
      <c r="H65" t="s">
        <v>58</v>
      </c>
      <c r="I65" t="s">
        <v>36</v>
      </c>
      <c r="J65">
        <v>42</v>
      </c>
      <c r="K65" s="5">
        <v>1420.25</v>
      </c>
      <c r="L65" s="5">
        <v>1128.3800000000001</v>
      </c>
      <c r="M65">
        <v>23</v>
      </c>
      <c r="N65">
        <v>14</v>
      </c>
      <c r="O65">
        <v>5</v>
      </c>
      <c r="P65">
        <v>4</v>
      </c>
      <c r="Q65">
        <v>23</v>
      </c>
      <c r="R65">
        <v>3</v>
      </c>
      <c r="S65">
        <v>1</v>
      </c>
      <c r="T65">
        <v>1</v>
      </c>
      <c r="U65">
        <v>1</v>
      </c>
      <c r="V65">
        <v>1</v>
      </c>
      <c r="W65" t="s">
        <v>50</v>
      </c>
      <c r="X65">
        <v>25</v>
      </c>
      <c r="Y65">
        <v>1</v>
      </c>
      <c r="Z65">
        <f t="shared" si="0"/>
        <v>82</v>
      </c>
      <c r="AA65">
        <f t="shared" si="1"/>
        <v>0.63888888888888884</v>
      </c>
      <c r="AB65">
        <f t="shared" si="2"/>
        <v>6</v>
      </c>
      <c r="AC65" t="str">
        <f t="shared" si="3"/>
        <v>Low</v>
      </c>
      <c r="AD65" t="str">
        <f t="shared" si="4"/>
        <v>Upsell premium bundle</v>
      </c>
      <c r="AE65">
        <f t="shared" si="5"/>
        <v>18</v>
      </c>
    </row>
    <row r="66" spans="1:31" x14ac:dyDescent="0.35">
      <c r="A66" t="s">
        <v>124</v>
      </c>
      <c r="B66" s="4">
        <v>44849</v>
      </c>
      <c r="C66" s="4">
        <v>46143</v>
      </c>
      <c r="D66" t="s">
        <v>32</v>
      </c>
      <c r="E66">
        <v>62</v>
      </c>
      <c r="F66" t="s">
        <v>33</v>
      </c>
      <c r="G66" t="s">
        <v>34</v>
      </c>
      <c r="H66" t="s">
        <v>44</v>
      </c>
      <c r="I66" t="s">
        <v>36</v>
      </c>
      <c r="J66">
        <v>43</v>
      </c>
      <c r="K66" s="5">
        <v>255.65</v>
      </c>
      <c r="L66" s="5">
        <v>668.46</v>
      </c>
      <c r="M66">
        <v>38</v>
      </c>
      <c r="N66">
        <v>11</v>
      </c>
      <c r="O66">
        <v>2</v>
      </c>
      <c r="P66">
        <v>6</v>
      </c>
      <c r="Q66">
        <v>31</v>
      </c>
      <c r="R66">
        <v>1</v>
      </c>
      <c r="S66">
        <v>0</v>
      </c>
      <c r="T66">
        <v>0</v>
      </c>
      <c r="U66">
        <v>0</v>
      </c>
      <c r="V66">
        <v>0</v>
      </c>
      <c r="W66" t="s">
        <v>50</v>
      </c>
      <c r="X66">
        <v>-7</v>
      </c>
      <c r="Y66">
        <v>0</v>
      </c>
      <c r="Z66">
        <f t="shared" ref="Z66:Z129" si="6">MIN(100,ROUND((M66*1.1+N66*0.7+O66*1.2+P66*1.4+Q66*0.9+U66*8+V66*7),0))</f>
        <v>88</v>
      </c>
      <c r="AA66">
        <f t="shared" ref="AA66:AA129" si="7">IFERROR((M66+Q66)/(30+J66),0)</f>
        <v>0.9452054794520548</v>
      </c>
      <c r="AB66">
        <f t="shared" ref="AB66:AB129" si="8">ROUND(MIN(100,MAX(0,60-Z66*0.4-R66*1.5+S66*8-IF(L66&gt;1500,10,0)-X66*0.5+IF(I66="Completed",-8,8)+IF(H66="Free",6,-4))),0)</f>
        <v>15</v>
      </c>
      <c r="AC66" t="str">
        <f t="shared" ref="AC66:AC129" si="9">IF(AB66&gt;=70,"High",IF(AB66&gt;=40,"Medium","Low"))</f>
        <v>Low</v>
      </c>
      <c r="AD66" t="str">
        <f t="shared" ref="AD66:AD129" si="10">IF(AC66="High",IF(Q66&lt;5,"Re-engage with app usage offer",IF(K66&lt;100,"Deposit incentive","Retention call")),IF(AC66="Medium","Nudge core feature adoption","Upsell premium bundle"))</f>
        <v>Upsell premium bundle</v>
      </c>
      <c r="AE66">
        <f t="shared" ref="AE66:AE129" si="11">100-Z66</f>
        <v>12</v>
      </c>
    </row>
    <row r="67" spans="1:31" x14ac:dyDescent="0.35">
      <c r="A67" t="s">
        <v>125</v>
      </c>
      <c r="B67" s="4">
        <v>45879</v>
      </c>
      <c r="C67" s="4">
        <v>46143</v>
      </c>
      <c r="D67" t="s">
        <v>39</v>
      </c>
      <c r="E67">
        <v>65</v>
      </c>
      <c r="F67" t="s">
        <v>57</v>
      </c>
      <c r="G67" t="s">
        <v>85</v>
      </c>
      <c r="H67" t="s">
        <v>41</v>
      </c>
      <c r="I67" t="s">
        <v>36</v>
      </c>
      <c r="J67">
        <v>8</v>
      </c>
      <c r="K67" s="5">
        <v>1011.39</v>
      </c>
      <c r="L67" s="5">
        <v>1665.01</v>
      </c>
      <c r="M67">
        <v>33</v>
      </c>
      <c r="N67">
        <v>12</v>
      </c>
      <c r="O67">
        <v>7</v>
      </c>
      <c r="P67">
        <v>0</v>
      </c>
      <c r="Q67">
        <v>9</v>
      </c>
      <c r="R67">
        <v>0</v>
      </c>
      <c r="S67">
        <v>0</v>
      </c>
      <c r="T67">
        <v>0</v>
      </c>
      <c r="U67">
        <v>0</v>
      </c>
      <c r="V67">
        <v>1</v>
      </c>
      <c r="W67" t="s">
        <v>52</v>
      </c>
      <c r="X67">
        <v>45</v>
      </c>
      <c r="Y67">
        <v>0</v>
      </c>
      <c r="Z67">
        <f t="shared" si="6"/>
        <v>68</v>
      </c>
      <c r="AA67">
        <f t="shared" si="7"/>
        <v>1.1052631578947369</v>
      </c>
      <c r="AB67">
        <f t="shared" si="8"/>
        <v>0</v>
      </c>
      <c r="AC67" t="str">
        <f t="shared" si="9"/>
        <v>Low</v>
      </c>
      <c r="AD67" t="str">
        <f t="shared" si="10"/>
        <v>Upsell premium bundle</v>
      </c>
      <c r="AE67">
        <f t="shared" si="11"/>
        <v>32</v>
      </c>
    </row>
    <row r="68" spans="1:31" x14ac:dyDescent="0.35">
      <c r="A68" t="s">
        <v>126</v>
      </c>
      <c r="B68" s="4">
        <v>45860</v>
      </c>
      <c r="C68" s="4">
        <v>46143</v>
      </c>
      <c r="D68" t="s">
        <v>66</v>
      </c>
      <c r="E68">
        <v>24</v>
      </c>
      <c r="F68" t="s">
        <v>33</v>
      </c>
      <c r="G68" t="s">
        <v>63</v>
      </c>
      <c r="H68" t="s">
        <v>41</v>
      </c>
      <c r="I68" t="s">
        <v>36</v>
      </c>
      <c r="J68">
        <v>9</v>
      </c>
      <c r="K68" s="5">
        <v>266.31</v>
      </c>
      <c r="L68" s="5">
        <v>276.43</v>
      </c>
      <c r="M68">
        <v>22</v>
      </c>
      <c r="N68">
        <v>13</v>
      </c>
      <c r="O68">
        <v>5</v>
      </c>
      <c r="P68">
        <v>0</v>
      </c>
      <c r="Q68">
        <v>4</v>
      </c>
      <c r="R68">
        <v>1</v>
      </c>
      <c r="S68">
        <v>0</v>
      </c>
      <c r="T68">
        <v>0</v>
      </c>
      <c r="U68">
        <v>0</v>
      </c>
      <c r="V68">
        <v>0</v>
      </c>
      <c r="W68" t="s">
        <v>45</v>
      </c>
      <c r="X68">
        <v>52</v>
      </c>
      <c r="Y68">
        <v>0</v>
      </c>
      <c r="Z68">
        <f t="shared" si="6"/>
        <v>43</v>
      </c>
      <c r="AA68">
        <f t="shared" si="7"/>
        <v>0.66666666666666663</v>
      </c>
      <c r="AB68">
        <f t="shared" si="8"/>
        <v>13</v>
      </c>
      <c r="AC68" t="str">
        <f t="shared" si="9"/>
        <v>Low</v>
      </c>
      <c r="AD68" t="str">
        <f t="shared" si="10"/>
        <v>Upsell premium bundle</v>
      </c>
      <c r="AE68">
        <f t="shared" si="11"/>
        <v>57</v>
      </c>
    </row>
    <row r="69" spans="1:31" x14ac:dyDescent="0.35">
      <c r="A69" t="s">
        <v>127</v>
      </c>
      <c r="B69" s="4">
        <v>45716</v>
      </c>
      <c r="C69" s="4">
        <v>46143</v>
      </c>
      <c r="D69" t="s">
        <v>32</v>
      </c>
      <c r="E69">
        <v>37</v>
      </c>
      <c r="F69" t="s">
        <v>57</v>
      </c>
      <c r="G69" t="s">
        <v>63</v>
      </c>
      <c r="H69" t="s">
        <v>58</v>
      </c>
      <c r="I69" t="s">
        <v>36</v>
      </c>
      <c r="J69">
        <v>14</v>
      </c>
      <c r="K69" s="5">
        <v>1204.4000000000001</v>
      </c>
      <c r="L69" s="5">
        <v>867.07</v>
      </c>
      <c r="M69">
        <v>22</v>
      </c>
      <c r="N69">
        <v>8</v>
      </c>
      <c r="O69">
        <v>6</v>
      </c>
      <c r="P69">
        <v>2</v>
      </c>
      <c r="Q69">
        <v>22</v>
      </c>
      <c r="R69">
        <v>1</v>
      </c>
      <c r="S69">
        <v>0</v>
      </c>
      <c r="T69">
        <v>1</v>
      </c>
      <c r="U69">
        <v>0</v>
      </c>
      <c r="V69">
        <v>0</v>
      </c>
      <c r="W69" t="s">
        <v>55</v>
      </c>
      <c r="X69">
        <v>-8</v>
      </c>
      <c r="Y69">
        <v>0</v>
      </c>
      <c r="Z69">
        <f t="shared" si="6"/>
        <v>60</v>
      </c>
      <c r="AA69">
        <f t="shared" si="7"/>
        <v>1</v>
      </c>
      <c r="AB69">
        <f t="shared" si="8"/>
        <v>27</v>
      </c>
      <c r="AC69" t="str">
        <f t="shared" si="9"/>
        <v>Low</v>
      </c>
      <c r="AD69" t="str">
        <f t="shared" si="10"/>
        <v>Upsell premium bundle</v>
      </c>
      <c r="AE69">
        <f t="shared" si="11"/>
        <v>40</v>
      </c>
    </row>
    <row r="70" spans="1:31" x14ac:dyDescent="0.35">
      <c r="A70" t="s">
        <v>128</v>
      </c>
      <c r="B70" s="4">
        <v>45395</v>
      </c>
      <c r="C70" s="4">
        <v>46143</v>
      </c>
      <c r="D70" t="s">
        <v>66</v>
      </c>
      <c r="E70">
        <v>33</v>
      </c>
      <c r="F70" t="s">
        <v>43</v>
      </c>
      <c r="G70" t="s">
        <v>85</v>
      </c>
      <c r="H70" t="s">
        <v>41</v>
      </c>
      <c r="I70" t="s">
        <v>36</v>
      </c>
      <c r="J70">
        <v>24</v>
      </c>
      <c r="K70" s="5">
        <v>0</v>
      </c>
      <c r="L70" s="5">
        <v>44.86</v>
      </c>
      <c r="M70">
        <v>30</v>
      </c>
      <c r="N70">
        <v>16</v>
      </c>
      <c r="O70">
        <v>1</v>
      </c>
      <c r="P70">
        <v>0</v>
      </c>
      <c r="Q70">
        <v>23</v>
      </c>
      <c r="R70">
        <v>1</v>
      </c>
      <c r="S70">
        <v>1</v>
      </c>
      <c r="T70">
        <v>1</v>
      </c>
      <c r="U70">
        <v>1</v>
      </c>
      <c r="V70">
        <v>0</v>
      </c>
      <c r="W70" t="s">
        <v>45</v>
      </c>
      <c r="X70">
        <v>74</v>
      </c>
      <c r="Y70">
        <v>0</v>
      </c>
      <c r="Z70">
        <f t="shared" si="6"/>
        <v>74</v>
      </c>
      <c r="AA70">
        <f t="shared" si="7"/>
        <v>0.98148148148148151</v>
      </c>
      <c r="AB70">
        <f t="shared" si="8"/>
        <v>0</v>
      </c>
      <c r="AC70" t="str">
        <f t="shared" si="9"/>
        <v>Low</v>
      </c>
      <c r="AD70" t="str">
        <f t="shared" si="10"/>
        <v>Upsell premium bundle</v>
      </c>
      <c r="AE70">
        <f t="shared" si="11"/>
        <v>26</v>
      </c>
    </row>
    <row r="71" spans="1:31" x14ac:dyDescent="0.35">
      <c r="A71" t="s">
        <v>129</v>
      </c>
      <c r="B71" s="4">
        <v>45840</v>
      </c>
      <c r="C71" s="4">
        <v>46143</v>
      </c>
      <c r="D71" t="s">
        <v>72</v>
      </c>
      <c r="E71">
        <v>30</v>
      </c>
      <c r="F71" t="s">
        <v>33</v>
      </c>
      <c r="G71" t="s">
        <v>63</v>
      </c>
      <c r="H71" t="s">
        <v>41</v>
      </c>
      <c r="I71" t="s">
        <v>36</v>
      </c>
      <c r="J71">
        <v>10</v>
      </c>
      <c r="K71" s="5">
        <v>660.96</v>
      </c>
      <c r="L71" s="5">
        <v>288.62</v>
      </c>
      <c r="M71">
        <v>15</v>
      </c>
      <c r="N71">
        <v>3</v>
      </c>
      <c r="O71">
        <v>2</v>
      </c>
      <c r="P71">
        <v>1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 t="s">
        <v>45</v>
      </c>
      <c r="X71">
        <v>-14</v>
      </c>
      <c r="Y71">
        <v>1</v>
      </c>
      <c r="Z71">
        <f t="shared" si="6"/>
        <v>30</v>
      </c>
      <c r="AA71">
        <f t="shared" si="7"/>
        <v>0.375</v>
      </c>
      <c r="AB71">
        <f t="shared" si="8"/>
        <v>53</v>
      </c>
      <c r="AC71" t="str">
        <f t="shared" si="9"/>
        <v>Medium</v>
      </c>
      <c r="AD71" t="str">
        <f t="shared" si="10"/>
        <v>Nudge core feature adoption</v>
      </c>
      <c r="AE71">
        <f t="shared" si="11"/>
        <v>70</v>
      </c>
    </row>
    <row r="72" spans="1:31" x14ac:dyDescent="0.35">
      <c r="A72" t="s">
        <v>130</v>
      </c>
      <c r="B72" s="4">
        <v>45860</v>
      </c>
      <c r="C72" s="4">
        <v>46143</v>
      </c>
      <c r="D72" t="s">
        <v>32</v>
      </c>
      <c r="E72">
        <v>45</v>
      </c>
      <c r="F72" t="s">
        <v>77</v>
      </c>
      <c r="G72" t="s">
        <v>63</v>
      </c>
      <c r="H72" t="s">
        <v>58</v>
      </c>
      <c r="I72" t="s">
        <v>36</v>
      </c>
      <c r="J72">
        <v>9</v>
      </c>
      <c r="K72" s="5">
        <v>3722.11</v>
      </c>
      <c r="L72" s="5">
        <v>7937.92</v>
      </c>
      <c r="M72">
        <v>27</v>
      </c>
      <c r="N72">
        <v>14</v>
      </c>
      <c r="O72">
        <v>7</v>
      </c>
      <c r="P72">
        <v>3</v>
      </c>
      <c r="Q72">
        <v>26</v>
      </c>
      <c r="R72">
        <v>5</v>
      </c>
      <c r="S72">
        <v>0</v>
      </c>
      <c r="T72">
        <v>0</v>
      </c>
      <c r="U72">
        <v>0</v>
      </c>
      <c r="V72">
        <v>0</v>
      </c>
      <c r="W72" t="s">
        <v>55</v>
      </c>
      <c r="X72">
        <v>3</v>
      </c>
      <c r="Y72">
        <v>0</v>
      </c>
      <c r="Z72">
        <f t="shared" si="6"/>
        <v>76</v>
      </c>
      <c r="AA72">
        <f t="shared" si="7"/>
        <v>1.358974358974359</v>
      </c>
      <c r="AB72">
        <f t="shared" si="8"/>
        <v>0</v>
      </c>
      <c r="AC72" t="str">
        <f t="shared" si="9"/>
        <v>Low</v>
      </c>
      <c r="AD72" t="str">
        <f t="shared" si="10"/>
        <v>Upsell premium bundle</v>
      </c>
      <c r="AE72">
        <f t="shared" si="11"/>
        <v>24</v>
      </c>
    </row>
    <row r="73" spans="1:31" x14ac:dyDescent="0.35">
      <c r="A73" t="s">
        <v>131</v>
      </c>
      <c r="B73" s="4">
        <v>45448</v>
      </c>
      <c r="C73" s="4">
        <v>46143</v>
      </c>
      <c r="D73" t="s">
        <v>60</v>
      </c>
      <c r="E73">
        <v>32</v>
      </c>
      <c r="F73" t="s">
        <v>43</v>
      </c>
      <c r="G73" t="s">
        <v>34</v>
      </c>
      <c r="H73" t="s">
        <v>41</v>
      </c>
      <c r="I73" t="s">
        <v>36</v>
      </c>
      <c r="J73">
        <v>23</v>
      </c>
      <c r="K73" s="5">
        <v>116.56</v>
      </c>
      <c r="L73" s="5">
        <v>0</v>
      </c>
      <c r="M73">
        <v>23</v>
      </c>
      <c r="N73">
        <v>8</v>
      </c>
      <c r="O73">
        <v>4</v>
      </c>
      <c r="P73">
        <v>0</v>
      </c>
      <c r="Q73">
        <v>12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37</v>
      </c>
      <c r="X73">
        <v>61</v>
      </c>
      <c r="Y73">
        <v>0</v>
      </c>
      <c r="Z73">
        <f t="shared" si="6"/>
        <v>47</v>
      </c>
      <c r="AA73">
        <f t="shared" si="7"/>
        <v>0.660377358490566</v>
      </c>
      <c r="AB73">
        <f t="shared" si="8"/>
        <v>9</v>
      </c>
      <c r="AC73" t="str">
        <f t="shared" si="9"/>
        <v>Low</v>
      </c>
      <c r="AD73" t="str">
        <f t="shared" si="10"/>
        <v>Upsell premium bundle</v>
      </c>
      <c r="AE73">
        <f t="shared" si="11"/>
        <v>53</v>
      </c>
    </row>
    <row r="74" spans="1:31" x14ac:dyDescent="0.35">
      <c r="A74" t="s">
        <v>132</v>
      </c>
      <c r="B74" s="4">
        <v>45313</v>
      </c>
      <c r="C74" s="4">
        <v>46143</v>
      </c>
      <c r="D74" t="s">
        <v>47</v>
      </c>
      <c r="E74">
        <v>62</v>
      </c>
      <c r="F74" t="s">
        <v>61</v>
      </c>
      <c r="G74" t="s">
        <v>85</v>
      </c>
      <c r="H74" t="s">
        <v>41</v>
      </c>
      <c r="I74" t="s">
        <v>36</v>
      </c>
      <c r="J74">
        <v>27</v>
      </c>
      <c r="K74" s="5">
        <v>6648.05</v>
      </c>
      <c r="L74" s="5">
        <v>2521.5500000000002</v>
      </c>
      <c r="M74">
        <v>0</v>
      </c>
      <c r="N74">
        <v>0</v>
      </c>
      <c r="O74">
        <v>0</v>
      </c>
      <c r="P74">
        <v>0</v>
      </c>
      <c r="Q74">
        <v>0</v>
      </c>
      <c r="R74">
        <v>3</v>
      </c>
      <c r="S74">
        <v>2</v>
      </c>
      <c r="T74">
        <v>1</v>
      </c>
      <c r="U74">
        <v>1</v>
      </c>
      <c r="V74">
        <v>0</v>
      </c>
      <c r="W74" t="s">
        <v>52</v>
      </c>
      <c r="X74">
        <v>1</v>
      </c>
      <c r="Y74">
        <v>1</v>
      </c>
      <c r="Z74">
        <f t="shared" si="6"/>
        <v>8</v>
      </c>
      <c r="AA74">
        <f t="shared" si="7"/>
        <v>0</v>
      </c>
      <c r="AB74">
        <f t="shared" si="8"/>
        <v>56</v>
      </c>
      <c r="AC74" t="str">
        <f t="shared" si="9"/>
        <v>Medium</v>
      </c>
      <c r="AD74" t="str">
        <f t="shared" si="10"/>
        <v>Nudge core feature adoption</v>
      </c>
      <c r="AE74">
        <f t="shared" si="11"/>
        <v>92</v>
      </c>
    </row>
    <row r="75" spans="1:31" x14ac:dyDescent="0.35">
      <c r="A75" t="s">
        <v>133</v>
      </c>
      <c r="B75" s="4">
        <v>44826</v>
      </c>
      <c r="C75" s="4">
        <v>46143</v>
      </c>
      <c r="D75" t="s">
        <v>60</v>
      </c>
      <c r="E75">
        <v>29</v>
      </c>
      <c r="F75" t="s">
        <v>57</v>
      </c>
      <c r="G75" t="s">
        <v>63</v>
      </c>
      <c r="H75" t="s">
        <v>41</v>
      </c>
      <c r="I75" t="s">
        <v>36</v>
      </c>
      <c r="J75">
        <v>43</v>
      </c>
      <c r="K75" s="5">
        <v>1446.68</v>
      </c>
      <c r="L75" s="5">
        <v>993.2</v>
      </c>
      <c r="M75">
        <v>34</v>
      </c>
      <c r="N75">
        <v>17</v>
      </c>
      <c r="O75">
        <v>1</v>
      </c>
      <c r="P75">
        <v>0</v>
      </c>
      <c r="Q75">
        <v>17</v>
      </c>
      <c r="R75">
        <v>0</v>
      </c>
      <c r="S75">
        <v>2</v>
      </c>
      <c r="T75">
        <v>1</v>
      </c>
      <c r="U75">
        <v>1</v>
      </c>
      <c r="V75">
        <v>1</v>
      </c>
      <c r="W75" t="s">
        <v>52</v>
      </c>
      <c r="X75">
        <v>60</v>
      </c>
      <c r="Y75">
        <v>0</v>
      </c>
      <c r="Z75">
        <f t="shared" si="6"/>
        <v>81</v>
      </c>
      <c r="AA75">
        <f t="shared" si="7"/>
        <v>0.69863013698630139</v>
      </c>
      <c r="AB75">
        <f t="shared" si="8"/>
        <v>12</v>
      </c>
      <c r="AC75" t="str">
        <f t="shared" si="9"/>
        <v>Low</v>
      </c>
      <c r="AD75" t="str">
        <f t="shared" si="10"/>
        <v>Upsell premium bundle</v>
      </c>
      <c r="AE75">
        <f t="shared" si="11"/>
        <v>19</v>
      </c>
    </row>
    <row r="76" spans="1:31" x14ac:dyDescent="0.35">
      <c r="A76" t="s">
        <v>134</v>
      </c>
      <c r="B76" s="4">
        <v>45377</v>
      </c>
      <c r="C76" s="4">
        <v>46143</v>
      </c>
      <c r="D76" t="s">
        <v>32</v>
      </c>
      <c r="E76">
        <v>47</v>
      </c>
      <c r="F76" t="s">
        <v>61</v>
      </c>
      <c r="G76" t="s">
        <v>85</v>
      </c>
      <c r="H76" t="s">
        <v>41</v>
      </c>
      <c r="I76" t="s">
        <v>49</v>
      </c>
      <c r="J76">
        <v>25</v>
      </c>
      <c r="K76" s="5">
        <v>5897.1</v>
      </c>
      <c r="L76" s="5">
        <v>1997</v>
      </c>
      <c r="M76">
        <v>29</v>
      </c>
      <c r="N76">
        <v>20</v>
      </c>
      <c r="O76">
        <v>4</v>
      </c>
      <c r="P76">
        <v>0</v>
      </c>
      <c r="Q76">
        <v>31</v>
      </c>
      <c r="R76">
        <v>0</v>
      </c>
      <c r="S76">
        <v>0</v>
      </c>
      <c r="T76">
        <v>0</v>
      </c>
      <c r="U76">
        <v>0</v>
      </c>
      <c r="V76">
        <v>1</v>
      </c>
      <c r="W76" t="s">
        <v>45</v>
      </c>
      <c r="X76">
        <v>72</v>
      </c>
      <c r="Y76">
        <v>0</v>
      </c>
      <c r="Z76">
        <f t="shared" si="6"/>
        <v>86</v>
      </c>
      <c r="AA76">
        <f t="shared" si="7"/>
        <v>1.0909090909090908</v>
      </c>
      <c r="AB76">
        <f t="shared" si="8"/>
        <v>0</v>
      </c>
      <c r="AC76" t="str">
        <f t="shared" si="9"/>
        <v>Low</v>
      </c>
      <c r="AD76" t="str">
        <f t="shared" si="10"/>
        <v>Upsell premium bundle</v>
      </c>
      <c r="AE76">
        <f t="shared" si="11"/>
        <v>14</v>
      </c>
    </row>
    <row r="77" spans="1:31" x14ac:dyDescent="0.35">
      <c r="A77" t="s">
        <v>135</v>
      </c>
      <c r="B77" s="4">
        <v>45783</v>
      </c>
      <c r="C77" s="4">
        <v>46143</v>
      </c>
      <c r="D77" t="s">
        <v>32</v>
      </c>
      <c r="E77">
        <v>64</v>
      </c>
      <c r="F77" t="s">
        <v>43</v>
      </c>
      <c r="G77" t="s">
        <v>34</v>
      </c>
      <c r="H77" t="s">
        <v>41</v>
      </c>
      <c r="I77" t="s">
        <v>54</v>
      </c>
      <c r="J77">
        <v>12</v>
      </c>
      <c r="K77" s="5">
        <v>118.18</v>
      </c>
      <c r="L77" s="5">
        <v>37.22</v>
      </c>
      <c r="M77">
        <v>19</v>
      </c>
      <c r="N77">
        <v>6</v>
      </c>
      <c r="O77">
        <v>3</v>
      </c>
      <c r="P77">
        <v>3</v>
      </c>
      <c r="Q77">
        <v>6</v>
      </c>
      <c r="R77">
        <v>0</v>
      </c>
      <c r="S77">
        <v>2</v>
      </c>
      <c r="T77">
        <v>1</v>
      </c>
      <c r="U77">
        <v>1</v>
      </c>
      <c r="V77">
        <v>0</v>
      </c>
      <c r="W77" t="s">
        <v>45</v>
      </c>
      <c r="X77">
        <v>-30</v>
      </c>
      <c r="Y77">
        <v>1</v>
      </c>
      <c r="Z77">
        <f t="shared" si="6"/>
        <v>46</v>
      </c>
      <c r="AA77">
        <f t="shared" si="7"/>
        <v>0.59523809523809523</v>
      </c>
      <c r="AB77">
        <f t="shared" si="8"/>
        <v>87</v>
      </c>
      <c r="AC77" t="str">
        <f t="shared" si="9"/>
        <v>High</v>
      </c>
      <c r="AD77" t="str">
        <f t="shared" si="10"/>
        <v>Retention call</v>
      </c>
      <c r="AE77">
        <f t="shared" si="11"/>
        <v>54</v>
      </c>
    </row>
    <row r="78" spans="1:31" x14ac:dyDescent="0.35">
      <c r="A78" t="s">
        <v>136</v>
      </c>
      <c r="B78" s="4">
        <v>45231</v>
      </c>
      <c r="C78" s="4">
        <v>46143</v>
      </c>
      <c r="D78" t="s">
        <v>47</v>
      </c>
      <c r="E78">
        <v>52</v>
      </c>
      <c r="F78" t="s">
        <v>43</v>
      </c>
      <c r="G78" t="s">
        <v>85</v>
      </c>
      <c r="H78" t="s">
        <v>44</v>
      </c>
      <c r="I78" t="s">
        <v>36</v>
      </c>
      <c r="J78">
        <v>30</v>
      </c>
      <c r="K78" s="5">
        <v>160.33000000000001</v>
      </c>
      <c r="L78" s="5">
        <v>79.459999999999994</v>
      </c>
      <c r="M78">
        <v>36</v>
      </c>
      <c r="N78">
        <v>26</v>
      </c>
      <c r="O78">
        <v>2</v>
      </c>
      <c r="P78">
        <v>6</v>
      </c>
      <c r="Q78">
        <v>31</v>
      </c>
      <c r="R78">
        <v>2</v>
      </c>
      <c r="S78">
        <v>0</v>
      </c>
      <c r="T78">
        <v>0</v>
      </c>
      <c r="U78">
        <v>1</v>
      </c>
      <c r="V78">
        <v>1</v>
      </c>
      <c r="W78" t="s">
        <v>45</v>
      </c>
      <c r="X78">
        <v>8</v>
      </c>
      <c r="Y78">
        <v>0</v>
      </c>
      <c r="Z78">
        <f t="shared" si="6"/>
        <v>100</v>
      </c>
      <c r="AA78">
        <f t="shared" si="7"/>
        <v>1.1166666666666667</v>
      </c>
      <c r="AB78">
        <f t="shared" si="8"/>
        <v>1</v>
      </c>
      <c r="AC78" t="str">
        <f t="shared" si="9"/>
        <v>Low</v>
      </c>
      <c r="AD78" t="str">
        <f t="shared" si="10"/>
        <v>Upsell premium bundle</v>
      </c>
      <c r="AE78">
        <f t="shared" si="11"/>
        <v>0</v>
      </c>
    </row>
    <row r="79" spans="1:31" x14ac:dyDescent="0.35">
      <c r="A79" t="s">
        <v>137</v>
      </c>
      <c r="B79" s="4">
        <v>45458</v>
      </c>
      <c r="C79" s="4">
        <v>46143</v>
      </c>
      <c r="D79" t="s">
        <v>60</v>
      </c>
      <c r="E79">
        <v>70</v>
      </c>
      <c r="F79" t="s">
        <v>33</v>
      </c>
      <c r="G79" t="s">
        <v>85</v>
      </c>
      <c r="H79" t="s">
        <v>41</v>
      </c>
      <c r="I79" t="s">
        <v>36</v>
      </c>
      <c r="J79">
        <v>22</v>
      </c>
      <c r="K79" s="5">
        <v>593.95000000000005</v>
      </c>
      <c r="L79" s="5">
        <v>311.60000000000002</v>
      </c>
      <c r="M79">
        <v>36</v>
      </c>
      <c r="N79">
        <v>9</v>
      </c>
      <c r="O79">
        <v>2</v>
      </c>
      <c r="P79">
        <v>6</v>
      </c>
      <c r="Q79">
        <v>27</v>
      </c>
      <c r="R79">
        <v>1</v>
      </c>
      <c r="S79">
        <v>3</v>
      </c>
      <c r="T79">
        <v>1</v>
      </c>
      <c r="U79">
        <v>1</v>
      </c>
      <c r="V79">
        <v>0</v>
      </c>
      <c r="W79" t="s">
        <v>52</v>
      </c>
      <c r="X79">
        <v>12</v>
      </c>
      <c r="Y79">
        <v>0</v>
      </c>
      <c r="Z79">
        <f t="shared" si="6"/>
        <v>89</v>
      </c>
      <c r="AA79">
        <f t="shared" si="7"/>
        <v>1.2115384615384615</v>
      </c>
      <c r="AB79">
        <f t="shared" si="8"/>
        <v>39</v>
      </c>
      <c r="AC79" t="str">
        <f t="shared" si="9"/>
        <v>Low</v>
      </c>
      <c r="AD79" t="str">
        <f t="shared" si="10"/>
        <v>Upsell premium bundle</v>
      </c>
      <c r="AE79">
        <f t="shared" si="11"/>
        <v>11</v>
      </c>
    </row>
    <row r="80" spans="1:31" x14ac:dyDescent="0.35">
      <c r="A80" t="s">
        <v>138</v>
      </c>
      <c r="B80" s="4">
        <v>45691</v>
      </c>
      <c r="C80" s="4">
        <v>46143</v>
      </c>
      <c r="D80" t="s">
        <v>47</v>
      </c>
      <c r="E80">
        <v>31</v>
      </c>
      <c r="F80" t="s">
        <v>33</v>
      </c>
      <c r="G80" t="s">
        <v>63</v>
      </c>
      <c r="H80" t="s">
        <v>58</v>
      </c>
      <c r="I80" t="s">
        <v>49</v>
      </c>
      <c r="J80">
        <v>15</v>
      </c>
      <c r="K80" s="5">
        <v>463.87</v>
      </c>
      <c r="L80" s="5">
        <v>317.75</v>
      </c>
      <c r="M80">
        <v>15</v>
      </c>
      <c r="N80">
        <v>4</v>
      </c>
      <c r="O80">
        <v>1</v>
      </c>
      <c r="P80">
        <v>2</v>
      </c>
      <c r="Q80">
        <v>8</v>
      </c>
      <c r="R80">
        <v>0</v>
      </c>
      <c r="S80">
        <v>0</v>
      </c>
      <c r="T80">
        <v>1</v>
      </c>
      <c r="U80">
        <v>1</v>
      </c>
      <c r="V80">
        <v>1</v>
      </c>
      <c r="W80" t="s">
        <v>52</v>
      </c>
      <c r="X80">
        <v>40</v>
      </c>
      <c r="Y80">
        <v>0</v>
      </c>
      <c r="Z80">
        <f t="shared" si="6"/>
        <v>46</v>
      </c>
      <c r="AA80">
        <f t="shared" si="7"/>
        <v>0.51111111111111107</v>
      </c>
      <c r="AB80">
        <f t="shared" si="8"/>
        <v>26</v>
      </c>
      <c r="AC80" t="str">
        <f t="shared" si="9"/>
        <v>Low</v>
      </c>
      <c r="AD80" t="str">
        <f t="shared" si="10"/>
        <v>Upsell premium bundle</v>
      </c>
      <c r="AE80">
        <f t="shared" si="11"/>
        <v>54</v>
      </c>
    </row>
    <row r="81" spans="1:31" x14ac:dyDescent="0.35">
      <c r="A81" t="s">
        <v>139</v>
      </c>
      <c r="B81" s="4">
        <v>45173</v>
      </c>
      <c r="C81" s="4">
        <v>46143</v>
      </c>
      <c r="D81" t="s">
        <v>39</v>
      </c>
      <c r="E81">
        <v>49</v>
      </c>
      <c r="F81" t="s">
        <v>33</v>
      </c>
      <c r="G81" t="s">
        <v>40</v>
      </c>
      <c r="H81" t="s">
        <v>41</v>
      </c>
      <c r="I81" t="s">
        <v>36</v>
      </c>
      <c r="J81">
        <v>32</v>
      </c>
      <c r="K81" s="5">
        <v>73.099999999999994</v>
      </c>
      <c r="L81" s="5">
        <v>0</v>
      </c>
      <c r="M81">
        <v>33</v>
      </c>
      <c r="N81">
        <v>19</v>
      </c>
      <c r="O81">
        <v>4</v>
      </c>
      <c r="P81">
        <v>1</v>
      </c>
      <c r="Q81">
        <v>31</v>
      </c>
      <c r="R81">
        <v>2</v>
      </c>
      <c r="S81">
        <v>1</v>
      </c>
      <c r="T81">
        <v>1</v>
      </c>
      <c r="U81">
        <v>0</v>
      </c>
      <c r="V81">
        <v>0</v>
      </c>
      <c r="W81" t="s">
        <v>50</v>
      </c>
      <c r="X81">
        <v>49</v>
      </c>
      <c r="Y81">
        <v>1</v>
      </c>
      <c r="Z81">
        <f t="shared" si="6"/>
        <v>84</v>
      </c>
      <c r="AA81">
        <f t="shared" si="7"/>
        <v>1.032258064516129</v>
      </c>
      <c r="AB81">
        <f t="shared" si="8"/>
        <v>5</v>
      </c>
      <c r="AC81" t="str">
        <f t="shared" si="9"/>
        <v>Low</v>
      </c>
      <c r="AD81" t="str">
        <f t="shared" si="10"/>
        <v>Upsell premium bundle</v>
      </c>
      <c r="AE81">
        <f t="shared" si="11"/>
        <v>16</v>
      </c>
    </row>
    <row r="82" spans="1:31" x14ac:dyDescent="0.35">
      <c r="A82" t="s">
        <v>140</v>
      </c>
      <c r="B82" s="4">
        <v>44828</v>
      </c>
      <c r="C82" s="4">
        <v>46143</v>
      </c>
      <c r="D82" t="s">
        <v>72</v>
      </c>
      <c r="E82">
        <v>31</v>
      </c>
      <c r="F82" t="s">
        <v>33</v>
      </c>
      <c r="G82" t="s">
        <v>67</v>
      </c>
      <c r="H82" t="s">
        <v>41</v>
      </c>
      <c r="I82" t="s">
        <v>36</v>
      </c>
      <c r="J82">
        <v>43</v>
      </c>
      <c r="K82" s="5">
        <v>756.85</v>
      </c>
      <c r="L82" s="5">
        <v>219.55</v>
      </c>
      <c r="M82">
        <v>38</v>
      </c>
      <c r="N82">
        <v>16</v>
      </c>
      <c r="O82">
        <v>2</v>
      </c>
      <c r="P82">
        <v>3</v>
      </c>
      <c r="Q82">
        <v>28</v>
      </c>
      <c r="R82">
        <v>3</v>
      </c>
      <c r="S82">
        <v>1</v>
      </c>
      <c r="T82">
        <v>1</v>
      </c>
      <c r="U82">
        <v>0</v>
      </c>
      <c r="V82">
        <v>0</v>
      </c>
      <c r="W82" t="s">
        <v>37</v>
      </c>
      <c r="X82">
        <v>46</v>
      </c>
      <c r="Y82">
        <v>0</v>
      </c>
      <c r="Z82">
        <f t="shared" si="6"/>
        <v>85</v>
      </c>
      <c r="AA82">
        <f t="shared" si="7"/>
        <v>0.90410958904109584</v>
      </c>
      <c r="AB82">
        <f t="shared" si="8"/>
        <v>5</v>
      </c>
      <c r="AC82" t="str">
        <f t="shared" si="9"/>
        <v>Low</v>
      </c>
      <c r="AD82" t="str">
        <f t="shared" si="10"/>
        <v>Upsell premium bundle</v>
      </c>
      <c r="AE82">
        <f t="shared" si="11"/>
        <v>15</v>
      </c>
    </row>
    <row r="83" spans="1:31" x14ac:dyDescent="0.35">
      <c r="A83" t="s">
        <v>141</v>
      </c>
      <c r="B83" s="4">
        <v>44745</v>
      </c>
      <c r="C83" s="4">
        <v>46143</v>
      </c>
      <c r="D83" t="s">
        <v>72</v>
      </c>
      <c r="E83">
        <v>70</v>
      </c>
      <c r="F83" t="s">
        <v>57</v>
      </c>
      <c r="G83" t="s">
        <v>48</v>
      </c>
      <c r="H83" t="s">
        <v>41</v>
      </c>
      <c r="I83" t="s">
        <v>49</v>
      </c>
      <c r="J83">
        <v>46</v>
      </c>
      <c r="K83" s="5">
        <v>1341.83</v>
      </c>
      <c r="L83" s="5">
        <v>638.35</v>
      </c>
      <c r="M83">
        <v>24</v>
      </c>
      <c r="N83">
        <v>9</v>
      </c>
      <c r="O83">
        <v>2</v>
      </c>
      <c r="P83">
        <v>4</v>
      </c>
      <c r="Q83">
        <v>18</v>
      </c>
      <c r="R83">
        <v>0</v>
      </c>
      <c r="S83">
        <v>0</v>
      </c>
      <c r="T83">
        <v>0</v>
      </c>
      <c r="U83">
        <v>0</v>
      </c>
      <c r="V83">
        <v>1</v>
      </c>
      <c r="W83" t="s">
        <v>37</v>
      </c>
      <c r="X83">
        <v>83</v>
      </c>
      <c r="Y83">
        <v>0</v>
      </c>
      <c r="Z83">
        <f t="shared" si="6"/>
        <v>64</v>
      </c>
      <c r="AA83">
        <f t="shared" si="7"/>
        <v>0.55263157894736847</v>
      </c>
      <c r="AB83">
        <f t="shared" si="8"/>
        <v>7</v>
      </c>
      <c r="AC83" t="str">
        <f t="shared" si="9"/>
        <v>Low</v>
      </c>
      <c r="AD83" t="str">
        <f t="shared" si="10"/>
        <v>Upsell premium bundle</v>
      </c>
      <c r="AE83">
        <f t="shared" si="11"/>
        <v>36</v>
      </c>
    </row>
    <row r="84" spans="1:31" x14ac:dyDescent="0.35">
      <c r="A84" t="s">
        <v>142</v>
      </c>
      <c r="B84" s="4">
        <v>45327</v>
      </c>
      <c r="C84" s="4">
        <v>46143</v>
      </c>
      <c r="D84" t="s">
        <v>47</v>
      </c>
      <c r="E84">
        <v>44</v>
      </c>
      <c r="F84" t="s">
        <v>77</v>
      </c>
      <c r="G84" t="s">
        <v>67</v>
      </c>
      <c r="H84" t="s">
        <v>44</v>
      </c>
      <c r="I84" t="s">
        <v>36</v>
      </c>
      <c r="J84">
        <v>27</v>
      </c>
      <c r="K84" s="5">
        <v>2538.2199999999998</v>
      </c>
      <c r="L84" s="5">
        <v>9732.36</v>
      </c>
      <c r="M84">
        <v>37</v>
      </c>
      <c r="N84">
        <v>22</v>
      </c>
      <c r="O84">
        <v>6</v>
      </c>
      <c r="P84">
        <v>4</v>
      </c>
      <c r="Q84">
        <v>21</v>
      </c>
      <c r="R84">
        <v>0</v>
      </c>
      <c r="S84">
        <v>0</v>
      </c>
      <c r="T84">
        <v>0</v>
      </c>
      <c r="U84">
        <v>1</v>
      </c>
      <c r="V84">
        <v>1</v>
      </c>
      <c r="W84" t="s">
        <v>50</v>
      </c>
      <c r="X84">
        <v>39</v>
      </c>
      <c r="Y84">
        <v>0</v>
      </c>
      <c r="Z84">
        <f t="shared" si="6"/>
        <v>100</v>
      </c>
      <c r="AA84">
        <f t="shared" si="7"/>
        <v>1.0175438596491229</v>
      </c>
      <c r="AB84">
        <f t="shared" si="8"/>
        <v>0</v>
      </c>
      <c r="AC84" t="str">
        <f t="shared" si="9"/>
        <v>Low</v>
      </c>
      <c r="AD84" t="str">
        <f t="shared" si="10"/>
        <v>Upsell premium bundle</v>
      </c>
      <c r="AE84">
        <f t="shared" si="11"/>
        <v>0</v>
      </c>
    </row>
    <row r="85" spans="1:31" x14ac:dyDescent="0.35">
      <c r="A85" t="s">
        <v>143</v>
      </c>
      <c r="B85" s="4">
        <v>45615</v>
      </c>
      <c r="C85" s="4">
        <v>46143</v>
      </c>
      <c r="D85" t="s">
        <v>32</v>
      </c>
      <c r="E85">
        <v>58</v>
      </c>
      <c r="F85" t="s">
        <v>57</v>
      </c>
      <c r="G85" t="s">
        <v>63</v>
      </c>
      <c r="H85" t="s">
        <v>35</v>
      </c>
      <c r="I85" t="s">
        <v>36</v>
      </c>
      <c r="J85">
        <v>17</v>
      </c>
      <c r="K85" s="5">
        <v>910.17</v>
      </c>
      <c r="L85" s="5">
        <v>769.19</v>
      </c>
      <c r="M85">
        <v>30</v>
      </c>
      <c r="N85">
        <v>19</v>
      </c>
      <c r="O85">
        <v>4</v>
      </c>
      <c r="P85">
        <v>0</v>
      </c>
      <c r="Q85">
        <v>23</v>
      </c>
      <c r="R85">
        <v>0</v>
      </c>
      <c r="S85">
        <v>1</v>
      </c>
      <c r="T85">
        <v>1</v>
      </c>
      <c r="U85">
        <v>0</v>
      </c>
      <c r="V85">
        <v>0</v>
      </c>
      <c r="W85" t="s">
        <v>52</v>
      </c>
      <c r="X85">
        <v>59</v>
      </c>
      <c r="Y85">
        <v>1</v>
      </c>
      <c r="Z85">
        <f t="shared" si="6"/>
        <v>72</v>
      </c>
      <c r="AA85">
        <f t="shared" si="7"/>
        <v>1.1276595744680851</v>
      </c>
      <c r="AB85">
        <f t="shared" si="8"/>
        <v>0</v>
      </c>
      <c r="AC85" t="str">
        <f t="shared" si="9"/>
        <v>Low</v>
      </c>
      <c r="AD85" t="str">
        <f t="shared" si="10"/>
        <v>Upsell premium bundle</v>
      </c>
      <c r="AE85">
        <f t="shared" si="11"/>
        <v>28</v>
      </c>
    </row>
    <row r="86" spans="1:31" x14ac:dyDescent="0.35">
      <c r="A86" t="s">
        <v>144</v>
      </c>
      <c r="B86" s="4">
        <v>45827</v>
      </c>
      <c r="C86" s="4">
        <v>46143</v>
      </c>
      <c r="D86" t="s">
        <v>32</v>
      </c>
      <c r="E86">
        <v>45</v>
      </c>
      <c r="F86" t="s">
        <v>77</v>
      </c>
      <c r="G86" t="s">
        <v>34</v>
      </c>
      <c r="H86" t="s">
        <v>41</v>
      </c>
      <c r="I86" t="s">
        <v>36</v>
      </c>
      <c r="J86">
        <v>10</v>
      </c>
      <c r="K86" s="5">
        <v>16577.38</v>
      </c>
      <c r="L86" s="5">
        <v>5482.5</v>
      </c>
      <c r="M86">
        <v>30</v>
      </c>
      <c r="N86">
        <v>22</v>
      </c>
      <c r="O86">
        <v>2</v>
      </c>
      <c r="P86">
        <v>5</v>
      </c>
      <c r="Q86">
        <v>23</v>
      </c>
      <c r="R86">
        <v>1</v>
      </c>
      <c r="S86">
        <v>2</v>
      </c>
      <c r="T86">
        <v>0</v>
      </c>
      <c r="U86">
        <v>1</v>
      </c>
      <c r="V86">
        <v>0</v>
      </c>
      <c r="W86" t="s">
        <v>37</v>
      </c>
      <c r="X86">
        <v>2</v>
      </c>
      <c r="Y86">
        <v>0</v>
      </c>
      <c r="Z86">
        <f t="shared" si="6"/>
        <v>87</v>
      </c>
      <c r="AA86">
        <f t="shared" si="7"/>
        <v>1.325</v>
      </c>
      <c r="AB86">
        <f t="shared" si="8"/>
        <v>27</v>
      </c>
      <c r="AC86" t="str">
        <f t="shared" si="9"/>
        <v>Low</v>
      </c>
      <c r="AD86" t="str">
        <f t="shared" si="10"/>
        <v>Upsell premium bundle</v>
      </c>
      <c r="AE86">
        <f t="shared" si="11"/>
        <v>13</v>
      </c>
    </row>
    <row r="87" spans="1:31" x14ac:dyDescent="0.35">
      <c r="A87" t="s">
        <v>145</v>
      </c>
      <c r="B87" s="4">
        <v>45223</v>
      </c>
      <c r="C87" s="4">
        <v>46143</v>
      </c>
      <c r="D87" t="s">
        <v>66</v>
      </c>
      <c r="E87">
        <v>54</v>
      </c>
      <c r="F87" t="s">
        <v>33</v>
      </c>
      <c r="G87" t="s">
        <v>85</v>
      </c>
      <c r="H87" t="s">
        <v>41</v>
      </c>
      <c r="I87" t="s">
        <v>36</v>
      </c>
      <c r="J87">
        <v>30</v>
      </c>
      <c r="K87" s="5">
        <v>461.32</v>
      </c>
      <c r="L87" s="5">
        <v>122.53</v>
      </c>
      <c r="M87">
        <v>15</v>
      </c>
      <c r="N87">
        <v>11</v>
      </c>
      <c r="O87">
        <v>1</v>
      </c>
      <c r="P87">
        <v>2</v>
      </c>
      <c r="Q87">
        <v>0</v>
      </c>
      <c r="R87">
        <v>6</v>
      </c>
      <c r="S87">
        <v>1</v>
      </c>
      <c r="T87">
        <v>1</v>
      </c>
      <c r="U87">
        <v>0</v>
      </c>
      <c r="V87">
        <v>0</v>
      </c>
      <c r="W87" t="s">
        <v>55</v>
      </c>
      <c r="X87">
        <v>-40</v>
      </c>
      <c r="Y87">
        <v>1</v>
      </c>
      <c r="Z87">
        <f t="shared" si="6"/>
        <v>28</v>
      </c>
      <c r="AA87">
        <f t="shared" si="7"/>
        <v>0.25</v>
      </c>
      <c r="AB87">
        <f t="shared" si="8"/>
        <v>66</v>
      </c>
      <c r="AC87" t="str">
        <f t="shared" si="9"/>
        <v>Medium</v>
      </c>
      <c r="AD87" t="str">
        <f t="shared" si="10"/>
        <v>Nudge core feature adoption</v>
      </c>
      <c r="AE87">
        <f t="shared" si="11"/>
        <v>72</v>
      </c>
    </row>
    <row r="88" spans="1:31" x14ac:dyDescent="0.35">
      <c r="A88" t="s">
        <v>146</v>
      </c>
      <c r="B88" s="4">
        <v>45680</v>
      </c>
      <c r="C88" s="4">
        <v>46143</v>
      </c>
      <c r="D88" t="s">
        <v>39</v>
      </c>
      <c r="E88">
        <v>26</v>
      </c>
      <c r="F88" t="s">
        <v>43</v>
      </c>
      <c r="G88" t="s">
        <v>34</v>
      </c>
      <c r="H88" t="s">
        <v>41</v>
      </c>
      <c r="I88" t="s">
        <v>36</v>
      </c>
      <c r="J88">
        <v>15</v>
      </c>
      <c r="K88" s="5">
        <v>33.81</v>
      </c>
      <c r="L88" s="5">
        <v>77.22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2</v>
      </c>
      <c r="T88">
        <v>1</v>
      </c>
      <c r="U88">
        <v>0</v>
      </c>
      <c r="V88">
        <v>0</v>
      </c>
      <c r="W88" t="s">
        <v>52</v>
      </c>
      <c r="X88">
        <v>-30</v>
      </c>
      <c r="Y88">
        <v>1</v>
      </c>
      <c r="Z88">
        <f t="shared" si="6"/>
        <v>0</v>
      </c>
      <c r="AA88">
        <f t="shared" si="7"/>
        <v>0</v>
      </c>
      <c r="AB88">
        <f t="shared" si="8"/>
        <v>86</v>
      </c>
      <c r="AC88" t="str">
        <f t="shared" si="9"/>
        <v>High</v>
      </c>
      <c r="AD88" t="str">
        <f t="shared" si="10"/>
        <v>Re-engage with app usage offer</v>
      </c>
      <c r="AE88">
        <f t="shared" si="11"/>
        <v>100</v>
      </c>
    </row>
    <row r="89" spans="1:31" x14ac:dyDescent="0.35">
      <c r="A89" t="s">
        <v>147</v>
      </c>
      <c r="B89" s="4">
        <v>45358</v>
      </c>
      <c r="C89" s="4">
        <v>46143</v>
      </c>
      <c r="D89" t="s">
        <v>60</v>
      </c>
      <c r="E89">
        <v>38</v>
      </c>
      <c r="F89" t="s">
        <v>43</v>
      </c>
      <c r="G89" t="s">
        <v>85</v>
      </c>
      <c r="H89" t="s">
        <v>41</v>
      </c>
      <c r="I89" t="s">
        <v>36</v>
      </c>
      <c r="J89">
        <v>26</v>
      </c>
      <c r="K89" s="5">
        <v>83.78</v>
      </c>
      <c r="L89" s="5">
        <v>70.77</v>
      </c>
      <c r="M89">
        <v>23</v>
      </c>
      <c r="N89">
        <v>7</v>
      </c>
      <c r="O89">
        <v>1</v>
      </c>
      <c r="P89">
        <v>3</v>
      </c>
      <c r="Q89">
        <v>23</v>
      </c>
      <c r="R89">
        <v>3</v>
      </c>
      <c r="S89">
        <v>1</v>
      </c>
      <c r="T89">
        <v>1</v>
      </c>
      <c r="U89">
        <v>0</v>
      </c>
      <c r="V89">
        <v>0</v>
      </c>
      <c r="W89" t="s">
        <v>45</v>
      </c>
      <c r="X89">
        <v>39</v>
      </c>
      <c r="Y89">
        <v>0</v>
      </c>
      <c r="Z89">
        <f t="shared" si="6"/>
        <v>56</v>
      </c>
      <c r="AA89">
        <f t="shared" si="7"/>
        <v>0.8214285714285714</v>
      </c>
      <c r="AB89">
        <f t="shared" si="8"/>
        <v>20</v>
      </c>
      <c r="AC89" t="str">
        <f t="shared" si="9"/>
        <v>Low</v>
      </c>
      <c r="AD89" t="str">
        <f t="shared" si="10"/>
        <v>Upsell premium bundle</v>
      </c>
      <c r="AE89">
        <f t="shared" si="11"/>
        <v>44</v>
      </c>
    </row>
    <row r="90" spans="1:31" x14ac:dyDescent="0.35">
      <c r="A90" t="s">
        <v>148</v>
      </c>
      <c r="B90" s="4">
        <v>45964</v>
      </c>
      <c r="C90" s="4">
        <v>46143</v>
      </c>
      <c r="D90" t="s">
        <v>32</v>
      </c>
      <c r="E90">
        <v>25</v>
      </c>
      <c r="F90" t="s">
        <v>33</v>
      </c>
      <c r="G90" t="s">
        <v>48</v>
      </c>
      <c r="H90" t="s">
        <v>58</v>
      </c>
      <c r="I90" t="s">
        <v>36</v>
      </c>
      <c r="J90">
        <v>5</v>
      </c>
      <c r="K90" s="5">
        <v>0</v>
      </c>
      <c r="L90" s="5">
        <v>402.07</v>
      </c>
      <c r="M90">
        <v>2</v>
      </c>
      <c r="N90">
        <v>1</v>
      </c>
      <c r="O90">
        <v>0</v>
      </c>
      <c r="P90">
        <v>0</v>
      </c>
      <c r="Q90">
        <v>2</v>
      </c>
      <c r="R90">
        <v>1</v>
      </c>
      <c r="S90">
        <v>0</v>
      </c>
      <c r="T90">
        <v>0</v>
      </c>
      <c r="U90">
        <v>1</v>
      </c>
      <c r="V90">
        <v>0</v>
      </c>
      <c r="W90" t="s">
        <v>55</v>
      </c>
      <c r="X90">
        <v>35</v>
      </c>
      <c r="Y90">
        <v>1</v>
      </c>
      <c r="Z90">
        <f t="shared" si="6"/>
        <v>13</v>
      </c>
      <c r="AA90">
        <f t="shared" si="7"/>
        <v>0.11428571428571428</v>
      </c>
      <c r="AB90">
        <f t="shared" si="8"/>
        <v>24</v>
      </c>
      <c r="AC90" t="str">
        <f t="shared" si="9"/>
        <v>Low</v>
      </c>
      <c r="AD90" t="str">
        <f t="shared" si="10"/>
        <v>Upsell premium bundle</v>
      </c>
      <c r="AE90">
        <f t="shared" si="11"/>
        <v>87</v>
      </c>
    </row>
    <row r="91" spans="1:31" x14ac:dyDescent="0.35">
      <c r="A91" t="s">
        <v>149</v>
      </c>
      <c r="B91" s="4">
        <v>45992</v>
      </c>
      <c r="C91" s="4">
        <v>46143</v>
      </c>
      <c r="D91" t="s">
        <v>32</v>
      </c>
      <c r="E91">
        <v>21</v>
      </c>
      <c r="F91" t="s">
        <v>61</v>
      </c>
      <c r="G91" t="s">
        <v>85</v>
      </c>
      <c r="H91" t="s">
        <v>41</v>
      </c>
      <c r="I91" t="s">
        <v>36</v>
      </c>
      <c r="J91">
        <v>5</v>
      </c>
      <c r="K91" s="5">
        <v>4551.63</v>
      </c>
      <c r="L91" s="5">
        <v>2183.9499999999998</v>
      </c>
      <c r="M91">
        <v>18</v>
      </c>
      <c r="N91">
        <v>8</v>
      </c>
      <c r="O91">
        <v>4</v>
      </c>
      <c r="P91">
        <v>0</v>
      </c>
      <c r="Q91">
        <v>12</v>
      </c>
      <c r="R91">
        <v>0</v>
      </c>
      <c r="S91">
        <v>0</v>
      </c>
      <c r="T91">
        <v>0</v>
      </c>
      <c r="U91">
        <v>0</v>
      </c>
      <c r="V91">
        <v>1</v>
      </c>
      <c r="W91" t="s">
        <v>52</v>
      </c>
      <c r="X91">
        <v>65</v>
      </c>
      <c r="Y91">
        <v>0</v>
      </c>
      <c r="Z91">
        <f t="shared" si="6"/>
        <v>48</v>
      </c>
      <c r="AA91">
        <f t="shared" si="7"/>
        <v>0.8571428571428571</v>
      </c>
      <c r="AB91">
        <f t="shared" si="8"/>
        <v>0</v>
      </c>
      <c r="AC91" t="str">
        <f t="shared" si="9"/>
        <v>Low</v>
      </c>
      <c r="AD91" t="str">
        <f t="shared" si="10"/>
        <v>Upsell premium bundle</v>
      </c>
      <c r="AE91">
        <f t="shared" si="11"/>
        <v>52</v>
      </c>
    </row>
    <row r="92" spans="1:31" x14ac:dyDescent="0.35">
      <c r="A92" t="s">
        <v>150</v>
      </c>
      <c r="B92" s="4">
        <v>45433</v>
      </c>
      <c r="C92" s="4">
        <v>46143</v>
      </c>
      <c r="D92" t="s">
        <v>66</v>
      </c>
      <c r="E92">
        <v>69</v>
      </c>
      <c r="F92" t="s">
        <v>57</v>
      </c>
      <c r="G92" t="s">
        <v>48</v>
      </c>
      <c r="H92" t="s">
        <v>44</v>
      </c>
      <c r="I92" t="s">
        <v>49</v>
      </c>
      <c r="J92">
        <v>23</v>
      </c>
      <c r="K92" s="5">
        <v>998.73</v>
      </c>
      <c r="L92" s="5">
        <v>902.51</v>
      </c>
      <c r="M92">
        <v>46</v>
      </c>
      <c r="N92">
        <v>22</v>
      </c>
      <c r="O92">
        <v>10</v>
      </c>
      <c r="P92">
        <v>2</v>
      </c>
      <c r="Q92">
        <v>30</v>
      </c>
      <c r="R92">
        <v>0</v>
      </c>
      <c r="S92">
        <v>0</v>
      </c>
      <c r="T92">
        <v>1</v>
      </c>
      <c r="U92">
        <v>0</v>
      </c>
      <c r="V92">
        <v>1</v>
      </c>
      <c r="W92" t="s">
        <v>45</v>
      </c>
      <c r="X92">
        <v>1</v>
      </c>
      <c r="Y92">
        <v>0</v>
      </c>
      <c r="Z92">
        <f t="shared" si="6"/>
        <v>100</v>
      </c>
      <c r="AA92">
        <f t="shared" si="7"/>
        <v>1.4339622641509433</v>
      </c>
      <c r="AB92">
        <f t="shared" si="8"/>
        <v>24</v>
      </c>
      <c r="AC92" t="str">
        <f t="shared" si="9"/>
        <v>Low</v>
      </c>
      <c r="AD92" t="str">
        <f t="shared" si="10"/>
        <v>Upsell premium bundle</v>
      </c>
      <c r="AE92">
        <f t="shared" si="11"/>
        <v>0</v>
      </c>
    </row>
    <row r="93" spans="1:31" x14ac:dyDescent="0.35">
      <c r="A93" t="s">
        <v>151</v>
      </c>
      <c r="B93" s="4">
        <v>44997</v>
      </c>
      <c r="C93" s="4">
        <v>46143</v>
      </c>
      <c r="D93" t="s">
        <v>32</v>
      </c>
      <c r="E93">
        <v>44</v>
      </c>
      <c r="F93" t="s">
        <v>57</v>
      </c>
      <c r="G93" t="s">
        <v>67</v>
      </c>
      <c r="H93" t="s">
        <v>58</v>
      </c>
      <c r="I93" t="s">
        <v>49</v>
      </c>
      <c r="J93">
        <v>38</v>
      </c>
      <c r="K93" s="5">
        <v>546.04999999999995</v>
      </c>
      <c r="L93" s="5">
        <v>1395.44</v>
      </c>
      <c r="M93">
        <v>25</v>
      </c>
      <c r="N93">
        <v>16</v>
      </c>
      <c r="O93">
        <v>2</v>
      </c>
      <c r="P93">
        <v>2</v>
      </c>
      <c r="Q93">
        <v>29</v>
      </c>
      <c r="R93">
        <v>4</v>
      </c>
      <c r="S93">
        <v>1</v>
      </c>
      <c r="T93">
        <v>0</v>
      </c>
      <c r="U93">
        <v>0</v>
      </c>
      <c r="V93">
        <v>0</v>
      </c>
      <c r="W93" t="s">
        <v>50</v>
      </c>
      <c r="X93">
        <v>54</v>
      </c>
      <c r="Y93">
        <v>0</v>
      </c>
      <c r="Z93">
        <f t="shared" si="6"/>
        <v>70</v>
      </c>
      <c r="AA93">
        <f t="shared" si="7"/>
        <v>0.79411764705882348</v>
      </c>
      <c r="AB93">
        <f t="shared" si="8"/>
        <v>11</v>
      </c>
      <c r="AC93" t="str">
        <f t="shared" si="9"/>
        <v>Low</v>
      </c>
      <c r="AD93" t="str">
        <f t="shared" si="10"/>
        <v>Upsell premium bundle</v>
      </c>
      <c r="AE93">
        <f t="shared" si="11"/>
        <v>30</v>
      </c>
    </row>
    <row r="94" spans="1:31" x14ac:dyDescent="0.35">
      <c r="A94" t="s">
        <v>152</v>
      </c>
      <c r="B94" s="4">
        <v>45533</v>
      </c>
      <c r="C94" s="4">
        <v>46143</v>
      </c>
      <c r="D94" t="s">
        <v>47</v>
      </c>
      <c r="E94">
        <v>22</v>
      </c>
      <c r="F94" t="s">
        <v>43</v>
      </c>
      <c r="G94" t="s">
        <v>67</v>
      </c>
      <c r="H94" t="s">
        <v>41</v>
      </c>
      <c r="I94" t="s">
        <v>36</v>
      </c>
      <c r="J94">
        <v>20</v>
      </c>
      <c r="K94" s="5">
        <v>78.34</v>
      </c>
      <c r="L94" s="5">
        <v>46.02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 t="s">
        <v>37</v>
      </c>
      <c r="X94">
        <v>5</v>
      </c>
      <c r="Y94">
        <v>1</v>
      </c>
      <c r="Z94">
        <f t="shared" si="6"/>
        <v>7</v>
      </c>
      <c r="AA94">
        <f t="shared" si="7"/>
        <v>0</v>
      </c>
      <c r="AB94">
        <f t="shared" si="8"/>
        <v>53</v>
      </c>
      <c r="AC94" t="str">
        <f t="shared" si="9"/>
        <v>Medium</v>
      </c>
      <c r="AD94" t="str">
        <f t="shared" si="10"/>
        <v>Nudge core feature adoption</v>
      </c>
      <c r="AE94">
        <f t="shared" si="11"/>
        <v>93</v>
      </c>
    </row>
    <row r="95" spans="1:31" x14ac:dyDescent="0.35">
      <c r="A95" t="s">
        <v>153</v>
      </c>
      <c r="B95" s="4">
        <v>45684</v>
      </c>
      <c r="C95" s="4">
        <v>46143</v>
      </c>
      <c r="D95" t="s">
        <v>66</v>
      </c>
      <c r="E95">
        <v>23</v>
      </c>
      <c r="F95" t="s">
        <v>33</v>
      </c>
      <c r="G95" t="s">
        <v>40</v>
      </c>
      <c r="H95" t="s">
        <v>58</v>
      </c>
      <c r="I95" t="s">
        <v>36</v>
      </c>
      <c r="J95">
        <v>15</v>
      </c>
      <c r="K95" s="5">
        <v>616.85</v>
      </c>
      <c r="L95" s="5">
        <v>270.27</v>
      </c>
      <c r="M95">
        <v>31</v>
      </c>
      <c r="N95">
        <v>18</v>
      </c>
      <c r="O95">
        <v>2</v>
      </c>
      <c r="P95">
        <v>4</v>
      </c>
      <c r="Q95">
        <v>33</v>
      </c>
      <c r="R95">
        <v>2</v>
      </c>
      <c r="S95">
        <v>0</v>
      </c>
      <c r="T95">
        <v>1</v>
      </c>
      <c r="U95">
        <v>0</v>
      </c>
      <c r="V95">
        <v>1</v>
      </c>
      <c r="W95" t="s">
        <v>55</v>
      </c>
      <c r="X95">
        <v>7</v>
      </c>
      <c r="Y95">
        <v>0</v>
      </c>
      <c r="Z95">
        <f t="shared" si="6"/>
        <v>91</v>
      </c>
      <c r="AA95">
        <f t="shared" si="7"/>
        <v>1.4222222222222223</v>
      </c>
      <c r="AB95">
        <f t="shared" si="8"/>
        <v>5</v>
      </c>
      <c r="AC95" t="str">
        <f t="shared" si="9"/>
        <v>Low</v>
      </c>
      <c r="AD95" t="str">
        <f t="shared" si="10"/>
        <v>Upsell premium bundle</v>
      </c>
      <c r="AE95">
        <f t="shared" si="11"/>
        <v>9</v>
      </c>
    </row>
    <row r="96" spans="1:31" x14ac:dyDescent="0.35">
      <c r="A96" t="s">
        <v>154</v>
      </c>
      <c r="B96" s="4">
        <v>44704</v>
      </c>
      <c r="C96" s="4">
        <v>46143</v>
      </c>
      <c r="D96" t="s">
        <v>39</v>
      </c>
      <c r="E96">
        <v>34</v>
      </c>
      <c r="F96" t="s">
        <v>43</v>
      </c>
      <c r="G96" t="s">
        <v>85</v>
      </c>
      <c r="H96" t="s">
        <v>41</v>
      </c>
      <c r="I96" t="s">
        <v>36</v>
      </c>
      <c r="J96">
        <v>47</v>
      </c>
      <c r="K96" s="5">
        <v>16.84</v>
      </c>
      <c r="L96" s="5">
        <v>91.33</v>
      </c>
      <c r="M96">
        <v>16</v>
      </c>
      <c r="N96">
        <v>7</v>
      </c>
      <c r="O96">
        <v>3</v>
      </c>
      <c r="P96">
        <v>1</v>
      </c>
      <c r="Q96">
        <v>20</v>
      </c>
      <c r="R96">
        <v>0</v>
      </c>
      <c r="S96">
        <v>2</v>
      </c>
      <c r="T96">
        <v>0</v>
      </c>
      <c r="U96">
        <v>1</v>
      </c>
      <c r="V96">
        <v>0</v>
      </c>
      <c r="W96" t="s">
        <v>37</v>
      </c>
      <c r="X96">
        <v>67</v>
      </c>
      <c r="Y96">
        <v>0</v>
      </c>
      <c r="Z96">
        <f t="shared" si="6"/>
        <v>54</v>
      </c>
      <c r="AA96">
        <f t="shared" si="7"/>
        <v>0.46753246753246752</v>
      </c>
      <c r="AB96">
        <f t="shared" si="8"/>
        <v>19</v>
      </c>
      <c r="AC96" t="str">
        <f t="shared" si="9"/>
        <v>Low</v>
      </c>
      <c r="AD96" t="str">
        <f t="shared" si="10"/>
        <v>Upsell premium bundle</v>
      </c>
      <c r="AE96">
        <f t="shared" si="11"/>
        <v>46</v>
      </c>
    </row>
    <row r="97" spans="1:31" x14ac:dyDescent="0.35">
      <c r="A97" t="s">
        <v>155</v>
      </c>
      <c r="B97" s="4">
        <v>44865</v>
      </c>
      <c r="C97" s="4">
        <v>46143</v>
      </c>
      <c r="D97" t="s">
        <v>32</v>
      </c>
      <c r="E97">
        <v>49</v>
      </c>
      <c r="F97" t="s">
        <v>57</v>
      </c>
      <c r="G97" t="s">
        <v>48</v>
      </c>
      <c r="H97" t="s">
        <v>41</v>
      </c>
      <c r="I97" t="s">
        <v>36</v>
      </c>
      <c r="J97">
        <v>42</v>
      </c>
      <c r="K97" s="5">
        <v>1694.06</v>
      </c>
      <c r="L97" s="5">
        <v>1066.02</v>
      </c>
      <c r="M97">
        <v>9</v>
      </c>
      <c r="N97">
        <v>3</v>
      </c>
      <c r="O97">
        <v>1</v>
      </c>
      <c r="P97">
        <v>0</v>
      </c>
      <c r="Q97">
        <v>16</v>
      </c>
      <c r="R97">
        <v>0</v>
      </c>
      <c r="S97">
        <v>0</v>
      </c>
      <c r="T97">
        <v>0</v>
      </c>
      <c r="U97">
        <v>0</v>
      </c>
      <c r="V97">
        <v>1</v>
      </c>
      <c r="W97" t="s">
        <v>50</v>
      </c>
      <c r="X97">
        <v>0</v>
      </c>
      <c r="Y97">
        <v>1</v>
      </c>
      <c r="Z97">
        <f t="shared" si="6"/>
        <v>35</v>
      </c>
      <c r="AA97">
        <f t="shared" si="7"/>
        <v>0.34722222222222221</v>
      </c>
      <c r="AB97">
        <f t="shared" si="8"/>
        <v>44</v>
      </c>
      <c r="AC97" t="str">
        <f t="shared" si="9"/>
        <v>Medium</v>
      </c>
      <c r="AD97" t="str">
        <f t="shared" si="10"/>
        <v>Nudge core feature adoption</v>
      </c>
      <c r="AE97">
        <f t="shared" si="11"/>
        <v>65</v>
      </c>
    </row>
    <row r="98" spans="1:31" x14ac:dyDescent="0.35">
      <c r="A98" t="s">
        <v>156</v>
      </c>
      <c r="B98" s="4">
        <v>44695</v>
      </c>
      <c r="C98" s="4">
        <v>46143</v>
      </c>
      <c r="D98" t="s">
        <v>47</v>
      </c>
      <c r="E98">
        <v>52</v>
      </c>
      <c r="F98" t="s">
        <v>33</v>
      </c>
      <c r="G98" t="s">
        <v>85</v>
      </c>
      <c r="H98" t="s">
        <v>41</v>
      </c>
      <c r="I98" t="s">
        <v>36</v>
      </c>
      <c r="J98">
        <v>48</v>
      </c>
      <c r="K98" s="5">
        <v>765.09</v>
      </c>
      <c r="L98" s="5">
        <v>617.95000000000005</v>
      </c>
      <c r="M98">
        <v>26</v>
      </c>
      <c r="N98">
        <v>17</v>
      </c>
      <c r="O98">
        <v>4</v>
      </c>
      <c r="P98">
        <v>0</v>
      </c>
      <c r="Q98">
        <v>23</v>
      </c>
      <c r="R98">
        <v>4</v>
      </c>
      <c r="S98">
        <v>1</v>
      </c>
      <c r="T98">
        <v>1</v>
      </c>
      <c r="U98">
        <v>1</v>
      </c>
      <c r="V98">
        <v>1</v>
      </c>
      <c r="W98" t="s">
        <v>37</v>
      </c>
      <c r="X98">
        <v>-23</v>
      </c>
      <c r="Y98">
        <v>0</v>
      </c>
      <c r="Z98">
        <f t="shared" si="6"/>
        <v>81</v>
      </c>
      <c r="AA98">
        <f t="shared" si="7"/>
        <v>0.62820512820512819</v>
      </c>
      <c r="AB98">
        <f t="shared" si="8"/>
        <v>39</v>
      </c>
      <c r="AC98" t="str">
        <f t="shared" si="9"/>
        <v>Low</v>
      </c>
      <c r="AD98" t="str">
        <f t="shared" si="10"/>
        <v>Upsell premium bundle</v>
      </c>
      <c r="AE98">
        <f t="shared" si="11"/>
        <v>19</v>
      </c>
    </row>
    <row r="99" spans="1:31" x14ac:dyDescent="0.35">
      <c r="A99" t="s">
        <v>157</v>
      </c>
      <c r="B99" s="4">
        <v>45348</v>
      </c>
      <c r="C99" s="4">
        <v>46143</v>
      </c>
      <c r="D99" t="s">
        <v>60</v>
      </c>
      <c r="E99">
        <v>59</v>
      </c>
      <c r="F99" t="s">
        <v>57</v>
      </c>
      <c r="G99" t="s">
        <v>67</v>
      </c>
      <c r="H99" t="s">
        <v>41</v>
      </c>
      <c r="I99" t="s">
        <v>36</v>
      </c>
      <c r="J99">
        <v>26</v>
      </c>
      <c r="K99" s="5">
        <v>174.18</v>
      </c>
      <c r="L99" s="5">
        <v>0</v>
      </c>
      <c r="M99">
        <v>14</v>
      </c>
      <c r="N99">
        <v>7</v>
      </c>
      <c r="O99">
        <v>2</v>
      </c>
      <c r="P99">
        <v>2</v>
      </c>
      <c r="Q99">
        <v>5</v>
      </c>
      <c r="R99">
        <v>0</v>
      </c>
      <c r="S99">
        <v>0</v>
      </c>
      <c r="T99">
        <v>1</v>
      </c>
      <c r="U99">
        <v>1</v>
      </c>
      <c r="V99">
        <v>1</v>
      </c>
      <c r="W99" t="s">
        <v>55</v>
      </c>
      <c r="X99">
        <v>52</v>
      </c>
      <c r="Y99">
        <v>0</v>
      </c>
      <c r="Z99">
        <f t="shared" si="6"/>
        <v>45</v>
      </c>
      <c r="AA99">
        <f t="shared" si="7"/>
        <v>0.3392857142857143</v>
      </c>
      <c r="AB99">
        <f t="shared" si="8"/>
        <v>14</v>
      </c>
      <c r="AC99" t="str">
        <f t="shared" si="9"/>
        <v>Low</v>
      </c>
      <c r="AD99" t="str">
        <f t="shared" si="10"/>
        <v>Upsell premium bundle</v>
      </c>
      <c r="AE99">
        <f t="shared" si="11"/>
        <v>55</v>
      </c>
    </row>
    <row r="100" spans="1:31" x14ac:dyDescent="0.35">
      <c r="A100" t="s">
        <v>158</v>
      </c>
      <c r="B100" s="4">
        <v>44762</v>
      </c>
      <c r="C100" s="4">
        <v>46143</v>
      </c>
      <c r="D100" t="s">
        <v>39</v>
      </c>
      <c r="E100">
        <v>35</v>
      </c>
      <c r="F100" t="s">
        <v>57</v>
      </c>
      <c r="G100" t="s">
        <v>85</v>
      </c>
      <c r="H100" t="s">
        <v>44</v>
      </c>
      <c r="I100" t="s">
        <v>36</v>
      </c>
      <c r="J100">
        <v>46</v>
      </c>
      <c r="K100" s="5">
        <v>533.36</v>
      </c>
      <c r="L100" s="5">
        <v>223.51</v>
      </c>
      <c r="M100">
        <v>23</v>
      </c>
      <c r="N100">
        <v>11</v>
      </c>
      <c r="O100">
        <v>2</v>
      </c>
      <c r="P100">
        <v>1</v>
      </c>
      <c r="Q100">
        <v>11</v>
      </c>
      <c r="R100">
        <v>2</v>
      </c>
      <c r="S100">
        <v>2</v>
      </c>
      <c r="T100">
        <v>0</v>
      </c>
      <c r="U100">
        <v>1</v>
      </c>
      <c r="V100">
        <v>1</v>
      </c>
      <c r="W100" t="s">
        <v>55</v>
      </c>
      <c r="X100">
        <v>0</v>
      </c>
      <c r="Y100">
        <v>1</v>
      </c>
      <c r="Z100">
        <f t="shared" si="6"/>
        <v>62</v>
      </c>
      <c r="AA100">
        <f t="shared" si="7"/>
        <v>0.44736842105263158</v>
      </c>
      <c r="AB100">
        <f t="shared" si="8"/>
        <v>36</v>
      </c>
      <c r="AC100" t="str">
        <f t="shared" si="9"/>
        <v>Low</v>
      </c>
      <c r="AD100" t="str">
        <f t="shared" si="10"/>
        <v>Upsell premium bundle</v>
      </c>
      <c r="AE100">
        <f t="shared" si="11"/>
        <v>38</v>
      </c>
    </row>
    <row r="101" spans="1:31" x14ac:dyDescent="0.35">
      <c r="A101" t="s">
        <v>159</v>
      </c>
      <c r="B101" s="4">
        <v>45839</v>
      </c>
      <c r="C101" s="4">
        <v>46143</v>
      </c>
      <c r="D101" t="s">
        <v>66</v>
      </c>
      <c r="E101">
        <v>23</v>
      </c>
      <c r="F101" t="s">
        <v>43</v>
      </c>
      <c r="G101" t="s">
        <v>85</v>
      </c>
      <c r="H101" t="s">
        <v>58</v>
      </c>
      <c r="I101" t="s">
        <v>36</v>
      </c>
      <c r="J101">
        <v>10</v>
      </c>
      <c r="K101" s="5">
        <v>199.41</v>
      </c>
      <c r="L101" s="5">
        <v>79.760000000000005</v>
      </c>
      <c r="M101">
        <v>21</v>
      </c>
      <c r="N101">
        <v>8</v>
      </c>
      <c r="O101">
        <v>2</v>
      </c>
      <c r="P101">
        <v>0</v>
      </c>
      <c r="Q101">
        <v>12</v>
      </c>
      <c r="R101">
        <v>2</v>
      </c>
      <c r="S101">
        <v>1</v>
      </c>
      <c r="T101">
        <v>0</v>
      </c>
      <c r="U101">
        <v>0</v>
      </c>
      <c r="V101">
        <v>0</v>
      </c>
      <c r="W101" t="s">
        <v>45</v>
      </c>
      <c r="X101">
        <v>-16</v>
      </c>
      <c r="Y101">
        <v>1</v>
      </c>
      <c r="Z101">
        <f t="shared" si="6"/>
        <v>42</v>
      </c>
      <c r="AA101">
        <f t="shared" si="7"/>
        <v>0.82499999999999996</v>
      </c>
      <c r="AB101">
        <f t="shared" si="8"/>
        <v>44</v>
      </c>
      <c r="AC101" t="str">
        <f t="shared" si="9"/>
        <v>Medium</v>
      </c>
      <c r="AD101" t="str">
        <f t="shared" si="10"/>
        <v>Nudge core feature adoption</v>
      </c>
      <c r="AE101">
        <f t="shared" si="11"/>
        <v>58</v>
      </c>
    </row>
    <row r="102" spans="1:31" x14ac:dyDescent="0.35">
      <c r="A102" t="s">
        <v>160</v>
      </c>
      <c r="B102" s="4">
        <v>45335</v>
      </c>
      <c r="C102" s="4">
        <v>46143</v>
      </c>
      <c r="D102" t="s">
        <v>66</v>
      </c>
      <c r="E102">
        <v>46</v>
      </c>
      <c r="F102" t="s">
        <v>57</v>
      </c>
      <c r="G102" t="s">
        <v>48</v>
      </c>
      <c r="H102" t="s">
        <v>58</v>
      </c>
      <c r="I102" t="s">
        <v>49</v>
      </c>
      <c r="J102">
        <v>26</v>
      </c>
      <c r="K102" s="5">
        <v>1382.97</v>
      </c>
      <c r="L102" s="5">
        <v>1588.84</v>
      </c>
      <c r="M102">
        <v>24</v>
      </c>
      <c r="N102">
        <v>7</v>
      </c>
      <c r="O102">
        <v>4</v>
      </c>
      <c r="P102">
        <v>4</v>
      </c>
      <c r="Q102">
        <v>19</v>
      </c>
      <c r="R102">
        <v>0</v>
      </c>
      <c r="S102">
        <v>1</v>
      </c>
      <c r="T102">
        <v>0</v>
      </c>
      <c r="U102">
        <v>1</v>
      </c>
      <c r="V102">
        <v>0</v>
      </c>
      <c r="W102" t="s">
        <v>37</v>
      </c>
      <c r="X102">
        <v>54</v>
      </c>
      <c r="Y102">
        <v>0</v>
      </c>
      <c r="Z102">
        <f t="shared" si="6"/>
        <v>67</v>
      </c>
      <c r="AA102">
        <f t="shared" si="7"/>
        <v>0.7678571428571429</v>
      </c>
      <c r="AB102">
        <f t="shared" si="8"/>
        <v>8</v>
      </c>
      <c r="AC102" t="str">
        <f t="shared" si="9"/>
        <v>Low</v>
      </c>
      <c r="AD102" t="str">
        <f t="shared" si="10"/>
        <v>Upsell premium bundle</v>
      </c>
      <c r="AE102">
        <f t="shared" si="11"/>
        <v>33</v>
      </c>
    </row>
    <row r="103" spans="1:31" x14ac:dyDescent="0.35">
      <c r="A103" t="s">
        <v>161</v>
      </c>
      <c r="B103" s="4">
        <v>45295</v>
      </c>
      <c r="C103" s="4">
        <v>46143</v>
      </c>
      <c r="D103" t="s">
        <v>32</v>
      </c>
      <c r="E103">
        <v>32</v>
      </c>
      <c r="F103" t="s">
        <v>33</v>
      </c>
      <c r="G103" t="s">
        <v>48</v>
      </c>
      <c r="H103" t="s">
        <v>44</v>
      </c>
      <c r="I103" t="s">
        <v>36</v>
      </c>
      <c r="J103">
        <v>28</v>
      </c>
      <c r="K103" s="5">
        <v>567.35</v>
      </c>
      <c r="L103" s="5">
        <v>203.55</v>
      </c>
      <c r="M103">
        <v>44</v>
      </c>
      <c r="N103">
        <v>15</v>
      </c>
      <c r="O103">
        <v>4</v>
      </c>
      <c r="P103">
        <v>7</v>
      </c>
      <c r="Q103">
        <v>27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37</v>
      </c>
      <c r="X103">
        <v>100</v>
      </c>
      <c r="Y103">
        <v>0</v>
      </c>
      <c r="Z103">
        <f t="shared" si="6"/>
        <v>98</v>
      </c>
      <c r="AA103">
        <f t="shared" si="7"/>
        <v>1.2241379310344827</v>
      </c>
      <c r="AB103">
        <f t="shared" si="8"/>
        <v>0</v>
      </c>
      <c r="AC103" t="str">
        <f t="shared" si="9"/>
        <v>Low</v>
      </c>
      <c r="AD103" t="str">
        <f t="shared" si="10"/>
        <v>Upsell premium bundle</v>
      </c>
      <c r="AE103">
        <f t="shared" si="11"/>
        <v>2</v>
      </c>
    </row>
    <row r="104" spans="1:31" x14ac:dyDescent="0.35">
      <c r="A104" t="s">
        <v>162</v>
      </c>
      <c r="B104" s="4">
        <v>45569</v>
      </c>
      <c r="C104" s="4">
        <v>46143</v>
      </c>
      <c r="D104" t="s">
        <v>72</v>
      </c>
      <c r="E104">
        <v>50</v>
      </c>
      <c r="F104" t="s">
        <v>33</v>
      </c>
      <c r="G104" t="s">
        <v>85</v>
      </c>
      <c r="H104" t="s">
        <v>44</v>
      </c>
      <c r="I104" t="s">
        <v>36</v>
      </c>
      <c r="J104">
        <v>19</v>
      </c>
      <c r="K104" s="5">
        <v>361.84</v>
      </c>
      <c r="L104" s="5">
        <v>276.51</v>
      </c>
      <c r="M104">
        <v>30</v>
      </c>
      <c r="N104">
        <v>15</v>
      </c>
      <c r="O104">
        <v>3</v>
      </c>
      <c r="P104">
        <v>6</v>
      </c>
      <c r="Q104">
        <v>24</v>
      </c>
      <c r="R104">
        <v>2</v>
      </c>
      <c r="S104">
        <v>0</v>
      </c>
      <c r="T104">
        <v>0</v>
      </c>
      <c r="U104">
        <v>0</v>
      </c>
      <c r="V104">
        <v>1</v>
      </c>
      <c r="W104" t="s">
        <v>50</v>
      </c>
      <c r="X104">
        <v>-22</v>
      </c>
      <c r="Y104">
        <v>0</v>
      </c>
      <c r="Z104">
        <f t="shared" si="6"/>
        <v>84</v>
      </c>
      <c r="AA104">
        <f t="shared" si="7"/>
        <v>1.1020408163265305</v>
      </c>
      <c r="AB104">
        <f t="shared" si="8"/>
        <v>22</v>
      </c>
      <c r="AC104" t="str">
        <f t="shared" si="9"/>
        <v>Low</v>
      </c>
      <c r="AD104" t="str">
        <f t="shared" si="10"/>
        <v>Upsell premium bundle</v>
      </c>
      <c r="AE104">
        <f t="shared" si="11"/>
        <v>16</v>
      </c>
    </row>
    <row r="105" spans="1:31" x14ac:dyDescent="0.35">
      <c r="A105" t="s">
        <v>163</v>
      </c>
      <c r="B105" s="4">
        <v>44699</v>
      </c>
      <c r="C105" s="4">
        <v>46143</v>
      </c>
      <c r="D105" t="s">
        <v>39</v>
      </c>
      <c r="E105">
        <v>37</v>
      </c>
      <c r="F105" t="s">
        <v>57</v>
      </c>
      <c r="G105" t="s">
        <v>34</v>
      </c>
      <c r="H105" t="s">
        <v>41</v>
      </c>
      <c r="I105" t="s">
        <v>36</v>
      </c>
      <c r="J105">
        <v>48</v>
      </c>
      <c r="K105" s="5">
        <v>365.7</v>
      </c>
      <c r="L105" s="5">
        <v>1547.59</v>
      </c>
      <c r="M105">
        <v>24</v>
      </c>
      <c r="N105">
        <v>17</v>
      </c>
      <c r="O105">
        <v>3</v>
      </c>
      <c r="P105">
        <v>0</v>
      </c>
      <c r="Q105">
        <v>3</v>
      </c>
      <c r="R105">
        <v>2</v>
      </c>
      <c r="S105">
        <v>0</v>
      </c>
      <c r="T105">
        <v>1</v>
      </c>
      <c r="U105">
        <v>0</v>
      </c>
      <c r="V105">
        <v>1</v>
      </c>
      <c r="W105" t="s">
        <v>55</v>
      </c>
      <c r="X105">
        <v>5</v>
      </c>
      <c r="Y105">
        <v>0</v>
      </c>
      <c r="Z105">
        <f t="shared" si="6"/>
        <v>52</v>
      </c>
      <c r="AA105">
        <f t="shared" si="7"/>
        <v>0.34615384615384615</v>
      </c>
      <c r="AB105">
        <f t="shared" si="8"/>
        <v>22</v>
      </c>
      <c r="AC105" t="str">
        <f t="shared" si="9"/>
        <v>Low</v>
      </c>
      <c r="AD105" t="str">
        <f t="shared" si="10"/>
        <v>Upsell premium bundle</v>
      </c>
      <c r="AE105">
        <f t="shared" si="11"/>
        <v>48</v>
      </c>
    </row>
    <row r="106" spans="1:31" x14ac:dyDescent="0.35">
      <c r="A106" t="s">
        <v>164</v>
      </c>
      <c r="B106" s="4">
        <v>45314</v>
      </c>
      <c r="C106" s="4">
        <v>46143</v>
      </c>
      <c r="D106" t="s">
        <v>72</v>
      </c>
      <c r="E106">
        <v>52</v>
      </c>
      <c r="F106" t="s">
        <v>33</v>
      </c>
      <c r="G106" t="s">
        <v>63</v>
      </c>
      <c r="H106" t="s">
        <v>41</v>
      </c>
      <c r="I106" t="s">
        <v>36</v>
      </c>
      <c r="J106">
        <v>27</v>
      </c>
      <c r="K106" s="5">
        <v>136.75</v>
      </c>
      <c r="L106" s="5">
        <v>0</v>
      </c>
      <c r="M106">
        <v>22</v>
      </c>
      <c r="N106">
        <v>14</v>
      </c>
      <c r="O106">
        <v>6</v>
      </c>
      <c r="P106">
        <v>1</v>
      </c>
      <c r="Q106">
        <v>9</v>
      </c>
      <c r="R106">
        <v>1</v>
      </c>
      <c r="S106">
        <v>3</v>
      </c>
      <c r="T106">
        <v>0</v>
      </c>
      <c r="U106">
        <v>0</v>
      </c>
      <c r="V106">
        <v>1</v>
      </c>
      <c r="W106" t="s">
        <v>50</v>
      </c>
      <c r="X106">
        <v>2</v>
      </c>
      <c r="Y106">
        <v>1</v>
      </c>
      <c r="Z106">
        <f t="shared" si="6"/>
        <v>58</v>
      </c>
      <c r="AA106">
        <f t="shared" si="7"/>
        <v>0.54385964912280704</v>
      </c>
      <c r="AB106">
        <f t="shared" si="8"/>
        <v>56</v>
      </c>
      <c r="AC106" t="str">
        <f t="shared" si="9"/>
        <v>Medium</v>
      </c>
      <c r="AD106" t="str">
        <f t="shared" si="10"/>
        <v>Nudge core feature adoption</v>
      </c>
      <c r="AE106">
        <f t="shared" si="11"/>
        <v>42</v>
      </c>
    </row>
    <row r="107" spans="1:31" x14ac:dyDescent="0.35">
      <c r="A107" t="s">
        <v>165</v>
      </c>
      <c r="B107" s="4">
        <v>44935</v>
      </c>
      <c r="C107" s="4">
        <v>46143</v>
      </c>
      <c r="D107" t="s">
        <v>72</v>
      </c>
      <c r="E107">
        <v>72</v>
      </c>
      <c r="F107" t="s">
        <v>33</v>
      </c>
      <c r="G107" t="s">
        <v>40</v>
      </c>
      <c r="H107" t="s">
        <v>41</v>
      </c>
      <c r="I107" t="s">
        <v>36</v>
      </c>
      <c r="J107">
        <v>40</v>
      </c>
      <c r="K107" s="5">
        <v>278.08</v>
      </c>
      <c r="L107" s="5">
        <v>470.6</v>
      </c>
      <c r="M107">
        <v>22</v>
      </c>
      <c r="N107">
        <v>14</v>
      </c>
      <c r="O107">
        <v>1</v>
      </c>
      <c r="P107">
        <v>0</v>
      </c>
      <c r="Q107">
        <v>15</v>
      </c>
      <c r="R107">
        <v>1</v>
      </c>
      <c r="S107">
        <v>1</v>
      </c>
      <c r="T107">
        <v>1</v>
      </c>
      <c r="U107">
        <v>0</v>
      </c>
      <c r="V107">
        <v>0</v>
      </c>
      <c r="W107" t="s">
        <v>52</v>
      </c>
      <c r="X107">
        <v>-2</v>
      </c>
      <c r="Y107">
        <v>0</v>
      </c>
      <c r="Z107">
        <f t="shared" si="6"/>
        <v>49</v>
      </c>
      <c r="AA107">
        <f t="shared" si="7"/>
        <v>0.52857142857142858</v>
      </c>
      <c r="AB107">
        <f t="shared" si="8"/>
        <v>46</v>
      </c>
      <c r="AC107" t="str">
        <f t="shared" si="9"/>
        <v>Medium</v>
      </c>
      <c r="AD107" t="str">
        <f t="shared" si="10"/>
        <v>Nudge core feature adoption</v>
      </c>
      <c r="AE107">
        <f t="shared" si="11"/>
        <v>51</v>
      </c>
    </row>
    <row r="108" spans="1:31" x14ac:dyDescent="0.35">
      <c r="A108" t="s">
        <v>166</v>
      </c>
      <c r="B108" s="4">
        <v>45025</v>
      </c>
      <c r="C108" s="4">
        <v>46143</v>
      </c>
      <c r="D108" t="s">
        <v>47</v>
      </c>
      <c r="E108">
        <v>25</v>
      </c>
      <c r="F108" t="s">
        <v>57</v>
      </c>
      <c r="G108" t="s">
        <v>67</v>
      </c>
      <c r="H108" t="s">
        <v>41</v>
      </c>
      <c r="I108" t="s">
        <v>49</v>
      </c>
      <c r="J108">
        <v>37</v>
      </c>
      <c r="K108" s="5">
        <v>1474.79</v>
      </c>
      <c r="L108" s="5">
        <v>1202.19</v>
      </c>
      <c r="M108">
        <v>27</v>
      </c>
      <c r="N108">
        <v>7</v>
      </c>
      <c r="O108">
        <v>5</v>
      </c>
      <c r="P108">
        <v>1</v>
      </c>
      <c r="Q108">
        <v>10</v>
      </c>
      <c r="R108">
        <v>1</v>
      </c>
      <c r="S108">
        <v>2</v>
      </c>
      <c r="T108">
        <v>1</v>
      </c>
      <c r="U108">
        <v>0</v>
      </c>
      <c r="V108">
        <v>1</v>
      </c>
      <c r="W108" t="s">
        <v>55</v>
      </c>
      <c r="X108">
        <v>24</v>
      </c>
      <c r="Y108">
        <v>1</v>
      </c>
      <c r="Z108">
        <f t="shared" si="6"/>
        <v>58</v>
      </c>
      <c r="AA108">
        <f t="shared" si="7"/>
        <v>0.55223880597014929</v>
      </c>
      <c r="AB108">
        <f t="shared" si="8"/>
        <v>53</v>
      </c>
      <c r="AC108" t="str">
        <f t="shared" si="9"/>
        <v>Medium</v>
      </c>
      <c r="AD108" t="str">
        <f t="shared" si="10"/>
        <v>Nudge core feature adoption</v>
      </c>
      <c r="AE108">
        <f t="shared" si="11"/>
        <v>42</v>
      </c>
    </row>
    <row r="109" spans="1:31" x14ac:dyDescent="0.35">
      <c r="A109" t="s">
        <v>167</v>
      </c>
      <c r="B109" s="4">
        <v>45831</v>
      </c>
      <c r="C109" s="4">
        <v>46143</v>
      </c>
      <c r="D109" t="s">
        <v>39</v>
      </c>
      <c r="E109">
        <v>30</v>
      </c>
      <c r="F109" t="s">
        <v>61</v>
      </c>
      <c r="G109" t="s">
        <v>34</v>
      </c>
      <c r="H109" t="s">
        <v>41</v>
      </c>
      <c r="I109" t="s">
        <v>36</v>
      </c>
      <c r="J109">
        <v>10</v>
      </c>
      <c r="K109" s="5">
        <v>0</v>
      </c>
      <c r="L109" s="5">
        <v>1133.5</v>
      </c>
      <c r="M109">
        <v>29</v>
      </c>
      <c r="N109">
        <v>14</v>
      </c>
      <c r="O109">
        <v>3</v>
      </c>
      <c r="P109">
        <v>2</v>
      </c>
      <c r="Q109">
        <v>24</v>
      </c>
      <c r="R109">
        <v>2</v>
      </c>
      <c r="S109">
        <v>0</v>
      </c>
      <c r="T109">
        <v>1</v>
      </c>
      <c r="U109">
        <v>0</v>
      </c>
      <c r="V109">
        <v>0</v>
      </c>
      <c r="W109" t="s">
        <v>52</v>
      </c>
      <c r="X109">
        <v>-6</v>
      </c>
      <c r="Y109">
        <v>1</v>
      </c>
      <c r="Z109">
        <f t="shared" si="6"/>
        <v>70</v>
      </c>
      <c r="AA109">
        <f t="shared" si="7"/>
        <v>1.325</v>
      </c>
      <c r="AB109">
        <f t="shared" si="8"/>
        <v>30</v>
      </c>
      <c r="AC109" t="str">
        <f t="shared" si="9"/>
        <v>Low</v>
      </c>
      <c r="AD109" t="str">
        <f t="shared" si="10"/>
        <v>Upsell premium bundle</v>
      </c>
      <c r="AE109">
        <f t="shared" si="11"/>
        <v>30</v>
      </c>
    </row>
    <row r="110" spans="1:31" x14ac:dyDescent="0.35">
      <c r="A110" t="s">
        <v>168</v>
      </c>
      <c r="B110" s="4">
        <v>45784</v>
      </c>
      <c r="C110" s="4">
        <v>46143</v>
      </c>
      <c r="D110" t="s">
        <v>32</v>
      </c>
      <c r="E110">
        <v>38</v>
      </c>
      <c r="F110" t="s">
        <v>57</v>
      </c>
      <c r="G110" t="s">
        <v>34</v>
      </c>
      <c r="H110" t="s">
        <v>44</v>
      </c>
      <c r="I110" t="s">
        <v>36</v>
      </c>
      <c r="J110">
        <v>11</v>
      </c>
      <c r="K110" s="5">
        <v>0</v>
      </c>
      <c r="L110" s="5">
        <v>923.2</v>
      </c>
      <c r="M110">
        <v>46</v>
      </c>
      <c r="N110">
        <v>26</v>
      </c>
      <c r="O110">
        <v>10</v>
      </c>
      <c r="P110">
        <v>4</v>
      </c>
      <c r="Q110">
        <v>26</v>
      </c>
      <c r="R110">
        <v>2</v>
      </c>
      <c r="S110">
        <v>1</v>
      </c>
      <c r="T110">
        <v>1</v>
      </c>
      <c r="U110">
        <v>0</v>
      </c>
      <c r="V110">
        <v>1</v>
      </c>
      <c r="W110" t="s">
        <v>45</v>
      </c>
      <c r="X110">
        <v>54</v>
      </c>
      <c r="Y110">
        <v>0</v>
      </c>
      <c r="Z110">
        <f t="shared" si="6"/>
        <v>100</v>
      </c>
      <c r="AA110">
        <f t="shared" si="7"/>
        <v>1.7560975609756098</v>
      </c>
      <c r="AB110">
        <f t="shared" si="8"/>
        <v>0</v>
      </c>
      <c r="AC110" t="str">
        <f t="shared" si="9"/>
        <v>Low</v>
      </c>
      <c r="AD110" t="str">
        <f t="shared" si="10"/>
        <v>Upsell premium bundle</v>
      </c>
      <c r="AE110">
        <f t="shared" si="11"/>
        <v>0</v>
      </c>
    </row>
    <row r="111" spans="1:31" x14ac:dyDescent="0.35">
      <c r="A111" t="s">
        <v>169</v>
      </c>
      <c r="B111" s="4">
        <v>44726</v>
      </c>
      <c r="C111" s="4">
        <v>46143</v>
      </c>
      <c r="D111" t="s">
        <v>72</v>
      </c>
      <c r="E111">
        <v>19</v>
      </c>
      <c r="F111" t="s">
        <v>61</v>
      </c>
      <c r="G111" t="s">
        <v>67</v>
      </c>
      <c r="H111" t="s">
        <v>58</v>
      </c>
      <c r="I111" t="s">
        <v>36</v>
      </c>
      <c r="J111">
        <v>47</v>
      </c>
      <c r="K111" s="5">
        <v>3421.51</v>
      </c>
      <c r="L111" s="5">
        <v>3344.81</v>
      </c>
      <c r="M111">
        <v>29</v>
      </c>
      <c r="N111">
        <v>15</v>
      </c>
      <c r="O111">
        <v>5</v>
      </c>
      <c r="P111">
        <v>5</v>
      </c>
      <c r="Q111">
        <v>18</v>
      </c>
      <c r="R111">
        <v>2</v>
      </c>
      <c r="S111">
        <v>1</v>
      </c>
      <c r="T111">
        <v>1</v>
      </c>
      <c r="U111">
        <v>1</v>
      </c>
      <c r="V111">
        <v>1</v>
      </c>
      <c r="W111" t="s">
        <v>45</v>
      </c>
      <c r="X111">
        <v>40</v>
      </c>
      <c r="Y111">
        <v>0</v>
      </c>
      <c r="Z111">
        <f t="shared" si="6"/>
        <v>87</v>
      </c>
      <c r="AA111">
        <f t="shared" si="7"/>
        <v>0.61038961038961037</v>
      </c>
      <c r="AB111">
        <f t="shared" si="8"/>
        <v>0</v>
      </c>
      <c r="AC111" t="str">
        <f t="shared" si="9"/>
        <v>Low</v>
      </c>
      <c r="AD111" t="str">
        <f t="shared" si="10"/>
        <v>Upsell premium bundle</v>
      </c>
      <c r="AE111">
        <f t="shared" si="11"/>
        <v>13</v>
      </c>
    </row>
    <row r="112" spans="1:31" x14ac:dyDescent="0.35">
      <c r="A112" t="s">
        <v>170</v>
      </c>
      <c r="B112" s="4">
        <v>44958</v>
      </c>
      <c r="C112" s="4">
        <v>46143</v>
      </c>
      <c r="D112" t="s">
        <v>60</v>
      </c>
      <c r="E112">
        <v>61</v>
      </c>
      <c r="F112" t="s">
        <v>43</v>
      </c>
      <c r="G112" t="s">
        <v>34</v>
      </c>
      <c r="H112" t="s">
        <v>41</v>
      </c>
      <c r="I112" t="s">
        <v>36</v>
      </c>
      <c r="J112">
        <v>39</v>
      </c>
      <c r="K112" s="5">
        <v>50.87</v>
      </c>
      <c r="L112" s="5">
        <v>56.36</v>
      </c>
      <c r="M112">
        <v>29</v>
      </c>
      <c r="N112">
        <v>9</v>
      </c>
      <c r="O112">
        <v>3</v>
      </c>
      <c r="P112">
        <v>1</v>
      </c>
      <c r="Q112">
        <v>16</v>
      </c>
      <c r="R112">
        <v>0</v>
      </c>
      <c r="S112">
        <v>0</v>
      </c>
      <c r="T112">
        <v>1</v>
      </c>
      <c r="U112">
        <v>1</v>
      </c>
      <c r="V112">
        <v>1</v>
      </c>
      <c r="W112" t="s">
        <v>55</v>
      </c>
      <c r="X112">
        <v>21</v>
      </c>
      <c r="Y112">
        <v>0</v>
      </c>
      <c r="Z112">
        <f t="shared" si="6"/>
        <v>73</v>
      </c>
      <c r="AA112">
        <f t="shared" si="7"/>
        <v>0.65217391304347827</v>
      </c>
      <c r="AB112">
        <f t="shared" si="8"/>
        <v>18</v>
      </c>
      <c r="AC112" t="str">
        <f t="shared" si="9"/>
        <v>Low</v>
      </c>
      <c r="AD112" t="str">
        <f t="shared" si="10"/>
        <v>Upsell premium bundle</v>
      </c>
      <c r="AE112">
        <f t="shared" si="11"/>
        <v>27</v>
      </c>
    </row>
    <row r="113" spans="1:31" x14ac:dyDescent="0.35">
      <c r="A113" t="s">
        <v>171</v>
      </c>
      <c r="B113" s="4">
        <v>45779</v>
      </c>
      <c r="C113" s="4">
        <v>46143</v>
      </c>
      <c r="D113" t="s">
        <v>66</v>
      </c>
      <c r="E113">
        <v>50</v>
      </c>
      <c r="F113" t="s">
        <v>33</v>
      </c>
      <c r="G113" t="s">
        <v>34</v>
      </c>
      <c r="H113" t="s">
        <v>35</v>
      </c>
      <c r="I113" t="s">
        <v>54</v>
      </c>
      <c r="J113">
        <v>12</v>
      </c>
      <c r="K113" s="5">
        <v>84.38</v>
      </c>
      <c r="L113" s="5">
        <v>268.29000000000002</v>
      </c>
      <c r="M113">
        <v>37</v>
      </c>
      <c r="N113">
        <v>16</v>
      </c>
      <c r="O113">
        <v>8</v>
      </c>
      <c r="P113">
        <v>2</v>
      </c>
      <c r="Q113">
        <v>25</v>
      </c>
      <c r="R113">
        <v>1</v>
      </c>
      <c r="S113">
        <v>1</v>
      </c>
      <c r="T113">
        <v>1</v>
      </c>
      <c r="U113">
        <v>1</v>
      </c>
      <c r="V113">
        <v>0</v>
      </c>
      <c r="W113" t="s">
        <v>50</v>
      </c>
      <c r="X113">
        <v>23</v>
      </c>
      <c r="Y113">
        <v>0</v>
      </c>
      <c r="Z113">
        <f t="shared" si="6"/>
        <v>95</v>
      </c>
      <c r="AA113">
        <f t="shared" si="7"/>
        <v>1.4761904761904763</v>
      </c>
      <c r="AB113">
        <f t="shared" si="8"/>
        <v>21</v>
      </c>
      <c r="AC113" t="str">
        <f t="shared" si="9"/>
        <v>Low</v>
      </c>
      <c r="AD113" t="str">
        <f t="shared" si="10"/>
        <v>Upsell premium bundle</v>
      </c>
      <c r="AE113">
        <f t="shared" si="11"/>
        <v>5</v>
      </c>
    </row>
    <row r="114" spans="1:31" x14ac:dyDescent="0.35">
      <c r="A114" t="s">
        <v>172</v>
      </c>
      <c r="B114" s="4">
        <v>45019</v>
      </c>
      <c r="C114" s="4">
        <v>46143</v>
      </c>
      <c r="D114" t="s">
        <v>47</v>
      </c>
      <c r="E114">
        <v>42</v>
      </c>
      <c r="F114" t="s">
        <v>57</v>
      </c>
      <c r="G114" t="s">
        <v>40</v>
      </c>
      <c r="H114" t="s">
        <v>58</v>
      </c>
      <c r="I114" t="s">
        <v>36</v>
      </c>
      <c r="J114">
        <v>37</v>
      </c>
      <c r="K114" s="5">
        <v>1529.28</v>
      </c>
      <c r="L114" s="5">
        <v>50.09</v>
      </c>
      <c r="M114">
        <v>6</v>
      </c>
      <c r="N114">
        <v>2</v>
      </c>
      <c r="O114">
        <v>0</v>
      </c>
      <c r="P114">
        <v>0</v>
      </c>
      <c r="Q114">
        <v>22</v>
      </c>
      <c r="R114">
        <v>3</v>
      </c>
      <c r="S114">
        <v>1</v>
      </c>
      <c r="T114">
        <v>0</v>
      </c>
      <c r="U114">
        <v>0</v>
      </c>
      <c r="V114">
        <v>0</v>
      </c>
      <c r="W114" t="s">
        <v>50</v>
      </c>
      <c r="X114">
        <v>41</v>
      </c>
      <c r="Y114">
        <v>1</v>
      </c>
      <c r="Z114">
        <f t="shared" si="6"/>
        <v>28</v>
      </c>
      <c r="AA114">
        <f t="shared" si="7"/>
        <v>0.41791044776119401</v>
      </c>
      <c r="AB114">
        <f t="shared" si="8"/>
        <v>20</v>
      </c>
      <c r="AC114" t="str">
        <f t="shared" si="9"/>
        <v>Low</v>
      </c>
      <c r="AD114" t="str">
        <f t="shared" si="10"/>
        <v>Upsell premium bundle</v>
      </c>
      <c r="AE114">
        <f t="shared" si="11"/>
        <v>72</v>
      </c>
    </row>
    <row r="115" spans="1:31" x14ac:dyDescent="0.35">
      <c r="A115" t="s">
        <v>173</v>
      </c>
      <c r="B115" s="4">
        <v>45204</v>
      </c>
      <c r="C115" s="4">
        <v>46143</v>
      </c>
      <c r="D115" t="s">
        <v>39</v>
      </c>
      <c r="E115">
        <v>42</v>
      </c>
      <c r="F115" t="s">
        <v>57</v>
      </c>
      <c r="G115" t="s">
        <v>85</v>
      </c>
      <c r="H115" t="s">
        <v>44</v>
      </c>
      <c r="I115" t="s">
        <v>36</v>
      </c>
      <c r="J115">
        <v>31</v>
      </c>
      <c r="K115" s="5">
        <v>1324.91</v>
      </c>
      <c r="L115" s="5">
        <v>56.68</v>
      </c>
      <c r="M115">
        <v>41</v>
      </c>
      <c r="N115">
        <v>25</v>
      </c>
      <c r="O115">
        <v>9</v>
      </c>
      <c r="P115">
        <v>6</v>
      </c>
      <c r="Q115">
        <v>29</v>
      </c>
      <c r="R115">
        <v>0</v>
      </c>
      <c r="S115">
        <v>0</v>
      </c>
      <c r="T115">
        <v>1</v>
      </c>
      <c r="U115">
        <v>1</v>
      </c>
      <c r="V115">
        <v>0</v>
      </c>
      <c r="W115" t="s">
        <v>55</v>
      </c>
      <c r="X115">
        <v>63</v>
      </c>
      <c r="Y115">
        <v>0</v>
      </c>
      <c r="Z115">
        <f t="shared" si="6"/>
        <v>100</v>
      </c>
      <c r="AA115">
        <f t="shared" si="7"/>
        <v>1.1475409836065573</v>
      </c>
      <c r="AB115">
        <f t="shared" si="8"/>
        <v>0</v>
      </c>
      <c r="AC115" t="str">
        <f t="shared" si="9"/>
        <v>Low</v>
      </c>
      <c r="AD115" t="str">
        <f t="shared" si="10"/>
        <v>Upsell premium bundle</v>
      </c>
      <c r="AE115">
        <f t="shared" si="11"/>
        <v>0</v>
      </c>
    </row>
    <row r="116" spans="1:31" x14ac:dyDescent="0.35">
      <c r="A116" t="s">
        <v>174</v>
      </c>
      <c r="B116" s="4">
        <v>45231</v>
      </c>
      <c r="C116" s="4">
        <v>46143</v>
      </c>
      <c r="D116" t="s">
        <v>60</v>
      </c>
      <c r="E116">
        <v>34</v>
      </c>
      <c r="F116" t="s">
        <v>57</v>
      </c>
      <c r="G116" t="s">
        <v>63</v>
      </c>
      <c r="H116" t="s">
        <v>41</v>
      </c>
      <c r="I116" t="s">
        <v>36</v>
      </c>
      <c r="J116">
        <v>30</v>
      </c>
      <c r="K116" s="5">
        <v>1010.66</v>
      </c>
      <c r="L116" s="5">
        <v>1321.29</v>
      </c>
      <c r="M116">
        <v>55</v>
      </c>
      <c r="N116">
        <v>27</v>
      </c>
      <c r="O116">
        <v>11</v>
      </c>
      <c r="P116">
        <v>2</v>
      </c>
      <c r="Q116">
        <v>38</v>
      </c>
      <c r="R116">
        <v>1</v>
      </c>
      <c r="S116">
        <v>1</v>
      </c>
      <c r="T116">
        <v>0</v>
      </c>
      <c r="U116">
        <v>1</v>
      </c>
      <c r="V116">
        <v>0</v>
      </c>
      <c r="W116" t="s">
        <v>45</v>
      </c>
      <c r="X116">
        <v>-4</v>
      </c>
      <c r="Y116">
        <v>1</v>
      </c>
      <c r="Z116">
        <f t="shared" si="6"/>
        <v>100</v>
      </c>
      <c r="AA116">
        <f t="shared" si="7"/>
        <v>1.55</v>
      </c>
      <c r="AB116">
        <f t="shared" si="8"/>
        <v>27</v>
      </c>
      <c r="AC116" t="str">
        <f t="shared" si="9"/>
        <v>Low</v>
      </c>
      <c r="AD116" t="str">
        <f t="shared" si="10"/>
        <v>Upsell premium bundle</v>
      </c>
      <c r="AE116">
        <f t="shared" si="11"/>
        <v>0</v>
      </c>
    </row>
    <row r="117" spans="1:31" x14ac:dyDescent="0.35">
      <c r="A117" t="s">
        <v>175</v>
      </c>
      <c r="B117" s="4">
        <v>44979</v>
      </c>
      <c r="C117" s="4">
        <v>46143</v>
      </c>
      <c r="D117" t="s">
        <v>47</v>
      </c>
      <c r="E117">
        <v>19</v>
      </c>
      <c r="F117" t="s">
        <v>61</v>
      </c>
      <c r="G117" t="s">
        <v>63</v>
      </c>
      <c r="H117" t="s">
        <v>41</v>
      </c>
      <c r="I117" t="s">
        <v>36</v>
      </c>
      <c r="J117">
        <v>38</v>
      </c>
      <c r="K117" s="5">
        <v>6080.77</v>
      </c>
      <c r="L117" s="5">
        <v>2670.12</v>
      </c>
      <c r="M117">
        <v>13</v>
      </c>
      <c r="N117">
        <v>3</v>
      </c>
      <c r="O117">
        <v>1</v>
      </c>
      <c r="P117">
        <v>1</v>
      </c>
      <c r="Q117">
        <v>11</v>
      </c>
      <c r="R117">
        <v>1</v>
      </c>
      <c r="S117">
        <v>1</v>
      </c>
      <c r="T117">
        <v>1</v>
      </c>
      <c r="U117">
        <v>1</v>
      </c>
      <c r="V117">
        <v>1</v>
      </c>
      <c r="W117" t="s">
        <v>52</v>
      </c>
      <c r="X117">
        <v>2</v>
      </c>
      <c r="Y117">
        <v>0</v>
      </c>
      <c r="Z117">
        <f t="shared" si="6"/>
        <v>44</v>
      </c>
      <c r="AA117">
        <f t="shared" si="7"/>
        <v>0.35294117647058826</v>
      </c>
      <c r="AB117">
        <f t="shared" si="8"/>
        <v>36</v>
      </c>
      <c r="AC117" t="str">
        <f t="shared" si="9"/>
        <v>Low</v>
      </c>
      <c r="AD117" t="str">
        <f t="shared" si="10"/>
        <v>Upsell premium bundle</v>
      </c>
      <c r="AE117">
        <f t="shared" si="11"/>
        <v>56</v>
      </c>
    </row>
    <row r="118" spans="1:31" x14ac:dyDescent="0.35">
      <c r="A118" t="s">
        <v>176</v>
      </c>
      <c r="B118" s="4">
        <v>45535</v>
      </c>
      <c r="C118" s="4">
        <v>46143</v>
      </c>
      <c r="D118" t="s">
        <v>60</v>
      </c>
      <c r="E118">
        <v>66</v>
      </c>
      <c r="F118" t="s">
        <v>33</v>
      </c>
      <c r="G118" t="s">
        <v>63</v>
      </c>
      <c r="H118" t="s">
        <v>35</v>
      </c>
      <c r="I118" t="s">
        <v>36</v>
      </c>
      <c r="J118">
        <v>20</v>
      </c>
      <c r="K118" s="5">
        <v>511.56</v>
      </c>
      <c r="L118" s="5">
        <v>0</v>
      </c>
      <c r="M118">
        <v>23</v>
      </c>
      <c r="N118">
        <v>11</v>
      </c>
      <c r="O118">
        <v>1</v>
      </c>
      <c r="P118">
        <v>0</v>
      </c>
      <c r="Q118">
        <v>14</v>
      </c>
      <c r="R118">
        <v>1</v>
      </c>
      <c r="S118">
        <v>0</v>
      </c>
      <c r="T118">
        <v>1</v>
      </c>
      <c r="U118">
        <v>1</v>
      </c>
      <c r="V118">
        <v>1</v>
      </c>
      <c r="W118" t="s">
        <v>55</v>
      </c>
      <c r="X118">
        <v>56</v>
      </c>
      <c r="Y118">
        <v>0</v>
      </c>
      <c r="Z118">
        <f t="shared" si="6"/>
        <v>62</v>
      </c>
      <c r="AA118">
        <f t="shared" si="7"/>
        <v>0.74</v>
      </c>
      <c r="AB118">
        <f t="shared" si="8"/>
        <v>0</v>
      </c>
      <c r="AC118" t="str">
        <f t="shared" si="9"/>
        <v>Low</v>
      </c>
      <c r="AD118" t="str">
        <f t="shared" si="10"/>
        <v>Upsell premium bundle</v>
      </c>
      <c r="AE118">
        <f t="shared" si="11"/>
        <v>38</v>
      </c>
    </row>
    <row r="119" spans="1:31" x14ac:dyDescent="0.35">
      <c r="A119" t="s">
        <v>177</v>
      </c>
      <c r="B119" s="4">
        <v>45273</v>
      </c>
      <c r="C119" s="4">
        <v>46143</v>
      </c>
      <c r="D119" t="s">
        <v>47</v>
      </c>
      <c r="E119">
        <v>66</v>
      </c>
      <c r="F119" t="s">
        <v>61</v>
      </c>
      <c r="G119" t="s">
        <v>48</v>
      </c>
      <c r="H119" t="s">
        <v>41</v>
      </c>
      <c r="I119" t="s">
        <v>36</v>
      </c>
      <c r="J119">
        <v>29</v>
      </c>
      <c r="K119" s="5">
        <v>2948.21</v>
      </c>
      <c r="L119" s="5">
        <v>4984.91</v>
      </c>
      <c r="M119">
        <v>12</v>
      </c>
      <c r="N119">
        <v>5</v>
      </c>
      <c r="O119">
        <v>1</v>
      </c>
      <c r="P119">
        <v>1</v>
      </c>
      <c r="Q119">
        <v>22</v>
      </c>
      <c r="R119">
        <v>4</v>
      </c>
      <c r="S119">
        <v>1</v>
      </c>
      <c r="T119">
        <v>1</v>
      </c>
      <c r="U119">
        <v>0</v>
      </c>
      <c r="V119">
        <v>0</v>
      </c>
      <c r="W119" t="s">
        <v>45</v>
      </c>
      <c r="X119">
        <v>-13</v>
      </c>
      <c r="Y119">
        <v>1</v>
      </c>
      <c r="Z119">
        <f t="shared" si="6"/>
        <v>39</v>
      </c>
      <c r="AA119">
        <f t="shared" si="7"/>
        <v>0.57627118644067798</v>
      </c>
      <c r="AB119">
        <f t="shared" si="8"/>
        <v>41</v>
      </c>
      <c r="AC119" t="str">
        <f t="shared" si="9"/>
        <v>Medium</v>
      </c>
      <c r="AD119" t="str">
        <f t="shared" si="10"/>
        <v>Nudge core feature adoption</v>
      </c>
      <c r="AE119">
        <f t="shared" si="11"/>
        <v>61</v>
      </c>
    </row>
    <row r="120" spans="1:31" x14ac:dyDescent="0.35">
      <c r="A120" t="s">
        <v>178</v>
      </c>
      <c r="B120" s="4">
        <v>45244</v>
      </c>
      <c r="C120" s="4">
        <v>46143</v>
      </c>
      <c r="D120" t="s">
        <v>39</v>
      </c>
      <c r="E120">
        <v>57</v>
      </c>
      <c r="F120" t="s">
        <v>33</v>
      </c>
      <c r="G120" t="s">
        <v>85</v>
      </c>
      <c r="H120" t="s">
        <v>58</v>
      </c>
      <c r="I120" t="s">
        <v>36</v>
      </c>
      <c r="J120">
        <v>29</v>
      </c>
      <c r="K120" s="5">
        <v>152.43</v>
      </c>
      <c r="L120" s="5">
        <v>216.75</v>
      </c>
      <c r="M120">
        <v>33</v>
      </c>
      <c r="N120">
        <v>18</v>
      </c>
      <c r="O120">
        <v>8</v>
      </c>
      <c r="P120">
        <v>6</v>
      </c>
      <c r="Q120">
        <v>35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45</v>
      </c>
      <c r="X120">
        <v>57</v>
      </c>
      <c r="Y120">
        <v>0</v>
      </c>
      <c r="Z120">
        <f t="shared" si="6"/>
        <v>98</v>
      </c>
      <c r="AA120">
        <f t="shared" si="7"/>
        <v>1.152542372881356</v>
      </c>
      <c r="AB120">
        <f t="shared" si="8"/>
        <v>0</v>
      </c>
      <c r="AC120" t="str">
        <f t="shared" si="9"/>
        <v>Low</v>
      </c>
      <c r="AD120" t="str">
        <f t="shared" si="10"/>
        <v>Upsell premium bundle</v>
      </c>
      <c r="AE120">
        <f t="shared" si="11"/>
        <v>2</v>
      </c>
    </row>
    <row r="121" spans="1:31" x14ac:dyDescent="0.35">
      <c r="A121" t="s">
        <v>179</v>
      </c>
      <c r="B121" s="4">
        <v>45604</v>
      </c>
      <c r="C121" s="4">
        <v>46143</v>
      </c>
      <c r="D121" t="s">
        <v>60</v>
      </c>
      <c r="E121">
        <v>37</v>
      </c>
      <c r="F121" t="s">
        <v>33</v>
      </c>
      <c r="G121" t="s">
        <v>85</v>
      </c>
      <c r="H121" t="s">
        <v>35</v>
      </c>
      <c r="I121" t="s">
        <v>36</v>
      </c>
      <c r="J121">
        <v>17</v>
      </c>
      <c r="K121" s="5">
        <v>261.04000000000002</v>
      </c>
      <c r="L121" s="5">
        <v>50.62</v>
      </c>
      <c r="M121">
        <v>9</v>
      </c>
      <c r="N121">
        <v>4</v>
      </c>
      <c r="O121">
        <v>1</v>
      </c>
      <c r="P121">
        <v>1</v>
      </c>
      <c r="Q121">
        <v>11</v>
      </c>
      <c r="R121">
        <v>0</v>
      </c>
      <c r="S121">
        <v>0</v>
      </c>
      <c r="T121">
        <v>1</v>
      </c>
      <c r="U121">
        <v>1</v>
      </c>
      <c r="V121">
        <v>0</v>
      </c>
      <c r="W121" t="s">
        <v>55</v>
      </c>
      <c r="X121">
        <v>51</v>
      </c>
      <c r="Y121">
        <v>0</v>
      </c>
      <c r="Z121">
        <f t="shared" si="6"/>
        <v>33</v>
      </c>
      <c r="AA121">
        <f t="shared" si="7"/>
        <v>0.42553191489361702</v>
      </c>
      <c r="AB121">
        <f t="shared" si="8"/>
        <v>9</v>
      </c>
      <c r="AC121" t="str">
        <f t="shared" si="9"/>
        <v>Low</v>
      </c>
      <c r="AD121" t="str">
        <f t="shared" si="10"/>
        <v>Upsell premium bundle</v>
      </c>
      <c r="AE121">
        <f t="shared" si="11"/>
        <v>67</v>
      </c>
    </row>
    <row r="122" spans="1:31" x14ac:dyDescent="0.35">
      <c r="A122" t="s">
        <v>180</v>
      </c>
      <c r="B122" s="4">
        <v>45407</v>
      </c>
      <c r="C122" s="4">
        <v>46143</v>
      </c>
      <c r="D122" t="s">
        <v>60</v>
      </c>
      <c r="E122">
        <v>66</v>
      </c>
      <c r="F122" t="s">
        <v>43</v>
      </c>
      <c r="G122" t="s">
        <v>67</v>
      </c>
      <c r="H122" t="s">
        <v>58</v>
      </c>
      <c r="I122" t="s">
        <v>36</v>
      </c>
      <c r="J122">
        <v>24</v>
      </c>
      <c r="K122" s="5">
        <v>41.36</v>
      </c>
      <c r="L122" s="5">
        <v>63.69</v>
      </c>
      <c r="M122">
        <v>30</v>
      </c>
      <c r="N122">
        <v>12</v>
      </c>
      <c r="O122">
        <v>6</v>
      </c>
      <c r="P122">
        <v>5</v>
      </c>
      <c r="Q122">
        <v>30</v>
      </c>
      <c r="R122">
        <v>1</v>
      </c>
      <c r="S122">
        <v>1</v>
      </c>
      <c r="T122">
        <v>0</v>
      </c>
      <c r="U122">
        <v>0</v>
      </c>
      <c r="V122">
        <v>0</v>
      </c>
      <c r="W122" t="s">
        <v>52</v>
      </c>
      <c r="X122">
        <v>47</v>
      </c>
      <c r="Y122">
        <v>0</v>
      </c>
      <c r="Z122">
        <f t="shared" si="6"/>
        <v>83</v>
      </c>
      <c r="AA122">
        <f t="shared" si="7"/>
        <v>1.1111111111111112</v>
      </c>
      <c r="AB122">
        <f t="shared" si="8"/>
        <v>0</v>
      </c>
      <c r="AC122" t="str">
        <f t="shared" si="9"/>
        <v>Low</v>
      </c>
      <c r="AD122" t="str">
        <f t="shared" si="10"/>
        <v>Upsell premium bundle</v>
      </c>
      <c r="AE122">
        <f t="shared" si="11"/>
        <v>17</v>
      </c>
    </row>
    <row r="123" spans="1:31" x14ac:dyDescent="0.35">
      <c r="A123" t="s">
        <v>181</v>
      </c>
      <c r="B123" s="4">
        <v>45124</v>
      </c>
      <c r="C123" s="4">
        <v>46143</v>
      </c>
      <c r="D123" t="s">
        <v>66</v>
      </c>
      <c r="E123">
        <v>61</v>
      </c>
      <c r="F123" t="s">
        <v>57</v>
      </c>
      <c r="G123" t="s">
        <v>48</v>
      </c>
      <c r="H123" t="s">
        <v>58</v>
      </c>
      <c r="I123" t="s">
        <v>36</v>
      </c>
      <c r="J123">
        <v>33</v>
      </c>
      <c r="K123" s="5">
        <v>1390.88</v>
      </c>
      <c r="L123" s="5">
        <v>999.15</v>
      </c>
      <c r="M123">
        <v>24</v>
      </c>
      <c r="N123">
        <v>12</v>
      </c>
      <c r="O123">
        <v>1</v>
      </c>
      <c r="P123">
        <v>2</v>
      </c>
      <c r="Q123">
        <v>23</v>
      </c>
      <c r="R123">
        <v>1</v>
      </c>
      <c r="S123">
        <v>0</v>
      </c>
      <c r="T123">
        <v>0</v>
      </c>
      <c r="U123">
        <v>0</v>
      </c>
      <c r="V123">
        <v>1</v>
      </c>
      <c r="W123" t="s">
        <v>52</v>
      </c>
      <c r="X123">
        <v>8</v>
      </c>
      <c r="Y123">
        <v>0</v>
      </c>
      <c r="Z123">
        <f t="shared" si="6"/>
        <v>67</v>
      </c>
      <c r="AA123">
        <f t="shared" si="7"/>
        <v>0.74603174603174605</v>
      </c>
      <c r="AB123">
        <f t="shared" si="8"/>
        <v>16</v>
      </c>
      <c r="AC123" t="str">
        <f t="shared" si="9"/>
        <v>Low</v>
      </c>
      <c r="AD123" t="str">
        <f t="shared" si="10"/>
        <v>Upsell premium bundle</v>
      </c>
      <c r="AE123">
        <f t="shared" si="11"/>
        <v>33</v>
      </c>
    </row>
    <row r="124" spans="1:31" x14ac:dyDescent="0.35">
      <c r="A124" t="s">
        <v>182</v>
      </c>
      <c r="B124" s="4">
        <v>44770</v>
      </c>
      <c r="C124" s="4">
        <v>46143</v>
      </c>
      <c r="D124" t="s">
        <v>32</v>
      </c>
      <c r="E124">
        <v>69</v>
      </c>
      <c r="F124" t="s">
        <v>57</v>
      </c>
      <c r="G124" t="s">
        <v>63</v>
      </c>
      <c r="H124" t="s">
        <v>44</v>
      </c>
      <c r="I124" t="s">
        <v>49</v>
      </c>
      <c r="J124">
        <v>45</v>
      </c>
      <c r="K124" s="5">
        <v>1048.3800000000001</v>
      </c>
      <c r="L124" s="5">
        <v>1198.83</v>
      </c>
      <c r="M124">
        <v>68</v>
      </c>
      <c r="N124">
        <v>28</v>
      </c>
      <c r="O124">
        <v>3</v>
      </c>
      <c r="P124">
        <v>3</v>
      </c>
      <c r="Q124">
        <v>42</v>
      </c>
      <c r="R124">
        <v>1</v>
      </c>
      <c r="S124">
        <v>1</v>
      </c>
      <c r="T124">
        <v>0</v>
      </c>
      <c r="U124">
        <v>0</v>
      </c>
      <c r="V124">
        <v>1</v>
      </c>
      <c r="W124" t="s">
        <v>55</v>
      </c>
      <c r="X124">
        <v>56</v>
      </c>
      <c r="Y124">
        <v>0</v>
      </c>
      <c r="Z124">
        <f t="shared" si="6"/>
        <v>100</v>
      </c>
      <c r="AA124">
        <f t="shared" si="7"/>
        <v>1.4666666666666666</v>
      </c>
      <c r="AB124">
        <f t="shared" si="8"/>
        <v>3</v>
      </c>
      <c r="AC124" t="str">
        <f t="shared" si="9"/>
        <v>Low</v>
      </c>
      <c r="AD124" t="str">
        <f t="shared" si="10"/>
        <v>Upsell premium bundle</v>
      </c>
      <c r="AE124">
        <f t="shared" si="11"/>
        <v>0</v>
      </c>
    </row>
    <row r="125" spans="1:31" x14ac:dyDescent="0.35">
      <c r="A125" t="s">
        <v>183</v>
      </c>
      <c r="B125" s="4">
        <v>45952</v>
      </c>
      <c r="C125" s="4">
        <v>46143</v>
      </c>
      <c r="D125" t="s">
        <v>47</v>
      </c>
      <c r="E125">
        <v>50</v>
      </c>
      <c r="F125" t="s">
        <v>33</v>
      </c>
      <c r="G125" t="s">
        <v>63</v>
      </c>
      <c r="H125" t="s">
        <v>41</v>
      </c>
      <c r="I125" t="s">
        <v>36</v>
      </c>
      <c r="J125">
        <v>6</v>
      </c>
      <c r="K125" s="5">
        <v>393.96</v>
      </c>
      <c r="L125" s="5">
        <v>266.23</v>
      </c>
      <c r="M125">
        <v>17</v>
      </c>
      <c r="N125">
        <v>10</v>
      </c>
      <c r="O125">
        <v>2</v>
      </c>
      <c r="P125">
        <v>0</v>
      </c>
      <c r="Q125">
        <v>5</v>
      </c>
      <c r="R125">
        <v>0</v>
      </c>
      <c r="S125">
        <v>1</v>
      </c>
      <c r="T125">
        <v>1</v>
      </c>
      <c r="U125">
        <v>1</v>
      </c>
      <c r="V125">
        <v>1</v>
      </c>
      <c r="W125" t="s">
        <v>50</v>
      </c>
      <c r="X125">
        <v>6</v>
      </c>
      <c r="Y125">
        <v>1</v>
      </c>
      <c r="Z125">
        <f t="shared" si="6"/>
        <v>48</v>
      </c>
      <c r="AA125">
        <f t="shared" si="7"/>
        <v>0.61111111111111116</v>
      </c>
      <c r="AB125">
        <f t="shared" si="8"/>
        <v>44</v>
      </c>
      <c r="AC125" t="str">
        <f t="shared" si="9"/>
        <v>Medium</v>
      </c>
      <c r="AD125" t="str">
        <f t="shared" si="10"/>
        <v>Nudge core feature adoption</v>
      </c>
      <c r="AE125">
        <f t="shared" si="11"/>
        <v>52</v>
      </c>
    </row>
    <row r="126" spans="1:31" x14ac:dyDescent="0.35">
      <c r="A126" t="s">
        <v>184</v>
      </c>
      <c r="B126" s="4">
        <v>45710</v>
      </c>
      <c r="C126" s="4">
        <v>46143</v>
      </c>
      <c r="D126" t="s">
        <v>32</v>
      </c>
      <c r="E126">
        <v>57</v>
      </c>
      <c r="F126" t="s">
        <v>43</v>
      </c>
      <c r="G126" t="s">
        <v>34</v>
      </c>
      <c r="H126" t="s">
        <v>41</v>
      </c>
      <c r="I126" t="s">
        <v>36</v>
      </c>
      <c r="J126">
        <v>14</v>
      </c>
      <c r="K126" s="5">
        <v>60.52</v>
      </c>
      <c r="L126" s="5">
        <v>7.64</v>
      </c>
      <c r="M126">
        <v>1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1</v>
      </c>
      <c r="U126">
        <v>0</v>
      </c>
      <c r="V126">
        <v>1</v>
      </c>
      <c r="W126" t="s">
        <v>55</v>
      </c>
      <c r="X126">
        <v>36</v>
      </c>
      <c r="Y126">
        <v>1</v>
      </c>
      <c r="Z126">
        <f t="shared" si="6"/>
        <v>11</v>
      </c>
      <c r="AA126">
        <f t="shared" si="7"/>
        <v>9.0909090909090912E-2</v>
      </c>
      <c r="AB126">
        <f t="shared" si="8"/>
        <v>36</v>
      </c>
      <c r="AC126" t="str">
        <f t="shared" si="9"/>
        <v>Low</v>
      </c>
      <c r="AD126" t="str">
        <f t="shared" si="10"/>
        <v>Upsell premium bundle</v>
      </c>
      <c r="AE126">
        <f t="shared" si="11"/>
        <v>89</v>
      </c>
    </row>
    <row r="127" spans="1:31" x14ac:dyDescent="0.35">
      <c r="A127" t="s">
        <v>185</v>
      </c>
      <c r="B127" s="4">
        <v>46001</v>
      </c>
      <c r="C127" s="4">
        <v>46143</v>
      </c>
      <c r="D127" t="s">
        <v>60</v>
      </c>
      <c r="E127">
        <v>72</v>
      </c>
      <c r="F127" t="s">
        <v>33</v>
      </c>
      <c r="G127" t="s">
        <v>48</v>
      </c>
      <c r="H127" t="s">
        <v>58</v>
      </c>
      <c r="I127" t="s">
        <v>54</v>
      </c>
      <c r="J127">
        <v>4</v>
      </c>
      <c r="K127" s="5">
        <v>427.35</v>
      </c>
      <c r="L127" s="5">
        <v>0</v>
      </c>
      <c r="M127">
        <v>42</v>
      </c>
      <c r="N127">
        <v>20</v>
      </c>
      <c r="O127">
        <v>6</v>
      </c>
      <c r="P127">
        <v>8</v>
      </c>
      <c r="Q127">
        <v>22</v>
      </c>
      <c r="R127">
        <v>3</v>
      </c>
      <c r="S127">
        <v>3</v>
      </c>
      <c r="T127">
        <v>0</v>
      </c>
      <c r="U127">
        <v>0</v>
      </c>
      <c r="V127">
        <v>1</v>
      </c>
      <c r="W127" t="s">
        <v>55</v>
      </c>
      <c r="X127">
        <v>-16</v>
      </c>
      <c r="Y127">
        <v>1</v>
      </c>
      <c r="Z127">
        <f t="shared" si="6"/>
        <v>100</v>
      </c>
      <c r="AA127">
        <f t="shared" si="7"/>
        <v>1.8823529411764706</v>
      </c>
      <c r="AB127">
        <f t="shared" si="8"/>
        <v>52</v>
      </c>
      <c r="AC127" t="str">
        <f t="shared" si="9"/>
        <v>Medium</v>
      </c>
      <c r="AD127" t="str">
        <f t="shared" si="10"/>
        <v>Nudge core feature adoption</v>
      </c>
      <c r="AE127">
        <f t="shared" si="11"/>
        <v>0</v>
      </c>
    </row>
    <row r="128" spans="1:31" x14ac:dyDescent="0.35">
      <c r="A128" t="s">
        <v>186</v>
      </c>
      <c r="B128" s="4">
        <v>45985</v>
      </c>
      <c r="C128" s="4">
        <v>46143</v>
      </c>
      <c r="D128" t="s">
        <v>39</v>
      </c>
      <c r="E128">
        <v>38</v>
      </c>
      <c r="F128" t="s">
        <v>33</v>
      </c>
      <c r="G128" t="s">
        <v>40</v>
      </c>
      <c r="H128" t="s">
        <v>41</v>
      </c>
      <c r="I128" t="s">
        <v>36</v>
      </c>
      <c r="J128">
        <v>5</v>
      </c>
      <c r="K128" s="5">
        <v>388.29</v>
      </c>
      <c r="L128" s="5">
        <v>78.58</v>
      </c>
      <c r="M128">
        <v>31</v>
      </c>
      <c r="N128">
        <v>20</v>
      </c>
      <c r="O128">
        <v>1</v>
      </c>
      <c r="P128">
        <v>6</v>
      </c>
      <c r="Q128">
        <v>17</v>
      </c>
      <c r="R128">
        <v>1</v>
      </c>
      <c r="S128">
        <v>0</v>
      </c>
      <c r="T128">
        <v>0</v>
      </c>
      <c r="U128">
        <v>1</v>
      </c>
      <c r="V128">
        <v>1</v>
      </c>
      <c r="W128" t="s">
        <v>52</v>
      </c>
      <c r="X128">
        <v>39</v>
      </c>
      <c r="Y128">
        <v>0</v>
      </c>
      <c r="Z128">
        <f t="shared" si="6"/>
        <v>88</v>
      </c>
      <c r="AA128">
        <f t="shared" si="7"/>
        <v>1.3714285714285714</v>
      </c>
      <c r="AB128">
        <f t="shared" si="8"/>
        <v>2</v>
      </c>
      <c r="AC128" t="str">
        <f t="shared" si="9"/>
        <v>Low</v>
      </c>
      <c r="AD128" t="str">
        <f t="shared" si="10"/>
        <v>Upsell premium bundle</v>
      </c>
      <c r="AE128">
        <f t="shared" si="11"/>
        <v>12</v>
      </c>
    </row>
    <row r="129" spans="1:31" x14ac:dyDescent="0.35">
      <c r="A129" t="s">
        <v>187</v>
      </c>
      <c r="B129" s="4">
        <v>44827</v>
      </c>
      <c r="C129" s="4">
        <v>46143</v>
      </c>
      <c r="D129" t="s">
        <v>32</v>
      </c>
      <c r="E129">
        <v>30</v>
      </c>
      <c r="F129" t="s">
        <v>57</v>
      </c>
      <c r="G129" t="s">
        <v>34</v>
      </c>
      <c r="H129" t="s">
        <v>41</v>
      </c>
      <c r="I129" t="s">
        <v>36</v>
      </c>
      <c r="J129">
        <v>43</v>
      </c>
      <c r="K129" s="5">
        <v>865.71</v>
      </c>
      <c r="L129" s="5">
        <v>1790.77</v>
      </c>
      <c r="M129">
        <v>50</v>
      </c>
      <c r="N129">
        <v>32</v>
      </c>
      <c r="O129">
        <v>3</v>
      </c>
      <c r="P129">
        <v>4</v>
      </c>
      <c r="Q129">
        <v>36</v>
      </c>
      <c r="R129">
        <v>1</v>
      </c>
      <c r="S129">
        <v>0</v>
      </c>
      <c r="T129">
        <v>0</v>
      </c>
      <c r="U129">
        <v>0</v>
      </c>
      <c r="V129">
        <v>0</v>
      </c>
      <c r="W129" t="s">
        <v>52</v>
      </c>
      <c r="X129">
        <v>45</v>
      </c>
      <c r="Y129">
        <v>0</v>
      </c>
      <c r="Z129">
        <f t="shared" si="6"/>
        <v>100</v>
      </c>
      <c r="AA129">
        <f t="shared" si="7"/>
        <v>1.178082191780822</v>
      </c>
      <c r="AB129">
        <f t="shared" si="8"/>
        <v>0</v>
      </c>
      <c r="AC129" t="str">
        <f t="shared" si="9"/>
        <v>Low</v>
      </c>
      <c r="AD129" t="str">
        <f t="shared" si="10"/>
        <v>Upsell premium bundle</v>
      </c>
      <c r="AE129">
        <f t="shared" si="11"/>
        <v>0</v>
      </c>
    </row>
    <row r="130" spans="1:31" x14ac:dyDescent="0.35">
      <c r="A130" t="s">
        <v>188</v>
      </c>
      <c r="B130" s="4">
        <v>45919</v>
      </c>
      <c r="C130" s="4">
        <v>46143</v>
      </c>
      <c r="D130" t="s">
        <v>66</v>
      </c>
      <c r="E130">
        <v>26</v>
      </c>
      <c r="F130" t="s">
        <v>43</v>
      </c>
      <c r="G130" t="s">
        <v>67</v>
      </c>
      <c r="H130" t="s">
        <v>58</v>
      </c>
      <c r="I130" t="s">
        <v>36</v>
      </c>
      <c r="J130">
        <v>7</v>
      </c>
      <c r="K130" s="5">
        <v>20.91</v>
      </c>
      <c r="L130" s="5">
        <v>0</v>
      </c>
      <c r="M130">
        <v>34</v>
      </c>
      <c r="N130">
        <v>21</v>
      </c>
      <c r="O130">
        <v>4</v>
      </c>
      <c r="P130">
        <v>4</v>
      </c>
      <c r="Q130">
        <v>25</v>
      </c>
      <c r="R130">
        <v>0</v>
      </c>
      <c r="S130">
        <v>0</v>
      </c>
      <c r="T130">
        <v>0</v>
      </c>
      <c r="U130">
        <v>0</v>
      </c>
      <c r="V130">
        <v>1</v>
      </c>
      <c r="W130" t="s">
        <v>50</v>
      </c>
      <c r="X130">
        <v>52</v>
      </c>
      <c r="Y130">
        <v>0</v>
      </c>
      <c r="Z130">
        <f t="shared" ref="Z130:Z193" si="12">MIN(100,ROUND((M130*1.1+N130*0.7+O130*1.2+P130*1.4+Q130*0.9+U130*8+V130*7),0))</f>
        <v>92</v>
      </c>
      <c r="AA130">
        <f t="shared" ref="AA130:AA193" si="13">IFERROR((M130+Q130)/(30+J130),0)</f>
        <v>1.5945945945945945</v>
      </c>
      <c r="AB130">
        <f t="shared" ref="AB130:AB193" si="14">ROUND(MIN(100,MAX(0,60-Z130*0.4-R130*1.5+S130*8-IF(L130&gt;1500,10,0)-X130*0.5+IF(I130="Completed",-8,8)+IF(H130="Free",6,-4))),0)</f>
        <v>0</v>
      </c>
      <c r="AC130" t="str">
        <f t="shared" ref="AC130:AC193" si="15">IF(AB130&gt;=70,"High",IF(AB130&gt;=40,"Medium","Low"))</f>
        <v>Low</v>
      </c>
      <c r="AD130" t="str">
        <f t="shared" ref="AD130:AD193" si="16">IF(AC130="High",IF(Q130&lt;5,"Re-engage with app usage offer",IF(K130&lt;100,"Deposit incentive","Retention call")),IF(AC130="Medium","Nudge core feature adoption","Upsell premium bundle"))</f>
        <v>Upsell premium bundle</v>
      </c>
      <c r="AE130">
        <f t="shared" ref="AE130:AE193" si="17">100-Z130</f>
        <v>8</v>
      </c>
    </row>
    <row r="131" spans="1:31" x14ac:dyDescent="0.35">
      <c r="A131" t="s">
        <v>189</v>
      </c>
      <c r="B131" s="4">
        <v>45901</v>
      </c>
      <c r="C131" s="4">
        <v>46143</v>
      </c>
      <c r="D131" t="s">
        <v>72</v>
      </c>
      <c r="E131">
        <v>63</v>
      </c>
      <c r="F131" t="s">
        <v>43</v>
      </c>
      <c r="G131" t="s">
        <v>40</v>
      </c>
      <c r="H131" t="s">
        <v>41</v>
      </c>
      <c r="I131" t="s">
        <v>36</v>
      </c>
      <c r="J131">
        <v>8</v>
      </c>
      <c r="K131" s="5">
        <v>0</v>
      </c>
      <c r="L131" s="5">
        <v>51.51</v>
      </c>
      <c r="M131">
        <v>15</v>
      </c>
      <c r="N131">
        <v>4</v>
      </c>
      <c r="O131">
        <v>1</v>
      </c>
      <c r="P131">
        <v>0</v>
      </c>
      <c r="Q131">
        <v>8</v>
      </c>
      <c r="R131">
        <v>2</v>
      </c>
      <c r="S131">
        <v>1</v>
      </c>
      <c r="T131">
        <v>0</v>
      </c>
      <c r="U131">
        <v>1</v>
      </c>
      <c r="V131">
        <v>1</v>
      </c>
      <c r="W131" t="s">
        <v>37</v>
      </c>
      <c r="X131">
        <v>75</v>
      </c>
      <c r="Y131">
        <v>0</v>
      </c>
      <c r="Z131">
        <f t="shared" si="12"/>
        <v>43</v>
      </c>
      <c r="AA131">
        <f t="shared" si="13"/>
        <v>0.60526315789473684</v>
      </c>
      <c r="AB131">
        <f t="shared" si="14"/>
        <v>8</v>
      </c>
      <c r="AC131" t="str">
        <f t="shared" si="15"/>
        <v>Low</v>
      </c>
      <c r="AD131" t="str">
        <f t="shared" si="16"/>
        <v>Upsell premium bundle</v>
      </c>
      <c r="AE131">
        <f t="shared" si="17"/>
        <v>57</v>
      </c>
    </row>
    <row r="132" spans="1:31" x14ac:dyDescent="0.35">
      <c r="A132" t="s">
        <v>190</v>
      </c>
      <c r="B132" s="4">
        <v>44970</v>
      </c>
      <c r="C132" s="4">
        <v>46143</v>
      </c>
      <c r="D132" t="s">
        <v>60</v>
      </c>
      <c r="E132">
        <v>20</v>
      </c>
      <c r="F132" t="s">
        <v>57</v>
      </c>
      <c r="G132" t="s">
        <v>85</v>
      </c>
      <c r="H132" t="s">
        <v>58</v>
      </c>
      <c r="I132" t="s">
        <v>49</v>
      </c>
      <c r="J132">
        <v>39</v>
      </c>
      <c r="K132" s="5">
        <v>1864.36</v>
      </c>
      <c r="L132" s="5">
        <v>1238.31</v>
      </c>
      <c r="M132">
        <v>23</v>
      </c>
      <c r="N132">
        <v>12</v>
      </c>
      <c r="O132">
        <v>3</v>
      </c>
      <c r="P132">
        <v>0</v>
      </c>
      <c r="Q132">
        <v>23</v>
      </c>
      <c r="R132">
        <v>3</v>
      </c>
      <c r="S132">
        <v>2</v>
      </c>
      <c r="T132">
        <v>0</v>
      </c>
      <c r="U132">
        <v>0</v>
      </c>
      <c r="V132">
        <v>0</v>
      </c>
      <c r="W132" t="s">
        <v>50</v>
      </c>
      <c r="X132">
        <v>-8</v>
      </c>
      <c r="Y132">
        <v>1</v>
      </c>
      <c r="Z132">
        <f t="shared" si="12"/>
        <v>58</v>
      </c>
      <c r="AA132">
        <f t="shared" si="13"/>
        <v>0.66666666666666663</v>
      </c>
      <c r="AB132">
        <f t="shared" si="14"/>
        <v>56</v>
      </c>
      <c r="AC132" t="str">
        <f t="shared" si="15"/>
        <v>Medium</v>
      </c>
      <c r="AD132" t="str">
        <f t="shared" si="16"/>
        <v>Nudge core feature adoption</v>
      </c>
      <c r="AE132">
        <f t="shared" si="17"/>
        <v>42</v>
      </c>
    </row>
    <row r="133" spans="1:31" x14ac:dyDescent="0.35">
      <c r="A133" t="s">
        <v>191</v>
      </c>
      <c r="B133" s="4">
        <v>45285</v>
      </c>
      <c r="C133" s="4">
        <v>46143</v>
      </c>
      <c r="D133" t="s">
        <v>39</v>
      </c>
      <c r="E133">
        <v>22</v>
      </c>
      <c r="F133" t="s">
        <v>33</v>
      </c>
      <c r="G133" t="s">
        <v>67</v>
      </c>
      <c r="H133" t="s">
        <v>41</v>
      </c>
      <c r="I133" t="s">
        <v>36</v>
      </c>
      <c r="J133">
        <v>28</v>
      </c>
      <c r="K133" s="5">
        <v>361.54</v>
      </c>
      <c r="L133" s="5">
        <v>295.32</v>
      </c>
      <c r="M133">
        <v>23</v>
      </c>
      <c r="N133">
        <v>14</v>
      </c>
      <c r="O133">
        <v>1</v>
      </c>
      <c r="P133">
        <v>4</v>
      </c>
      <c r="Q133">
        <v>15</v>
      </c>
      <c r="R133">
        <v>1</v>
      </c>
      <c r="S133">
        <v>0</v>
      </c>
      <c r="T133">
        <v>1</v>
      </c>
      <c r="U133">
        <v>0</v>
      </c>
      <c r="V133">
        <v>0</v>
      </c>
      <c r="W133" t="s">
        <v>50</v>
      </c>
      <c r="X133">
        <v>41</v>
      </c>
      <c r="Y133">
        <v>0</v>
      </c>
      <c r="Z133">
        <f t="shared" si="12"/>
        <v>55</v>
      </c>
      <c r="AA133">
        <f t="shared" si="13"/>
        <v>0.65517241379310343</v>
      </c>
      <c r="AB133">
        <f t="shared" si="14"/>
        <v>14</v>
      </c>
      <c r="AC133" t="str">
        <f t="shared" si="15"/>
        <v>Low</v>
      </c>
      <c r="AD133" t="str">
        <f t="shared" si="16"/>
        <v>Upsell premium bundle</v>
      </c>
      <c r="AE133">
        <f t="shared" si="17"/>
        <v>45</v>
      </c>
    </row>
    <row r="134" spans="1:31" x14ac:dyDescent="0.35">
      <c r="A134" t="s">
        <v>192</v>
      </c>
      <c r="B134" s="4">
        <v>45123</v>
      </c>
      <c r="C134" s="4">
        <v>46143</v>
      </c>
      <c r="D134" t="s">
        <v>47</v>
      </c>
      <c r="E134">
        <v>52</v>
      </c>
      <c r="F134" t="s">
        <v>43</v>
      </c>
      <c r="G134" t="s">
        <v>40</v>
      </c>
      <c r="H134" t="s">
        <v>58</v>
      </c>
      <c r="I134" t="s">
        <v>36</v>
      </c>
      <c r="J134">
        <v>34</v>
      </c>
      <c r="K134" s="5">
        <v>148.21</v>
      </c>
      <c r="L134" s="5">
        <v>60.97</v>
      </c>
      <c r="M134">
        <v>18</v>
      </c>
      <c r="N134">
        <v>13</v>
      </c>
      <c r="O134">
        <v>2</v>
      </c>
      <c r="P134">
        <v>2</v>
      </c>
      <c r="Q134">
        <v>24</v>
      </c>
      <c r="R134">
        <v>0</v>
      </c>
      <c r="S134">
        <v>0</v>
      </c>
      <c r="T134">
        <v>1</v>
      </c>
      <c r="U134">
        <v>0</v>
      </c>
      <c r="V134">
        <v>1</v>
      </c>
      <c r="W134" t="s">
        <v>52</v>
      </c>
      <c r="X134">
        <v>45</v>
      </c>
      <c r="Y134">
        <v>0</v>
      </c>
      <c r="Z134">
        <f t="shared" si="12"/>
        <v>63</v>
      </c>
      <c r="AA134">
        <f t="shared" si="13"/>
        <v>0.65625</v>
      </c>
      <c r="AB134">
        <f t="shared" si="14"/>
        <v>0</v>
      </c>
      <c r="AC134" t="str">
        <f t="shared" si="15"/>
        <v>Low</v>
      </c>
      <c r="AD134" t="str">
        <f t="shared" si="16"/>
        <v>Upsell premium bundle</v>
      </c>
      <c r="AE134">
        <f t="shared" si="17"/>
        <v>37</v>
      </c>
    </row>
    <row r="135" spans="1:31" x14ac:dyDescent="0.35">
      <c r="A135" t="s">
        <v>193</v>
      </c>
      <c r="B135" s="4">
        <v>44938</v>
      </c>
      <c r="C135" s="4">
        <v>46143</v>
      </c>
      <c r="D135" t="s">
        <v>47</v>
      </c>
      <c r="E135">
        <v>38</v>
      </c>
      <c r="F135" t="s">
        <v>57</v>
      </c>
      <c r="G135" t="s">
        <v>48</v>
      </c>
      <c r="H135" t="s">
        <v>41</v>
      </c>
      <c r="I135" t="s">
        <v>49</v>
      </c>
      <c r="J135">
        <v>40</v>
      </c>
      <c r="K135" s="5">
        <v>1103.6199999999999</v>
      </c>
      <c r="L135" s="5">
        <v>1258.76</v>
      </c>
      <c r="M135">
        <v>10</v>
      </c>
      <c r="N135">
        <v>2</v>
      </c>
      <c r="O135">
        <v>1</v>
      </c>
      <c r="P135">
        <v>0</v>
      </c>
      <c r="Q135">
        <v>4</v>
      </c>
      <c r="R135">
        <v>3</v>
      </c>
      <c r="S135">
        <v>2</v>
      </c>
      <c r="T135">
        <v>0</v>
      </c>
      <c r="U135">
        <v>1</v>
      </c>
      <c r="V135">
        <v>1</v>
      </c>
      <c r="W135" t="s">
        <v>45</v>
      </c>
      <c r="X135">
        <v>-23</v>
      </c>
      <c r="Y135">
        <v>1</v>
      </c>
      <c r="Z135">
        <f t="shared" si="12"/>
        <v>32</v>
      </c>
      <c r="AA135">
        <f t="shared" si="13"/>
        <v>0.2</v>
      </c>
      <c r="AB135">
        <f t="shared" si="14"/>
        <v>84</v>
      </c>
      <c r="AC135" t="str">
        <f t="shared" si="15"/>
        <v>High</v>
      </c>
      <c r="AD135" t="str">
        <f t="shared" si="16"/>
        <v>Re-engage with app usage offer</v>
      </c>
      <c r="AE135">
        <f t="shared" si="17"/>
        <v>68</v>
      </c>
    </row>
    <row r="136" spans="1:31" x14ac:dyDescent="0.35">
      <c r="A136" t="s">
        <v>194</v>
      </c>
      <c r="B136" s="4">
        <v>46038</v>
      </c>
      <c r="C136" s="4">
        <v>46143</v>
      </c>
      <c r="D136" t="s">
        <v>32</v>
      </c>
      <c r="E136">
        <v>21</v>
      </c>
      <c r="F136" t="s">
        <v>33</v>
      </c>
      <c r="G136" t="s">
        <v>85</v>
      </c>
      <c r="H136" t="s">
        <v>41</v>
      </c>
      <c r="I136" t="s">
        <v>36</v>
      </c>
      <c r="J136">
        <v>3</v>
      </c>
      <c r="K136" s="5">
        <v>656.13</v>
      </c>
      <c r="L136" s="5">
        <v>548.38</v>
      </c>
      <c r="M136">
        <v>28</v>
      </c>
      <c r="N136">
        <v>12</v>
      </c>
      <c r="O136">
        <v>2</v>
      </c>
      <c r="P136">
        <v>0</v>
      </c>
      <c r="Q136">
        <v>8</v>
      </c>
      <c r="R136">
        <v>0</v>
      </c>
      <c r="S136">
        <v>0</v>
      </c>
      <c r="T136">
        <v>1</v>
      </c>
      <c r="U136">
        <v>1</v>
      </c>
      <c r="V136">
        <v>1</v>
      </c>
      <c r="W136" t="s">
        <v>45</v>
      </c>
      <c r="X136">
        <v>-24</v>
      </c>
      <c r="Y136">
        <v>0</v>
      </c>
      <c r="Z136">
        <f t="shared" si="12"/>
        <v>64</v>
      </c>
      <c r="AA136">
        <f t="shared" si="13"/>
        <v>1.0909090909090908</v>
      </c>
      <c r="AB136">
        <f t="shared" si="14"/>
        <v>44</v>
      </c>
      <c r="AC136" t="str">
        <f t="shared" si="15"/>
        <v>Medium</v>
      </c>
      <c r="AD136" t="str">
        <f t="shared" si="16"/>
        <v>Nudge core feature adoption</v>
      </c>
      <c r="AE136">
        <f t="shared" si="17"/>
        <v>36</v>
      </c>
    </row>
    <row r="137" spans="1:31" x14ac:dyDescent="0.35">
      <c r="A137" t="s">
        <v>195</v>
      </c>
      <c r="B137" s="4">
        <v>46083</v>
      </c>
      <c r="C137" s="4">
        <v>46143</v>
      </c>
      <c r="D137" t="s">
        <v>47</v>
      </c>
      <c r="E137">
        <v>25</v>
      </c>
      <c r="F137" t="s">
        <v>57</v>
      </c>
      <c r="G137" t="s">
        <v>63</v>
      </c>
      <c r="H137" t="s">
        <v>41</v>
      </c>
      <c r="I137" t="s">
        <v>49</v>
      </c>
      <c r="J137">
        <v>2</v>
      </c>
      <c r="K137" s="5">
        <v>2472.6</v>
      </c>
      <c r="L137" s="5">
        <v>1982.92</v>
      </c>
      <c r="M137">
        <v>25</v>
      </c>
      <c r="N137">
        <v>15</v>
      </c>
      <c r="O137">
        <v>5</v>
      </c>
      <c r="P137">
        <v>1</v>
      </c>
      <c r="Q137">
        <v>19</v>
      </c>
      <c r="R137">
        <v>0</v>
      </c>
      <c r="S137">
        <v>0</v>
      </c>
      <c r="T137">
        <v>0</v>
      </c>
      <c r="U137">
        <v>1</v>
      </c>
      <c r="V137">
        <v>1</v>
      </c>
      <c r="W137" t="s">
        <v>55</v>
      </c>
      <c r="X137">
        <v>72</v>
      </c>
      <c r="Y137">
        <v>0</v>
      </c>
      <c r="Z137">
        <f t="shared" si="12"/>
        <v>78</v>
      </c>
      <c r="AA137">
        <f t="shared" si="13"/>
        <v>1.375</v>
      </c>
      <c r="AB137">
        <f t="shared" si="14"/>
        <v>0</v>
      </c>
      <c r="AC137" t="str">
        <f t="shared" si="15"/>
        <v>Low</v>
      </c>
      <c r="AD137" t="str">
        <f t="shared" si="16"/>
        <v>Upsell premium bundle</v>
      </c>
      <c r="AE137">
        <f t="shared" si="17"/>
        <v>22</v>
      </c>
    </row>
    <row r="138" spans="1:31" x14ac:dyDescent="0.35">
      <c r="A138" t="s">
        <v>196</v>
      </c>
      <c r="B138" s="4">
        <v>45854</v>
      </c>
      <c r="C138" s="4">
        <v>46143</v>
      </c>
      <c r="D138" t="s">
        <v>32</v>
      </c>
      <c r="E138">
        <v>58</v>
      </c>
      <c r="F138" t="s">
        <v>33</v>
      </c>
      <c r="G138" t="s">
        <v>67</v>
      </c>
      <c r="H138" t="s">
        <v>41</v>
      </c>
      <c r="I138" t="s">
        <v>36</v>
      </c>
      <c r="J138">
        <v>9</v>
      </c>
      <c r="K138" s="5">
        <v>69.25</v>
      </c>
      <c r="L138" s="5">
        <v>124.51</v>
      </c>
      <c r="M138">
        <v>15</v>
      </c>
      <c r="N138">
        <v>4</v>
      </c>
      <c r="O138">
        <v>3</v>
      </c>
      <c r="P138">
        <v>2</v>
      </c>
      <c r="Q138">
        <v>15</v>
      </c>
      <c r="R138">
        <v>1</v>
      </c>
      <c r="S138">
        <v>0</v>
      </c>
      <c r="T138">
        <v>1</v>
      </c>
      <c r="U138">
        <v>1</v>
      </c>
      <c r="V138">
        <v>0</v>
      </c>
      <c r="W138" t="s">
        <v>45</v>
      </c>
      <c r="X138">
        <v>21</v>
      </c>
      <c r="Y138">
        <v>0</v>
      </c>
      <c r="Z138">
        <f t="shared" si="12"/>
        <v>47</v>
      </c>
      <c r="AA138">
        <f t="shared" si="13"/>
        <v>0.76923076923076927</v>
      </c>
      <c r="AB138">
        <f t="shared" si="14"/>
        <v>27</v>
      </c>
      <c r="AC138" t="str">
        <f t="shared" si="15"/>
        <v>Low</v>
      </c>
      <c r="AD138" t="str">
        <f t="shared" si="16"/>
        <v>Upsell premium bundle</v>
      </c>
      <c r="AE138">
        <f t="shared" si="17"/>
        <v>53</v>
      </c>
    </row>
    <row r="139" spans="1:31" x14ac:dyDescent="0.35">
      <c r="A139" t="s">
        <v>197</v>
      </c>
      <c r="B139" s="4">
        <v>45053</v>
      </c>
      <c r="C139" s="4">
        <v>46143</v>
      </c>
      <c r="D139" t="s">
        <v>47</v>
      </c>
      <c r="E139">
        <v>54</v>
      </c>
      <c r="F139" t="s">
        <v>33</v>
      </c>
      <c r="G139" t="s">
        <v>67</v>
      </c>
      <c r="H139" t="s">
        <v>41</v>
      </c>
      <c r="I139" t="s">
        <v>36</v>
      </c>
      <c r="J139">
        <v>36</v>
      </c>
      <c r="K139" s="5">
        <v>95.9</v>
      </c>
      <c r="L139" s="5">
        <v>394.28</v>
      </c>
      <c r="M139">
        <v>8</v>
      </c>
      <c r="N139">
        <v>2</v>
      </c>
      <c r="O139">
        <v>2</v>
      </c>
      <c r="P139">
        <v>1</v>
      </c>
      <c r="Q139">
        <v>18</v>
      </c>
      <c r="R139">
        <v>4</v>
      </c>
      <c r="S139">
        <v>2</v>
      </c>
      <c r="T139">
        <v>0</v>
      </c>
      <c r="U139">
        <v>0</v>
      </c>
      <c r="V139">
        <v>0</v>
      </c>
      <c r="W139" t="s">
        <v>50</v>
      </c>
      <c r="X139">
        <v>-11</v>
      </c>
      <c r="Y139">
        <v>1</v>
      </c>
      <c r="Z139">
        <f t="shared" si="12"/>
        <v>30</v>
      </c>
      <c r="AA139">
        <f t="shared" si="13"/>
        <v>0.39393939393939392</v>
      </c>
      <c r="AB139">
        <f t="shared" si="14"/>
        <v>62</v>
      </c>
      <c r="AC139" t="str">
        <f t="shared" si="15"/>
        <v>Medium</v>
      </c>
      <c r="AD139" t="str">
        <f t="shared" si="16"/>
        <v>Nudge core feature adoption</v>
      </c>
      <c r="AE139">
        <f t="shared" si="17"/>
        <v>70</v>
      </c>
    </row>
    <row r="140" spans="1:31" x14ac:dyDescent="0.35">
      <c r="A140" t="s">
        <v>198</v>
      </c>
      <c r="B140" s="4">
        <v>44842</v>
      </c>
      <c r="C140" s="4">
        <v>46143</v>
      </c>
      <c r="D140" t="s">
        <v>32</v>
      </c>
      <c r="E140">
        <v>31</v>
      </c>
      <c r="F140" t="s">
        <v>43</v>
      </c>
      <c r="G140" t="s">
        <v>40</v>
      </c>
      <c r="H140" t="s">
        <v>58</v>
      </c>
      <c r="I140" t="s">
        <v>36</v>
      </c>
      <c r="J140">
        <v>43</v>
      </c>
      <c r="K140" s="5">
        <v>81.25</v>
      </c>
      <c r="L140" s="5">
        <v>72.88</v>
      </c>
      <c r="M140">
        <v>19</v>
      </c>
      <c r="N140">
        <v>9</v>
      </c>
      <c r="O140">
        <v>5</v>
      </c>
      <c r="P140">
        <v>2</v>
      </c>
      <c r="Q140">
        <v>23</v>
      </c>
      <c r="R140">
        <v>0</v>
      </c>
      <c r="S140">
        <v>1</v>
      </c>
      <c r="T140">
        <v>0</v>
      </c>
      <c r="U140">
        <v>0</v>
      </c>
      <c r="V140">
        <v>1</v>
      </c>
      <c r="W140" t="s">
        <v>50</v>
      </c>
      <c r="X140">
        <v>78</v>
      </c>
      <c r="Y140">
        <v>0</v>
      </c>
      <c r="Z140">
        <f t="shared" si="12"/>
        <v>64</v>
      </c>
      <c r="AA140">
        <f t="shared" si="13"/>
        <v>0.57534246575342463</v>
      </c>
      <c r="AB140">
        <f t="shared" si="14"/>
        <v>0</v>
      </c>
      <c r="AC140" t="str">
        <f t="shared" si="15"/>
        <v>Low</v>
      </c>
      <c r="AD140" t="str">
        <f t="shared" si="16"/>
        <v>Upsell premium bundle</v>
      </c>
      <c r="AE140">
        <f t="shared" si="17"/>
        <v>36</v>
      </c>
    </row>
    <row r="141" spans="1:31" x14ac:dyDescent="0.35">
      <c r="A141" t="s">
        <v>199</v>
      </c>
      <c r="B141" s="4">
        <v>45564</v>
      </c>
      <c r="C141" s="4">
        <v>46143</v>
      </c>
      <c r="D141" t="s">
        <v>39</v>
      </c>
      <c r="E141">
        <v>65</v>
      </c>
      <c r="F141" t="s">
        <v>57</v>
      </c>
      <c r="G141" t="s">
        <v>85</v>
      </c>
      <c r="H141" t="s">
        <v>41</v>
      </c>
      <c r="I141" t="s">
        <v>36</v>
      </c>
      <c r="J141">
        <v>19</v>
      </c>
      <c r="K141" s="5">
        <v>1614.87</v>
      </c>
      <c r="L141" s="5">
        <v>2409.4</v>
      </c>
      <c r="M141">
        <v>25</v>
      </c>
      <c r="N141">
        <v>8</v>
      </c>
      <c r="O141">
        <v>4</v>
      </c>
      <c r="P141">
        <v>1</v>
      </c>
      <c r="Q141">
        <v>9</v>
      </c>
      <c r="R141">
        <v>1</v>
      </c>
      <c r="S141">
        <v>1</v>
      </c>
      <c r="T141">
        <v>0</v>
      </c>
      <c r="U141">
        <v>0</v>
      </c>
      <c r="V141">
        <v>1</v>
      </c>
      <c r="W141" t="s">
        <v>45</v>
      </c>
      <c r="X141">
        <v>16</v>
      </c>
      <c r="Y141">
        <v>1</v>
      </c>
      <c r="Z141">
        <f t="shared" si="12"/>
        <v>54</v>
      </c>
      <c r="AA141">
        <f t="shared" si="13"/>
        <v>0.69387755102040816</v>
      </c>
      <c r="AB141">
        <f t="shared" si="14"/>
        <v>25</v>
      </c>
      <c r="AC141" t="str">
        <f t="shared" si="15"/>
        <v>Low</v>
      </c>
      <c r="AD141" t="str">
        <f t="shared" si="16"/>
        <v>Upsell premium bundle</v>
      </c>
      <c r="AE141">
        <f t="shared" si="17"/>
        <v>46</v>
      </c>
    </row>
    <row r="142" spans="1:31" x14ac:dyDescent="0.35">
      <c r="A142" t="s">
        <v>200</v>
      </c>
      <c r="B142" s="4">
        <v>45738</v>
      </c>
      <c r="C142" s="4">
        <v>46143</v>
      </c>
      <c r="D142" t="s">
        <v>72</v>
      </c>
      <c r="E142">
        <v>60</v>
      </c>
      <c r="F142" t="s">
        <v>57</v>
      </c>
      <c r="G142" t="s">
        <v>63</v>
      </c>
      <c r="H142" t="s">
        <v>35</v>
      </c>
      <c r="I142" t="s">
        <v>36</v>
      </c>
      <c r="J142">
        <v>13</v>
      </c>
      <c r="K142" s="5">
        <v>864.08</v>
      </c>
      <c r="L142" s="5">
        <v>999.87</v>
      </c>
      <c r="M142">
        <v>27</v>
      </c>
      <c r="N142">
        <v>7</v>
      </c>
      <c r="O142">
        <v>6</v>
      </c>
      <c r="P142">
        <v>5</v>
      </c>
      <c r="Q142">
        <v>31</v>
      </c>
      <c r="R142">
        <v>0</v>
      </c>
      <c r="S142">
        <v>1</v>
      </c>
      <c r="T142">
        <v>0</v>
      </c>
      <c r="U142">
        <v>1</v>
      </c>
      <c r="V142">
        <v>1</v>
      </c>
      <c r="W142" t="s">
        <v>52</v>
      </c>
      <c r="X142">
        <v>39</v>
      </c>
      <c r="Y142">
        <v>0</v>
      </c>
      <c r="Z142">
        <f t="shared" si="12"/>
        <v>92</v>
      </c>
      <c r="AA142">
        <f t="shared" si="13"/>
        <v>1.3488372093023255</v>
      </c>
      <c r="AB142">
        <f t="shared" si="14"/>
        <v>0</v>
      </c>
      <c r="AC142" t="str">
        <f t="shared" si="15"/>
        <v>Low</v>
      </c>
      <c r="AD142" t="str">
        <f t="shared" si="16"/>
        <v>Upsell premium bundle</v>
      </c>
      <c r="AE142">
        <f t="shared" si="17"/>
        <v>8</v>
      </c>
    </row>
    <row r="143" spans="1:31" x14ac:dyDescent="0.35">
      <c r="A143" t="s">
        <v>201</v>
      </c>
      <c r="B143" s="4">
        <v>45434</v>
      </c>
      <c r="C143" s="4">
        <v>46143</v>
      </c>
      <c r="D143" t="s">
        <v>32</v>
      </c>
      <c r="E143">
        <v>32</v>
      </c>
      <c r="F143" t="s">
        <v>57</v>
      </c>
      <c r="G143" t="s">
        <v>48</v>
      </c>
      <c r="H143" t="s">
        <v>58</v>
      </c>
      <c r="I143" t="s">
        <v>36</v>
      </c>
      <c r="J143">
        <v>23</v>
      </c>
      <c r="K143" s="5">
        <v>2550.46</v>
      </c>
      <c r="L143" s="5">
        <v>854.49</v>
      </c>
      <c r="M143">
        <v>41</v>
      </c>
      <c r="N143">
        <v>23</v>
      </c>
      <c r="O143">
        <v>3</v>
      </c>
      <c r="P143">
        <v>4</v>
      </c>
      <c r="Q143">
        <v>25</v>
      </c>
      <c r="R143">
        <v>3</v>
      </c>
      <c r="S143">
        <v>1</v>
      </c>
      <c r="T143">
        <v>0</v>
      </c>
      <c r="U143">
        <v>0</v>
      </c>
      <c r="V143">
        <v>0</v>
      </c>
      <c r="W143" t="s">
        <v>37</v>
      </c>
      <c r="X143">
        <v>13</v>
      </c>
      <c r="Y143">
        <v>0</v>
      </c>
      <c r="Z143">
        <f t="shared" si="12"/>
        <v>93</v>
      </c>
      <c r="AA143">
        <f t="shared" si="13"/>
        <v>1.2452830188679245</v>
      </c>
      <c r="AB143">
        <f t="shared" si="14"/>
        <v>8</v>
      </c>
      <c r="AC143" t="str">
        <f t="shared" si="15"/>
        <v>Low</v>
      </c>
      <c r="AD143" t="str">
        <f t="shared" si="16"/>
        <v>Upsell premium bundle</v>
      </c>
      <c r="AE143">
        <f t="shared" si="17"/>
        <v>7</v>
      </c>
    </row>
    <row r="144" spans="1:31" x14ac:dyDescent="0.35">
      <c r="A144" t="s">
        <v>202</v>
      </c>
      <c r="B144" s="4">
        <v>44947</v>
      </c>
      <c r="C144" s="4">
        <v>46143</v>
      </c>
      <c r="D144" t="s">
        <v>60</v>
      </c>
      <c r="E144">
        <v>55</v>
      </c>
      <c r="F144" t="s">
        <v>57</v>
      </c>
      <c r="G144" t="s">
        <v>63</v>
      </c>
      <c r="H144" t="s">
        <v>58</v>
      </c>
      <c r="I144" t="s">
        <v>36</v>
      </c>
      <c r="J144">
        <v>39</v>
      </c>
      <c r="K144" s="5">
        <v>439.52</v>
      </c>
      <c r="L144" s="5">
        <v>659.4</v>
      </c>
      <c r="M144">
        <v>42</v>
      </c>
      <c r="N144">
        <v>19</v>
      </c>
      <c r="O144">
        <v>5</v>
      </c>
      <c r="P144">
        <v>5</v>
      </c>
      <c r="Q144">
        <v>32</v>
      </c>
      <c r="R144">
        <v>2</v>
      </c>
      <c r="S144">
        <v>0</v>
      </c>
      <c r="T144">
        <v>1</v>
      </c>
      <c r="U144">
        <v>0</v>
      </c>
      <c r="V144">
        <v>0</v>
      </c>
      <c r="W144" t="s">
        <v>45</v>
      </c>
      <c r="X144">
        <v>29</v>
      </c>
      <c r="Y144">
        <v>0</v>
      </c>
      <c r="Z144">
        <f t="shared" si="12"/>
        <v>100</v>
      </c>
      <c r="AA144">
        <f t="shared" si="13"/>
        <v>1.0724637681159421</v>
      </c>
      <c r="AB144">
        <f t="shared" si="14"/>
        <v>0</v>
      </c>
      <c r="AC144" t="str">
        <f t="shared" si="15"/>
        <v>Low</v>
      </c>
      <c r="AD144" t="str">
        <f t="shared" si="16"/>
        <v>Upsell premium bundle</v>
      </c>
      <c r="AE144">
        <f t="shared" si="17"/>
        <v>0</v>
      </c>
    </row>
    <row r="145" spans="1:31" x14ac:dyDescent="0.35">
      <c r="A145" t="s">
        <v>203</v>
      </c>
      <c r="B145" s="4">
        <v>45797</v>
      </c>
      <c r="C145" s="4">
        <v>46143</v>
      </c>
      <c r="D145" t="s">
        <v>66</v>
      </c>
      <c r="E145">
        <v>41</v>
      </c>
      <c r="F145" t="s">
        <v>33</v>
      </c>
      <c r="G145" t="s">
        <v>40</v>
      </c>
      <c r="H145" t="s">
        <v>44</v>
      </c>
      <c r="I145" t="s">
        <v>36</v>
      </c>
      <c r="J145">
        <v>11</v>
      </c>
      <c r="K145" s="5">
        <v>404.45</v>
      </c>
      <c r="L145" s="5">
        <v>173.54</v>
      </c>
      <c r="M145">
        <v>26</v>
      </c>
      <c r="N145">
        <v>12</v>
      </c>
      <c r="O145">
        <v>3</v>
      </c>
      <c r="P145">
        <v>2</v>
      </c>
      <c r="Q145">
        <v>14</v>
      </c>
      <c r="R145">
        <v>0</v>
      </c>
      <c r="S145">
        <v>2</v>
      </c>
      <c r="T145">
        <v>1</v>
      </c>
      <c r="U145">
        <v>0</v>
      </c>
      <c r="V145">
        <v>1</v>
      </c>
      <c r="W145" t="s">
        <v>55</v>
      </c>
      <c r="X145">
        <v>-18</v>
      </c>
      <c r="Y145">
        <v>1</v>
      </c>
      <c r="Z145">
        <f t="shared" si="12"/>
        <v>63</v>
      </c>
      <c r="AA145">
        <f t="shared" si="13"/>
        <v>0.97560975609756095</v>
      </c>
      <c r="AB145">
        <f t="shared" si="14"/>
        <v>48</v>
      </c>
      <c r="AC145" t="str">
        <f t="shared" si="15"/>
        <v>Medium</v>
      </c>
      <c r="AD145" t="str">
        <f t="shared" si="16"/>
        <v>Nudge core feature adoption</v>
      </c>
      <c r="AE145">
        <f t="shared" si="17"/>
        <v>37</v>
      </c>
    </row>
    <row r="146" spans="1:31" x14ac:dyDescent="0.35">
      <c r="A146" t="s">
        <v>204</v>
      </c>
      <c r="B146" s="4">
        <v>44742</v>
      </c>
      <c r="C146" s="4">
        <v>46143</v>
      </c>
      <c r="D146" t="s">
        <v>39</v>
      </c>
      <c r="E146">
        <v>26</v>
      </c>
      <c r="F146" t="s">
        <v>57</v>
      </c>
      <c r="G146" t="s">
        <v>63</v>
      </c>
      <c r="H146" t="s">
        <v>58</v>
      </c>
      <c r="I146" t="s">
        <v>36</v>
      </c>
      <c r="J146">
        <v>46</v>
      </c>
      <c r="K146" s="5">
        <v>1363.39</v>
      </c>
      <c r="L146" s="5">
        <v>1172.56</v>
      </c>
      <c r="M146">
        <v>47</v>
      </c>
      <c r="N146">
        <v>16</v>
      </c>
      <c r="O146">
        <v>10</v>
      </c>
      <c r="P146">
        <v>1</v>
      </c>
      <c r="Q146">
        <v>50</v>
      </c>
      <c r="R146">
        <v>0</v>
      </c>
      <c r="S146">
        <v>1</v>
      </c>
      <c r="T146">
        <v>1</v>
      </c>
      <c r="U146">
        <v>0</v>
      </c>
      <c r="V146">
        <v>1</v>
      </c>
      <c r="W146" t="s">
        <v>37</v>
      </c>
      <c r="X146">
        <v>82</v>
      </c>
      <c r="Y146">
        <v>0</v>
      </c>
      <c r="Z146">
        <f t="shared" si="12"/>
        <v>100</v>
      </c>
      <c r="AA146">
        <f t="shared" si="13"/>
        <v>1.2763157894736843</v>
      </c>
      <c r="AB146">
        <f t="shared" si="14"/>
        <v>0</v>
      </c>
      <c r="AC146" t="str">
        <f t="shared" si="15"/>
        <v>Low</v>
      </c>
      <c r="AD146" t="str">
        <f t="shared" si="16"/>
        <v>Upsell premium bundle</v>
      </c>
      <c r="AE146">
        <f t="shared" si="17"/>
        <v>0</v>
      </c>
    </row>
    <row r="147" spans="1:31" x14ac:dyDescent="0.35">
      <c r="A147" t="s">
        <v>205</v>
      </c>
      <c r="B147" s="4">
        <v>45408</v>
      </c>
      <c r="C147" s="4">
        <v>46143</v>
      </c>
      <c r="D147" t="s">
        <v>66</v>
      </c>
      <c r="E147">
        <v>38</v>
      </c>
      <c r="F147" t="s">
        <v>61</v>
      </c>
      <c r="G147" t="s">
        <v>34</v>
      </c>
      <c r="H147" t="s">
        <v>41</v>
      </c>
      <c r="I147" t="s">
        <v>49</v>
      </c>
      <c r="J147">
        <v>24</v>
      </c>
      <c r="K147" s="5">
        <v>4593.25</v>
      </c>
      <c r="L147" s="5">
        <v>2860.76</v>
      </c>
      <c r="M147">
        <v>31</v>
      </c>
      <c r="N147">
        <v>9</v>
      </c>
      <c r="O147">
        <v>3</v>
      </c>
      <c r="P147">
        <v>6</v>
      </c>
      <c r="Q147">
        <v>15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52</v>
      </c>
      <c r="X147">
        <v>-8</v>
      </c>
      <c r="Y147">
        <v>0</v>
      </c>
      <c r="Z147">
        <f t="shared" si="12"/>
        <v>66</v>
      </c>
      <c r="AA147">
        <f t="shared" si="13"/>
        <v>0.85185185185185186</v>
      </c>
      <c r="AB147">
        <f t="shared" si="14"/>
        <v>42</v>
      </c>
      <c r="AC147" t="str">
        <f t="shared" si="15"/>
        <v>Medium</v>
      </c>
      <c r="AD147" t="str">
        <f t="shared" si="16"/>
        <v>Nudge core feature adoption</v>
      </c>
      <c r="AE147">
        <f t="shared" si="17"/>
        <v>34</v>
      </c>
    </row>
    <row r="148" spans="1:31" x14ac:dyDescent="0.35">
      <c r="A148" t="s">
        <v>206</v>
      </c>
      <c r="B148" s="4">
        <v>45341</v>
      </c>
      <c r="C148" s="4">
        <v>46143</v>
      </c>
      <c r="D148" t="s">
        <v>66</v>
      </c>
      <c r="E148">
        <v>54</v>
      </c>
      <c r="F148" t="s">
        <v>33</v>
      </c>
      <c r="G148" t="s">
        <v>63</v>
      </c>
      <c r="H148" t="s">
        <v>41</v>
      </c>
      <c r="I148" t="s">
        <v>36</v>
      </c>
      <c r="J148">
        <v>26</v>
      </c>
      <c r="K148" s="5">
        <v>721.98</v>
      </c>
      <c r="L148" s="5">
        <v>602.27</v>
      </c>
      <c r="M148">
        <v>26</v>
      </c>
      <c r="N148">
        <v>13</v>
      </c>
      <c r="O148">
        <v>3</v>
      </c>
      <c r="P148">
        <v>4</v>
      </c>
      <c r="Q148">
        <v>4</v>
      </c>
      <c r="R148">
        <v>0</v>
      </c>
      <c r="S148">
        <v>1</v>
      </c>
      <c r="T148">
        <v>1</v>
      </c>
      <c r="U148">
        <v>0</v>
      </c>
      <c r="V148">
        <v>0</v>
      </c>
      <c r="W148" t="s">
        <v>37</v>
      </c>
      <c r="X148">
        <v>50</v>
      </c>
      <c r="Y148">
        <v>1</v>
      </c>
      <c r="Z148">
        <f t="shared" si="12"/>
        <v>51</v>
      </c>
      <c r="AA148">
        <f t="shared" si="13"/>
        <v>0.5357142857142857</v>
      </c>
      <c r="AB148">
        <f t="shared" si="14"/>
        <v>21</v>
      </c>
      <c r="AC148" t="str">
        <f t="shared" si="15"/>
        <v>Low</v>
      </c>
      <c r="AD148" t="str">
        <f t="shared" si="16"/>
        <v>Upsell premium bundle</v>
      </c>
      <c r="AE148">
        <f t="shared" si="17"/>
        <v>49</v>
      </c>
    </row>
    <row r="149" spans="1:31" x14ac:dyDescent="0.35">
      <c r="A149" t="s">
        <v>207</v>
      </c>
      <c r="B149" s="4">
        <v>45509</v>
      </c>
      <c r="C149" s="4">
        <v>46143</v>
      </c>
      <c r="D149" t="s">
        <v>66</v>
      </c>
      <c r="E149">
        <v>21</v>
      </c>
      <c r="F149" t="s">
        <v>57</v>
      </c>
      <c r="G149" t="s">
        <v>85</v>
      </c>
      <c r="H149" t="s">
        <v>58</v>
      </c>
      <c r="I149" t="s">
        <v>36</v>
      </c>
      <c r="J149">
        <v>21</v>
      </c>
      <c r="K149" s="5">
        <v>1776.22</v>
      </c>
      <c r="L149" s="5">
        <v>1807.15</v>
      </c>
      <c r="M149">
        <v>22</v>
      </c>
      <c r="N149">
        <v>8</v>
      </c>
      <c r="O149">
        <v>6</v>
      </c>
      <c r="P149">
        <v>2</v>
      </c>
      <c r="Q149">
        <v>15</v>
      </c>
      <c r="R149">
        <v>0</v>
      </c>
      <c r="S149">
        <v>0</v>
      </c>
      <c r="T149">
        <v>1</v>
      </c>
      <c r="U149">
        <v>0</v>
      </c>
      <c r="V149">
        <v>0</v>
      </c>
      <c r="W149" t="s">
        <v>37</v>
      </c>
      <c r="X149">
        <v>82</v>
      </c>
      <c r="Y149">
        <v>0</v>
      </c>
      <c r="Z149">
        <f t="shared" si="12"/>
        <v>53</v>
      </c>
      <c r="AA149">
        <f t="shared" si="13"/>
        <v>0.72549019607843135</v>
      </c>
      <c r="AB149">
        <f t="shared" si="14"/>
        <v>0</v>
      </c>
      <c r="AC149" t="str">
        <f t="shared" si="15"/>
        <v>Low</v>
      </c>
      <c r="AD149" t="str">
        <f t="shared" si="16"/>
        <v>Upsell premium bundle</v>
      </c>
      <c r="AE149">
        <f t="shared" si="17"/>
        <v>47</v>
      </c>
    </row>
    <row r="150" spans="1:31" x14ac:dyDescent="0.35">
      <c r="A150" t="s">
        <v>208</v>
      </c>
      <c r="B150" s="4">
        <v>45487</v>
      </c>
      <c r="C150" s="4">
        <v>46143</v>
      </c>
      <c r="D150" t="s">
        <v>32</v>
      </c>
      <c r="E150">
        <v>38</v>
      </c>
      <c r="F150" t="s">
        <v>43</v>
      </c>
      <c r="G150" t="s">
        <v>34</v>
      </c>
      <c r="H150" t="s">
        <v>41</v>
      </c>
      <c r="I150" t="s">
        <v>49</v>
      </c>
      <c r="J150">
        <v>21</v>
      </c>
      <c r="K150" s="5">
        <v>35.770000000000003</v>
      </c>
      <c r="L150" s="5">
        <v>38.06</v>
      </c>
      <c r="M150">
        <v>24</v>
      </c>
      <c r="N150">
        <v>14</v>
      </c>
      <c r="O150">
        <v>1</v>
      </c>
      <c r="P150">
        <v>2</v>
      </c>
      <c r="Q150">
        <v>10</v>
      </c>
      <c r="R150">
        <v>1</v>
      </c>
      <c r="S150">
        <v>0</v>
      </c>
      <c r="T150">
        <v>0</v>
      </c>
      <c r="U150">
        <v>0</v>
      </c>
      <c r="V150">
        <v>1</v>
      </c>
      <c r="W150" t="s">
        <v>55</v>
      </c>
      <c r="X150">
        <v>-23</v>
      </c>
      <c r="Y150">
        <v>1</v>
      </c>
      <c r="Z150">
        <f t="shared" si="12"/>
        <v>56</v>
      </c>
      <c r="AA150">
        <f t="shared" si="13"/>
        <v>0.66666666666666663</v>
      </c>
      <c r="AB150">
        <f t="shared" si="14"/>
        <v>62</v>
      </c>
      <c r="AC150" t="str">
        <f t="shared" si="15"/>
        <v>Medium</v>
      </c>
      <c r="AD150" t="str">
        <f t="shared" si="16"/>
        <v>Nudge core feature adoption</v>
      </c>
      <c r="AE150">
        <f t="shared" si="17"/>
        <v>44</v>
      </c>
    </row>
    <row r="151" spans="1:31" x14ac:dyDescent="0.35">
      <c r="A151" t="s">
        <v>209</v>
      </c>
      <c r="B151" s="4">
        <v>45568</v>
      </c>
      <c r="C151" s="4">
        <v>46143</v>
      </c>
      <c r="D151" t="s">
        <v>39</v>
      </c>
      <c r="E151">
        <v>51</v>
      </c>
      <c r="F151" t="s">
        <v>57</v>
      </c>
      <c r="G151" t="s">
        <v>63</v>
      </c>
      <c r="H151" t="s">
        <v>41</v>
      </c>
      <c r="I151" t="s">
        <v>36</v>
      </c>
      <c r="J151">
        <v>19</v>
      </c>
      <c r="K151" s="5">
        <v>1281.8699999999999</v>
      </c>
      <c r="L151" s="5">
        <v>1354.29</v>
      </c>
      <c r="M151">
        <v>33</v>
      </c>
      <c r="N151">
        <v>19</v>
      </c>
      <c r="O151">
        <v>3</v>
      </c>
      <c r="P151">
        <v>2</v>
      </c>
      <c r="Q151">
        <v>25</v>
      </c>
      <c r="R151">
        <v>2</v>
      </c>
      <c r="S151">
        <v>1</v>
      </c>
      <c r="T151">
        <v>1</v>
      </c>
      <c r="U151">
        <v>0</v>
      </c>
      <c r="V151">
        <v>1</v>
      </c>
      <c r="W151" t="s">
        <v>45</v>
      </c>
      <c r="X151">
        <v>21</v>
      </c>
      <c r="Y151">
        <v>0</v>
      </c>
      <c r="Z151">
        <f t="shared" si="12"/>
        <v>86</v>
      </c>
      <c r="AA151">
        <f t="shared" si="13"/>
        <v>1.1836734693877551</v>
      </c>
      <c r="AB151">
        <f t="shared" si="14"/>
        <v>18</v>
      </c>
      <c r="AC151" t="str">
        <f t="shared" si="15"/>
        <v>Low</v>
      </c>
      <c r="AD151" t="str">
        <f t="shared" si="16"/>
        <v>Upsell premium bundle</v>
      </c>
      <c r="AE151">
        <f t="shared" si="17"/>
        <v>14</v>
      </c>
    </row>
    <row r="152" spans="1:31" x14ac:dyDescent="0.35">
      <c r="A152" t="s">
        <v>210</v>
      </c>
      <c r="B152" s="4">
        <v>45129</v>
      </c>
      <c r="C152" s="4">
        <v>46143</v>
      </c>
      <c r="D152" t="s">
        <v>72</v>
      </c>
      <c r="E152">
        <v>23</v>
      </c>
      <c r="F152" t="s">
        <v>77</v>
      </c>
      <c r="G152" t="s">
        <v>85</v>
      </c>
      <c r="H152" t="s">
        <v>41</v>
      </c>
      <c r="I152" t="s">
        <v>36</v>
      </c>
      <c r="J152">
        <v>33</v>
      </c>
      <c r="K152" s="5">
        <v>8147.91</v>
      </c>
      <c r="L152" s="5">
        <v>10756.9</v>
      </c>
      <c r="M152">
        <v>10</v>
      </c>
      <c r="N152">
        <v>3</v>
      </c>
      <c r="O152">
        <v>2</v>
      </c>
      <c r="P152">
        <v>0</v>
      </c>
      <c r="Q152">
        <v>18</v>
      </c>
      <c r="R152">
        <v>0</v>
      </c>
      <c r="S152">
        <v>0</v>
      </c>
      <c r="T152">
        <v>1</v>
      </c>
      <c r="U152">
        <v>0</v>
      </c>
      <c r="V152">
        <v>0</v>
      </c>
      <c r="W152" t="s">
        <v>37</v>
      </c>
      <c r="X152">
        <v>48</v>
      </c>
      <c r="Y152">
        <v>1</v>
      </c>
      <c r="Z152">
        <f t="shared" si="12"/>
        <v>32</v>
      </c>
      <c r="AA152">
        <f t="shared" si="13"/>
        <v>0.44444444444444442</v>
      </c>
      <c r="AB152">
        <f t="shared" si="14"/>
        <v>11</v>
      </c>
      <c r="AC152" t="str">
        <f t="shared" si="15"/>
        <v>Low</v>
      </c>
      <c r="AD152" t="str">
        <f t="shared" si="16"/>
        <v>Upsell premium bundle</v>
      </c>
      <c r="AE152">
        <f t="shared" si="17"/>
        <v>68</v>
      </c>
    </row>
    <row r="153" spans="1:31" x14ac:dyDescent="0.35">
      <c r="A153" t="s">
        <v>211</v>
      </c>
      <c r="B153" s="4">
        <v>44820</v>
      </c>
      <c r="C153" s="4">
        <v>46143</v>
      </c>
      <c r="D153" t="s">
        <v>60</v>
      </c>
      <c r="E153">
        <v>48</v>
      </c>
      <c r="F153" t="s">
        <v>57</v>
      </c>
      <c r="G153" t="s">
        <v>67</v>
      </c>
      <c r="H153" t="s">
        <v>41</v>
      </c>
      <c r="I153" t="s">
        <v>36</v>
      </c>
      <c r="J153">
        <v>44</v>
      </c>
      <c r="K153" s="5">
        <v>1635.96</v>
      </c>
      <c r="L153" s="5">
        <v>342.89</v>
      </c>
      <c r="M153">
        <v>33</v>
      </c>
      <c r="N153">
        <v>19</v>
      </c>
      <c r="O153">
        <v>3</v>
      </c>
      <c r="P153">
        <v>3</v>
      </c>
      <c r="Q153">
        <v>27</v>
      </c>
      <c r="R153">
        <v>0</v>
      </c>
      <c r="S153">
        <v>2</v>
      </c>
      <c r="T153">
        <v>1</v>
      </c>
      <c r="U153">
        <v>1</v>
      </c>
      <c r="V153">
        <v>1</v>
      </c>
      <c r="W153" t="s">
        <v>52</v>
      </c>
      <c r="X153">
        <v>16</v>
      </c>
      <c r="Y153">
        <v>0</v>
      </c>
      <c r="Z153">
        <f t="shared" si="12"/>
        <v>97</v>
      </c>
      <c r="AA153">
        <f t="shared" si="13"/>
        <v>0.81081081081081086</v>
      </c>
      <c r="AB153">
        <f t="shared" si="14"/>
        <v>27</v>
      </c>
      <c r="AC153" t="str">
        <f t="shared" si="15"/>
        <v>Low</v>
      </c>
      <c r="AD153" t="str">
        <f t="shared" si="16"/>
        <v>Upsell premium bundle</v>
      </c>
      <c r="AE153">
        <f t="shared" si="17"/>
        <v>3</v>
      </c>
    </row>
    <row r="154" spans="1:31" x14ac:dyDescent="0.35">
      <c r="A154" t="s">
        <v>212</v>
      </c>
      <c r="B154" s="4">
        <v>45175</v>
      </c>
      <c r="C154" s="4">
        <v>46143</v>
      </c>
      <c r="D154" t="s">
        <v>39</v>
      </c>
      <c r="E154">
        <v>63</v>
      </c>
      <c r="F154" t="s">
        <v>57</v>
      </c>
      <c r="G154" t="s">
        <v>85</v>
      </c>
      <c r="H154" t="s">
        <v>44</v>
      </c>
      <c r="I154" t="s">
        <v>36</v>
      </c>
      <c r="J154">
        <v>32</v>
      </c>
      <c r="K154" s="5">
        <v>0</v>
      </c>
      <c r="L154" s="5">
        <v>700.34</v>
      </c>
      <c r="M154">
        <v>54</v>
      </c>
      <c r="N154">
        <v>26</v>
      </c>
      <c r="O154">
        <v>10</v>
      </c>
      <c r="P154">
        <v>8</v>
      </c>
      <c r="Q154">
        <v>40</v>
      </c>
      <c r="R154">
        <v>0</v>
      </c>
      <c r="S154">
        <v>1</v>
      </c>
      <c r="T154">
        <v>0</v>
      </c>
      <c r="U154">
        <v>0</v>
      </c>
      <c r="V154">
        <v>0</v>
      </c>
      <c r="W154" t="s">
        <v>55</v>
      </c>
      <c r="X154">
        <v>68</v>
      </c>
      <c r="Y154">
        <v>0</v>
      </c>
      <c r="Z154">
        <f t="shared" si="12"/>
        <v>100</v>
      </c>
      <c r="AA154">
        <f t="shared" si="13"/>
        <v>1.5161290322580645</v>
      </c>
      <c r="AB154">
        <f t="shared" si="14"/>
        <v>0</v>
      </c>
      <c r="AC154" t="str">
        <f t="shared" si="15"/>
        <v>Low</v>
      </c>
      <c r="AD154" t="str">
        <f t="shared" si="16"/>
        <v>Upsell premium bundle</v>
      </c>
      <c r="AE154">
        <f t="shared" si="17"/>
        <v>0</v>
      </c>
    </row>
    <row r="155" spans="1:31" x14ac:dyDescent="0.35">
      <c r="A155" t="s">
        <v>213</v>
      </c>
      <c r="B155" s="4">
        <v>46032</v>
      </c>
      <c r="C155" s="4">
        <v>46143</v>
      </c>
      <c r="D155" t="s">
        <v>47</v>
      </c>
      <c r="E155">
        <v>23</v>
      </c>
      <c r="F155" t="s">
        <v>77</v>
      </c>
      <c r="G155" t="s">
        <v>67</v>
      </c>
      <c r="H155" t="s">
        <v>41</v>
      </c>
      <c r="I155" t="s">
        <v>36</v>
      </c>
      <c r="J155">
        <v>3</v>
      </c>
      <c r="K155" s="5">
        <v>7444.29</v>
      </c>
      <c r="L155" s="5">
        <v>10331.450000000001</v>
      </c>
      <c r="M155">
        <v>23</v>
      </c>
      <c r="N155">
        <v>14</v>
      </c>
      <c r="O155">
        <v>2</v>
      </c>
      <c r="P155">
        <v>1</v>
      </c>
      <c r="Q155">
        <v>19</v>
      </c>
      <c r="R155">
        <v>1</v>
      </c>
      <c r="S155">
        <v>2</v>
      </c>
      <c r="T155">
        <v>0</v>
      </c>
      <c r="U155">
        <v>0</v>
      </c>
      <c r="V155">
        <v>1</v>
      </c>
      <c r="W155" t="s">
        <v>50</v>
      </c>
      <c r="X155">
        <v>-19</v>
      </c>
      <c r="Y155">
        <v>0</v>
      </c>
      <c r="Z155">
        <f t="shared" si="12"/>
        <v>63</v>
      </c>
      <c r="AA155">
        <f t="shared" si="13"/>
        <v>1.2727272727272727</v>
      </c>
      <c r="AB155">
        <f t="shared" si="14"/>
        <v>47</v>
      </c>
      <c r="AC155" t="str">
        <f t="shared" si="15"/>
        <v>Medium</v>
      </c>
      <c r="AD155" t="str">
        <f t="shared" si="16"/>
        <v>Nudge core feature adoption</v>
      </c>
      <c r="AE155">
        <f t="shared" si="17"/>
        <v>37</v>
      </c>
    </row>
    <row r="156" spans="1:31" x14ac:dyDescent="0.35">
      <c r="A156" t="s">
        <v>214</v>
      </c>
      <c r="B156" s="4">
        <v>45100</v>
      </c>
      <c r="C156" s="4">
        <v>46143</v>
      </c>
      <c r="D156" t="s">
        <v>60</v>
      </c>
      <c r="E156">
        <v>50</v>
      </c>
      <c r="F156" t="s">
        <v>43</v>
      </c>
      <c r="G156" t="s">
        <v>63</v>
      </c>
      <c r="H156" t="s">
        <v>41</v>
      </c>
      <c r="I156" t="s">
        <v>36</v>
      </c>
      <c r="J156">
        <v>34</v>
      </c>
      <c r="K156" s="5">
        <v>122.88</v>
      </c>
      <c r="L156" s="5">
        <v>89.75</v>
      </c>
      <c r="M156">
        <v>27</v>
      </c>
      <c r="N156">
        <v>18</v>
      </c>
      <c r="O156">
        <v>5</v>
      </c>
      <c r="P156">
        <v>5</v>
      </c>
      <c r="Q156">
        <v>11</v>
      </c>
      <c r="R156">
        <v>0</v>
      </c>
      <c r="S156">
        <v>1</v>
      </c>
      <c r="T156">
        <v>0</v>
      </c>
      <c r="U156">
        <v>0</v>
      </c>
      <c r="V156">
        <v>1</v>
      </c>
      <c r="W156" t="s">
        <v>45</v>
      </c>
      <c r="X156">
        <v>8</v>
      </c>
      <c r="Y156">
        <v>1</v>
      </c>
      <c r="Z156">
        <f t="shared" si="12"/>
        <v>72</v>
      </c>
      <c r="AA156">
        <f t="shared" si="13"/>
        <v>0.59375</v>
      </c>
      <c r="AB156">
        <f t="shared" si="14"/>
        <v>33</v>
      </c>
      <c r="AC156" t="str">
        <f t="shared" si="15"/>
        <v>Low</v>
      </c>
      <c r="AD156" t="str">
        <f t="shared" si="16"/>
        <v>Upsell premium bundle</v>
      </c>
      <c r="AE156">
        <f t="shared" si="17"/>
        <v>28</v>
      </c>
    </row>
    <row r="157" spans="1:31" x14ac:dyDescent="0.35">
      <c r="A157" t="s">
        <v>215</v>
      </c>
      <c r="B157" s="4">
        <v>44716</v>
      </c>
      <c r="C157" s="4">
        <v>46143</v>
      </c>
      <c r="D157" t="s">
        <v>32</v>
      </c>
      <c r="E157">
        <v>57</v>
      </c>
      <c r="F157" t="s">
        <v>43</v>
      </c>
      <c r="G157" t="s">
        <v>85</v>
      </c>
      <c r="H157" t="s">
        <v>58</v>
      </c>
      <c r="I157" t="s">
        <v>36</v>
      </c>
      <c r="J157">
        <v>47</v>
      </c>
      <c r="K157" s="5">
        <v>0</v>
      </c>
      <c r="L157" s="5">
        <v>0</v>
      </c>
      <c r="M157">
        <v>44</v>
      </c>
      <c r="N157">
        <v>32</v>
      </c>
      <c r="O157">
        <v>9</v>
      </c>
      <c r="P157">
        <v>5</v>
      </c>
      <c r="Q157">
        <v>45</v>
      </c>
      <c r="R157">
        <v>4</v>
      </c>
      <c r="S157">
        <v>2</v>
      </c>
      <c r="T157">
        <v>1</v>
      </c>
      <c r="U157">
        <v>0</v>
      </c>
      <c r="V157">
        <v>0</v>
      </c>
      <c r="W157" t="s">
        <v>55</v>
      </c>
      <c r="X157">
        <v>68</v>
      </c>
      <c r="Y157">
        <v>0</v>
      </c>
      <c r="Z157">
        <f t="shared" si="12"/>
        <v>100</v>
      </c>
      <c r="AA157">
        <f t="shared" si="13"/>
        <v>1.1558441558441559</v>
      </c>
      <c r="AB157">
        <f t="shared" si="14"/>
        <v>0</v>
      </c>
      <c r="AC157" t="str">
        <f t="shared" si="15"/>
        <v>Low</v>
      </c>
      <c r="AD157" t="str">
        <f t="shared" si="16"/>
        <v>Upsell premium bundle</v>
      </c>
      <c r="AE157">
        <f t="shared" si="17"/>
        <v>0</v>
      </c>
    </row>
    <row r="158" spans="1:31" x14ac:dyDescent="0.35">
      <c r="A158" t="s">
        <v>216</v>
      </c>
      <c r="B158" s="4">
        <v>45768</v>
      </c>
      <c r="C158" s="4">
        <v>46143</v>
      </c>
      <c r="D158" t="s">
        <v>60</v>
      </c>
      <c r="E158">
        <v>26</v>
      </c>
      <c r="F158" t="s">
        <v>33</v>
      </c>
      <c r="G158" t="s">
        <v>34</v>
      </c>
      <c r="H158" t="s">
        <v>41</v>
      </c>
      <c r="I158" t="s">
        <v>36</v>
      </c>
      <c r="J158">
        <v>12</v>
      </c>
      <c r="K158" s="5">
        <v>593.53</v>
      </c>
      <c r="L158" s="5">
        <v>517.49</v>
      </c>
      <c r="M158">
        <v>9</v>
      </c>
      <c r="N158">
        <v>3</v>
      </c>
      <c r="O158">
        <v>2</v>
      </c>
      <c r="P158">
        <v>1</v>
      </c>
      <c r="Q158">
        <v>18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37</v>
      </c>
      <c r="X158">
        <v>14</v>
      </c>
      <c r="Y158">
        <v>0</v>
      </c>
      <c r="Z158">
        <f t="shared" si="12"/>
        <v>32</v>
      </c>
      <c r="AA158">
        <f t="shared" si="13"/>
        <v>0.6428571428571429</v>
      </c>
      <c r="AB158">
        <f t="shared" si="14"/>
        <v>38</v>
      </c>
      <c r="AC158" t="str">
        <f t="shared" si="15"/>
        <v>Low</v>
      </c>
      <c r="AD158" t="str">
        <f t="shared" si="16"/>
        <v>Upsell premium bundle</v>
      </c>
      <c r="AE158">
        <f t="shared" si="17"/>
        <v>68</v>
      </c>
    </row>
    <row r="159" spans="1:31" x14ac:dyDescent="0.35">
      <c r="A159" t="s">
        <v>217</v>
      </c>
      <c r="B159" s="4">
        <v>46048</v>
      </c>
      <c r="C159" s="4">
        <v>46143</v>
      </c>
      <c r="D159" t="s">
        <v>32</v>
      </c>
      <c r="E159">
        <v>49</v>
      </c>
      <c r="F159" t="s">
        <v>33</v>
      </c>
      <c r="G159" t="s">
        <v>85</v>
      </c>
      <c r="H159" t="s">
        <v>44</v>
      </c>
      <c r="I159" t="s">
        <v>36</v>
      </c>
      <c r="J159">
        <v>3</v>
      </c>
      <c r="K159" s="5">
        <v>384.89</v>
      </c>
      <c r="L159" s="5">
        <v>301.82</v>
      </c>
      <c r="M159">
        <v>46</v>
      </c>
      <c r="N159">
        <v>19</v>
      </c>
      <c r="O159">
        <v>2</v>
      </c>
      <c r="P159">
        <v>2</v>
      </c>
      <c r="Q159">
        <v>22</v>
      </c>
      <c r="R159">
        <v>0</v>
      </c>
      <c r="S159">
        <v>0</v>
      </c>
      <c r="T159">
        <v>0</v>
      </c>
      <c r="U159">
        <v>1</v>
      </c>
      <c r="V159">
        <v>1</v>
      </c>
      <c r="W159" t="s">
        <v>52</v>
      </c>
      <c r="X159">
        <v>1</v>
      </c>
      <c r="Y159">
        <v>0</v>
      </c>
      <c r="Z159">
        <f t="shared" si="12"/>
        <v>100</v>
      </c>
      <c r="AA159">
        <f t="shared" si="13"/>
        <v>2.0606060606060606</v>
      </c>
      <c r="AB159">
        <f t="shared" si="14"/>
        <v>8</v>
      </c>
      <c r="AC159" t="str">
        <f t="shared" si="15"/>
        <v>Low</v>
      </c>
      <c r="AD159" t="str">
        <f t="shared" si="16"/>
        <v>Upsell premium bundle</v>
      </c>
      <c r="AE159">
        <f t="shared" si="17"/>
        <v>0</v>
      </c>
    </row>
    <row r="160" spans="1:31" x14ac:dyDescent="0.35">
      <c r="A160" t="s">
        <v>218</v>
      </c>
      <c r="B160" s="4">
        <v>46025</v>
      </c>
      <c r="C160" s="4">
        <v>46143</v>
      </c>
      <c r="D160" t="s">
        <v>60</v>
      </c>
      <c r="E160">
        <v>19</v>
      </c>
      <c r="F160" t="s">
        <v>61</v>
      </c>
      <c r="G160" t="s">
        <v>40</v>
      </c>
      <c r="H160" t="s">
        <v>41</v>
      </c>
      <c r="I160" t="s">
        <v>49</v>
      </c>
      <c r="J160">
        <v>3</v>
      </c>
      <c r="K160" s="5">
        <v>3021.72</v>
      </c>
      <c r="L160" s="5">
        <v>4505.8100000000004</v>
      </c>
      <c r="M160">
        <v>18</v>
      </c>
      <c r="N160">
        <v>10</v>
      </c>
      <c r="O160">
        <v>3</v>
      </c>
      <c r="P160">
        <v>0</v>
      </c>
      <c r="Q160">
        <v>21</v>
      </c>
      <c r="R160">
        <v>0</v>
      </c>
      <c r="S160">
        <v>0</v>
      </c>
      <c r="T160">
        <v>1</v>
      </c>
      <c r="U160">
        <v>0</v>
      </c>
      <c r="V160">
        <v>0</v>
      </c>
      <c r="W160" t="s">
        <v>50</v>
      </c>
      <c r="X160">
        <v>36</v>
      </c>
      <c r="Y160">
        <v>1</v>
      </c>
      <c r="Z160">
        <f t="shared" si="12"/>
        <v>49</v>
      </c>
      <c r="AA160">
        <f t="shared" si="13"/>
        <v>1.1818181818181819</v>
      </c>
      <c r="AB160">
        <f t="shared" si="14"/>
        <v>26</v>
      </c>
      <c r="AC160" t="str">
        <f t="shared" si="15"/>
        <v>Low</v>
      </c>
      <c r="AD160" t="str">
        <f t="shared" si="16"/>
        <v>Upsell premium bundle</v>
      </c>
      <c r="AE160">
        <f t="shared" si="17"/>
        <v>51</v>
      </c>
    </row>
    <row r="161" spans="1:31" x14ac:dyDescent="0.35">
      <c r="A161" t="s">
        <v>219</v>
      </c>
      <c r="B161" s="4">
        <v>45989</v>
      </c>
      <c r="C161" s="4">
        <v>46143</v>
      </c>
      <c r="D161" t="s">
        <v>47</v>
      </c>
      <c r="E161">
        <v>62</v>
      </c>
      <c r="F161" t="s">
        <v>57</v>
      </c>
      <c r="G161" t="s">
        <v>34</v>
      </c>
      <c r="H161" t="s">
        <v>58</v>
      </c>
      <c r="I161" t="s">
        <v>36</v>
      </c>
      <c r="J161">
        <v>5</v>
      </c>
      <c r="K161" s="5">
        <v>1577.33</v>
      </c>
      <c r="L161" s="5">
        <v>228.59</v>
      </c>
      <c r="M161">
        <v>19</v>
      </c>
      <c r="N161">
        <v>5</v>
      </c>
      <c r="O161">
        <v>1</v>
      </c>
      <c r="P161">
        <v>0</v>
      </c>
      <c r="Q161">
        <v>14</v>
      </c>
      <c r="R161">
        <v>0</v>
      </c>
      <c r="S161">
        <v>0</v>
      </c>
      <c r="T161">
        <v>1</v>
      </c>
      <c r="U161">
        <v>1</v>
      </c>
      <c r="V161">
        <v>1</v>
      </c>
      <c r="W161" t="s">
        <v>50</v>
      </c>
      <c r="X161">
        <v>3</v>
      </c>
      <c r="Y161">
        <v>1</v>
      </c>
      <c r="Z161">
        <f t="shared" si="12"/>
        <v>53</v>
      </c>
      <c r="AA161">
        <f t="shared" si="13"/>
        <v>0.94285714285714284</v>
      </c>
      <c r="AB161">
        <f t="shared" si="14"/>
        <v>25</v>
      </c>
      <c r="AC161" t="str">
        <f t="shared" si="15"/>
        <v>Low</v>
      </c>
      <c r="AD161" t="str">
        <f t="shared" si="16"/>
        <v>Upsell premium bundle</v>
      </c>
      <c r="AE161">
        <f t="shared" si="17"/>
        <v>47</v>
      </c>
    </row>
    <row r="162" spans="1:31" x14ac:dyDescent="0.35">
      <c r="A162" t="s">
        <v>220</v>
      </c>
      <c r="B162" s="4">
        <v>45606</v>
      </c>
      <c r="C162" s="4">
        <v>46143</v>
      </c>
      <c r="D162" t="s">
        <v>66</v>
      </c>
      <c r="E162">
        <v>62</v>
      </c>
      <c r="F162" t="s">
        <v>33</v>
      </c>
      <c r="G162" t="s">
        <v>34</v>
      </c>
      <c r="H162" t="s">
        <v>41</v>
      </c>
      <c r="I162" t="s">
        <v>36</v>
      </c>
      <c r="J162">
        <v>17</v>
      </c>
      <c r="K162" s="5">
        <v>407.87</v>
      </c>
      <c r="L162" s="5">
        <v>321.33999999999997</v>
      </c>
      <c r="M162">
        <v>9</v>
      </c>
      <c r="N162">
        <v>4</v>
      </c>
      <c r="O162">
        <v>1</v>
      </c>
      <c r="P162">
        <v>1</v>
      </c>
      <c r="Q162">
        <v>13</v>
      </c>
      <c r="R162">
        <v>2</v>
      </c>
      <c r="S162">
        <v>2</v>
      </c>
      <c r="T162">
        <v>0</v>
      </c>
      <c r="U162">
        <v>0</v>
      </c>
      <c r="V162">
        <v>0</v>
      </c>
      <c r="W162" t="s">
        <v>37</v>
      </c>
      <c r="X162">
        <v>44</v>
      </c>
      <c r="Y162">
        <v>1</v>
      </c>
      <c r="Z162">
        <f t="shared" si="12"/>
        <v>27</v>
      </c>
      <c r="AA162">
        <f t="shared" si="13"/>
        <v>0.46808510638297873</v>
      </c>
      <c r="AB162">
        <f t="shared" si="14"/>
        <v>38</v>
      </c>
      <c r="AC162" t="str">
        <f t="shared" si="15"/>
        <v>Low</v>
      </c>
      <c r="AD162" t="str">
        <f t="shared" si="16"/>
        <v>Upsell premium bundle</v>
      </c>
      <c r="AE162">
        <f t="shared" si="17"/>
        <v>73</v>
      </c>
    </row>
    <row r="163" spans="1:31" x14ac:dyDescent="0.35">
      <c r="A163" t="s">
        <v>221</v>
      </c>
      <c r="B163" s="4">
        <v>46071</v>
      </c>
      <c r="C163" s="4">
        <v>46143</v>
      </c>
      <c r="D163" t="s">
        <v>39</v>
      </c>
      <c r="E163">
        <v>34</v>
      </c>
      <c r="F163" t="s">
        <v>57</v>
      </c>
      <c r="G163" t="s">
        <v>40</v>
      </c>
      <c r="H163" t="s">
        <v>41</v>
      </c>
      <c r="I163" t="s">
        <v>54</v>
      </c>
      <c r="J163">
        <v>2</v>
      </c>
      <c r="K163" s="5">
        <v>222</v>
      </c>
      <c r="L163" s="5">
        <v>1331.88</v>
      </c>
      <c r="M163">
        <v>8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 t="s">
        <v>55</v>
      </c>
      <c r="X163">
        <v>3</v>
      </c>
      <c r="Y163">
        <v>1</v>
      </c>
      <c r="Z163">
        <f t="shared" si="12"/>
        <v>20</v>
      </c>
      <c r="AA163">
        <f t="shared" si="13"/>
        <v>0.25</v>
      </c>
      <c r="AB163">
        <f t="shared" si="14"/>
        <v>73</v>
      </c>
      <c r="AC163" t="str">
        <f t="shared" si="15"/>
        <v>High</v>
      </c>
      <c r="AD163" t="str">
        <f t="shared" si="16"/>
        <v>Re-engage with app usage offer</v>
      </c>
      <c r="AE163">
        <f t="shared" si="17"/>
        <v>80</v>
      </c>
    </row>
    <row r="164" spans="1:31" x14ac:dyDescent="0.35">
      <c r="A164" t="s">
        <v>222</v>
      </c>
      <c r="B164" s="4">
        <v>45460</v>
      </c>
      <c r="C164" s="4">
        <v>46143</v>
      </c>
      <c r="D164" t="s">
        <v>72</v>
      </c>
      <c r="E164">
        <v>31</v>
      </c>
      <c r="F164" t="s">
        <v>33</v>
      </c>
      <c r="G164" t="s">
        <v>34</v>
      </c>
      <c r="H164" t="s">
        <v>58</v>
      </c>
      <c r="I164" t="s">
        <v>36</v>
      </c>
      <c r="J164">
        <v>22</v>
      </c>
      <c r="K164" s="5">
        <v>926.84</v>
      </c>
      <c r="L164" s="5">
        <v>587.91999999999996</v>
      </c>
      <c r="M164">
        <v>42</v>
      </c>
      <c r="N164">
        <v>13</v>
      </c>
      <c r="O164">
        <v>4</v>
      </c>
      <c r="P164">
        <v>1</v>
      </c>
      <c r="Q164">
        <v>16</v>
      </c>
      <c r="R164">
        <v>2</v>
      </c>
      <c r="S164">
        <v>1</v>
      </c>
      <c r="T164">
        <v>1</v>
      </c>
      <c r="U164">
        <v>0</v>
      </c>
      <c r="V164">
        <v>1</v>
      </c>
      <c r="W164" t="s">
        <v>55</v>
      </c>
      <c r="X164">
        <v>-25</v>
      </c>
      <c r="Y164">
        <v>0</v>
      </c>
      <c r="Z164">
        <f t="shared" si="12"/>
        <v>83</v>
      </c>
      <c r="AA164">
        <f t="shared" si="13"/>
        <v>1.1153846153846154</v>
      </c>
      <c r="AB164">
        <f t="shared" si="14"/>
        <v>32</v>
      </c>
      <c r="AC164" t="str">
        <f t="shared" si="15"/>
        <v>Low</v>
      </c>
      <c r="AD164" t="str">
        <f t="shared" si="16"/>
        <v>Upsell premium bundle</v>
      </c>
      <c r="AE164">
        <f t="shared" si="17"/>
        <v>17</v>
      </c>
    </row>
    <row r="165" spans="1:31" x14ac:dyDescent="0.35">
      <c r="A165" t="s">
        <v>223</v>
      </c>
      <c r="B165" s="4">
        <v>45068</v>
      </c>
      <c r="C165" s="4">
        <v>46143</v>
      </c>
      <c r="D165" t="s">
        <v>47</v>
      </c>
      <c r="E165">
        <v>66</v>
      </c>
      <c r="F165" t="s">
        <v>77</v>
      </c>
      <c r="G165" t="s">
        <v>34</v>
      </c>
      <c r="H165" t="s">
        <v>44</v>
      </c>
      <c r="I165" t="s">
        <v>36</v>
      </c>
      <c r="J165">
        <v>35</v>
      </c>
      <c r="K165" s="5">
        <v>0</v>
      </c>
      <c r="L165" s="5">
        <v>2231.27</v>
      </c>
      <c r="M165">
        <v>44</v>
      </c>
      <c r="N165">
        <v>14</v>
      </c>
      <c r="O165">
        <v>7</v>
      </c>
      <c r="P165">
        <v>1</v>
      </c>
      <c r="Q165">
        <v>47</v>
      </c>
      <c r="R165">
        <v>3</v>
      </c>
      <c r="S165">
        <v>1</v>
      </c>
      <c r="T165">
        <v>1</v>
      </c>
      <c r="U165">
        <v>1</v>
      </c>
      <c r="V165">
        <v>1</v>
      </c>
      <c r="W165" t="s">
        <v>50</v>
      </c>
      <c r="X165">
        <v>14</v>
      </c>
      <c r="Y165">
        <v>1</v>
      </c>
      <c r="Z165">
        <f t="shared" si="12"/>
        <v>100</v>
      </c>
      <c r="AA165">
        <f t="shared" si="13"/>
        <v>1.4</v>
      </c>
      <c r="AB165">
        <f t="shared" si="14"/>
        <v>0</v>
      </c>
      <c r="AC165" t="str">
        <f t="shared" si="15"/>
        <v>Low</v>
      </c>
      <c r="AD165" t="str">
        <f t="shared" si="16"/>
        <v>Upsell premium bundle</v>
      </c>
      <c r="AE165">
        <f t="shared" si="17"/>
        <v>0</v>
      </c>
    </row>
    <row r="166" spans="1:31" x14ac:dyDescent="0.35">
      <c r="A166" t="s">
        <v>224</v>
      </c>
      <c r="B166" s="4">
        <v>45794</v>
      </c>
      <c r="C166" s="4">
        <v>46143</v>
      </c>
      <c r="D166" t="s">
        <v>47</v>
      </c>
      <c r="E166">
        <v>37</v>
      </c>
      <c r="F166" t="s">
        <v>33</v>
      </c>
      <c r="G166" t="s">
        <v>40</v>
      </c>
      <c r="H166" t="s">
        <v>41</v>
      </c>
      <c r="I166" t="s">
        <v>36</v>
      </c>
      <c r="J166">
        <v>11</v>
      </c>
      <c r="K166" s="5">
        <v>0</v>
      </c>
      <c r="L166" s="5">
        <v>96.92</v>
      </c>
      <c r="M166">
        <v>25</v>
      </c>
      <c r="N166">
        <v>11</v>
      </c>
      <c r="O166">
        <v>1</v>
      </c>
      <c r="P166">
        <v>3</v>
      </c>
      <c r="Q166">
        <v>7</v>
      </c>
      <c r="R166">
        <v>0</v>
      </c>
      <c r="S166">
        <v>1</v>
      </c>
      <c r="T166">
        <v>1</v>
      </c>
      <c r="U166">
        <v>1</v>
      </c>
      <c r="V166">
        <v>0</v>
      </c>
      <c r="W166" t="s">
        <v>45</v>
      </c>
      <c r="X166">
        <v>68</v>
      </c>
      <c r="Y166">
        <v>1</v>
      </c>
      <c r="Z166">
        <f t="shared" si="12"/>
        <v>55</v>
      </c>
      <c r="AA166">
        <f t="shared" si="13"/>
        <v>0.78048780487804881</v>
      </c>
      <c r="AB166">
        <f t="shared" si="14"/>
        <v>10</v>
      </c>
      <c r="AC166" t="str">
        <f t="shared" si="15"/>
        <v>Low</v>
      </c>
      <c r="AD166" t="str">
        <f t="shared" si="16"/>
        <v>Upsell premium bundle</v>
      </c>
      <c r="AE166">
        <f t="shared" si="17"/>
        <v>45</v>
      </c>
    </row>
    <row r="167" spans="1:31" x14ac:dyDescent="0.35">
      <c r="A167" t="s">
        <v>225</v>
      </c>
      <c r="B167" s="4">
        <v>45686</v>
      </c>
      <c r="C167" s="4">
        <v>46143</v>
      </c>
      <c r="D167" t="s">
        <v>60</v>
      </c>
      <c r="E167">
        <v>42</v>
      </c>
      <c r="F167" t="s">
        <v>77</v>
      </c>
      <c r="G167" t="s">
        <v>85</v>
      </c>
      <c r="H167" t="s">
        <v>41</v>
      </c>
      <c r="I167" t="s">
        <v>36</v>
      </c>
      <c r="J167">
        <v>15</v>
      </c>
      <c r="K167" s="5">
        <v>10948.74</v>
      </c>
      <c r="L167" s="5">
        <v>3010.3</v>
      </c>
      <c r="M167">
        <v>11</v>
      </c>
      <c r="N167">
        <v>5</v>
      </c>
      <c r="O167">
        <v>2</v>
      </c>
      <c r="P167">
        <v>2</v>
      </c>
      <c r="Q167">
        <v>8</v>
      </c>
      <c r="R167">
        <v>2</v>
      </c>
      <c r="S167">
        <v>2</v>
      </c>
      <c r="T167">
        <v>1</v>
      </c>
      <c r="U167">
        <v>0</v>
      </c>
      <c r="V167">
        <v>1</v>
      </c>
      <c r="W167" t="s">
        <v>37</v>
      </c>
      <c r="X167">
        <v>30</v>
      </c>
      <c r="Y167">
        <v>1</v>
      </c>
      <c r="Z167">
        <f t="shared" si="12"/>
        <v>35</v>
      </c>
      <c r="AA167">
        <f t="shared" si="13"/>
        <v>0.42222222222222222</v>
      </c>
      <c r="AB167">
        <f t="shared" si="14"/>
        <v>32</v>
      </c>
      <c r="AC167" t="str">
        <f t="shared" si="15"/>
        <v>Low</v>
      </c>
      <c r="AD167" t="str">
        <f t="shared" si="16"/>
        <v>Upsell premium bundle</v>
      </c>
      <c r="AE167">
        <f t="shared" si="17"/>
        <v>65</v>
      </c>
    </row>
    <row r="168" spans="1:31" x14ac:dyDescent="0.35">
      <c r="A168" t="s">
        <v>226</v>
      </c>
      <c r="B168" s="4">
        <v>45367</v>
      </c>
      <c r="C168" s="4">
        <v>46143</v>
      </c>
      <c r="D168" t="s">
        <v>32</v>
      </c>
      <c r="E168">
        <v>22</v>
      </c>
      <c r="F168" t="s">
        <v>33</v>
      </c>
      <c r="G168" t="s">
        <v>85</v>
      </c>
      <c r="H168" t="s">
        <v>41</v>
      </c>
      <c r="I168" t="s">
        <v>36</v>
      </c>
      <c r="J168">
        <v>25</v>
      </c>
      <c r="K168" s="5">
        <v>123.6</v>
      </c>
      <c r="L168" s="5">
        <v>231.76</v>
      </c>
      <c r="M168">
        <v>33</v>
      </c>
      <c r="N168">
        <v>9</v>
      </c>
      <c r="O168">
        <v>5</v>
      </c>
      <c r="P168">
        <v>2</v>
      </c>
      <c r="Q168">
        <v>23</v>
      </c>
      <c r="R168">
        <v>4</v>
      </c>
      <c r="S168">
        <v>3</v>
      </c>
      <c r="T168">
        <v>0</v>
      </c>
      <c r="U168">
        <v>1</v>
      </c>
      <c r="V168">
        <v>0</v>
      </c>
      <c r="W168" t="s">
        <v>50</v>
      </c>
      <c r="X168">
        <v>5</v>
      </c>
      <c r="Y168">
        <v>1</v>
      </c>
      <c r="Z168">
        <f t="shared" si="12"/>
        <v>80</v>
      </c>
      <c r="AA168">
        <f t="shared" si="13"/>
        <v>1.0181818181818181</v>
      </c>
      <c r="AB168">
        <f t="shared" si="14"/>
        <v>42</v>
      </c>
      <c r="AC168" t="str">
        <f t="shared" si="15"/>
        <v>Medium</v>
      </c>
      <c r="AD168" t="str">
        <f t="shared" si="16"/>
        <v>Nudge core feature adoption</v>
      </c>
      <c r="AE168">
        <f t="shared" si="17"/>
        <v>20</v>
      </c>
    </row>
    <row r="169" spans="1:31" x14ac:dyDescent="0.35">
      <c r="A169" t="s">
        <v>227</v>
      </c>
      <c r="B169" s="4">
        <v>45403</v>
      </c>
      <c r="C169" s="4">
        <v>46143</v>
      </c>
      <c r="D169" t="s">
        <v>66</v>
      </c>
      <c r="E169">
        <v>36</v>
      </c>
      <c r="F169" t="s">
        <v>33</v>
      </c>
      <c r="G169" t="s">
        <v>40</v>
      </c>
      <c r="H169" t="s">
        <v>44</v>
      </c>
      <c r="I169" t="s">
        <v>36</v>
      </c>
      <c r="J169">
        <v>24</v>
      </c>
      <c r="K169" s="5">
        <v>369.81</v>
      </c>
      <c r="L169" s="5">
        <v>183.94</v>
      </c>
      <c r="M169">
        <v>23</v>
      </c>
      <c r="N169">
        <v>6</v>
      </c>
      <c r="O169">
        <v>2</v>
      </c>
      <c r="P169">
        <v>4</v>
      </c>
      <c r="Q169">
        <v>9</v>
      </c>
      <c r="R169">
        <v>0</v>
      </c>
      <c r="S169">
        <v>0</v>
      </c>
      <c r="T169">
        <v>1</v>
      </c>
      <c r="U169">
        <v>0</v>
      </c>
      <c r="V169">
        <v>1</v>
      </c>
      <c r="W169" t="s">
        <v>50</v>
      </c>
      <c r="X169">
        <v>77</v>
      </c>
      <c r="Y169">
        <v>0</v>
      </c>
      <c r="Z169">
        <f t="shared" si="12"/>
        <v>53</v>
      </c>
      <c r="AA169">
        <f t="shared" si="13"/>
        <v>0.59259259259259256</v>
      </c>
      <c r="AB169">
        <f t="shared" si="14"/>
        <v>0</v>
      </c>
      <c r="AC169" t="str">
        <f t="shared" si="15"/>
        <v>Low</v>
      </c>
      <c r="AD169" t="str">
        <f t="shared" si="16"/>
        <v>Upsell premium bundle</v>
      </c>
      <c r="AE169">
        <f t="shared" si="17"/>
        <v>47</v>
      </c>
    </row>
    <row r="170" spans="1:31" x14ac:dyDescent="0.35">
      <c r="A170" t="s">
        <v>228</v>
      </c>
      <c r="B170" s="4">
        <v>45345</v>
      </c>
      <c r="C170" s="4">
        <v>46143</v>
      </c>
      <c r="D170" t="s">
        <v>47</v>
      </c>
      <c r="E170">
        <v>51</v>
      </c>
      <c r="F170" t="s">
        <v>33</v>
      </c>
      <c r="G170" t="s">
        <v>48</v>
      </c>
      <c r="H170" t="s">
        <v>35</v>
      </c>
      <c r="I170" t="s">
        <v>36</v>
      </c>
      <c r="J170">
        <v>26</v>
      </c>
      <c r="K170" s="5">
        <v>334.49</v>
      </c>
      <c r="L170" s="5">
        <v>247.16</v>
      </c>
      <c r="M170">
        <v>28</v>
      </c>
      <c r="N170">
        <v>20</v>
      </c>
      <c r="O170">
        <v>8</v>
      </c>
      <c r="P170">
        <v>1</v>
      </c>
      <c r="Q170">
        <v>27</v>
      </c>
      <c r="R170">
        <v>1</v>
      </c>
      <c r="S170">
        <v>0</v>
      </c>
      <c r="T170">
        <v>1</v>
      </c>
      <c r="U170">
        <v>0</v>
      </c>
      <c r="V170">
        <v>1</v>
      </c>
      <c r="W170" t="s">
        <v>55</v>
      </c>
      <c r="X170">
        <v>30</v>
      </c>
      <c r="Y170">
        <v>0</v>
      </c>
      <c r="Z170">
        <f t="shared" si="12"/>
        <v>87</v>
      </c>
      <c r="AA170">
        <f t="shared" si="13"/>
        <v>0.9821428571428571</v>
      </c>
      <c r="AB170">
        <f t="shared" si="14"/>
        <v>0</v>
      </c>
      <c r="AC170" t="str">
        <f t="shared" si="15"/>
        <v>Low</v>
      </c>
      <c r="AD170" t="str">
        <f t="shared" si="16"/>
        <v>Upsell premium bundle</v>
      </c>
      <c r="AE170">
        <f t="shared" si="17"/>
        <v>13</v>
      </c>
    </row>
    <row r="171" spans="1:31" x14ac:dyDescent="0.35">
      <c r="A171" t="s">
        <v>229</v>
      </c>
      <c r="B171" s="4">
        <v>45337</v>
      </c>
      <c r="C171" s="4">
        <v>46143</v>
      </c>
      <c r="D171" t="s">
        <v>72</v>
      </c>
      <c r="E171">
        <v>37</v>
      </c>
      <c r="F171" t="s">
        <v>57</v>
      </c>
      <c r="G171" t="s">
        <v>48</v>
      </c>
      <c r="H171" t="s">
        <v>41</v>
      </c>
      <c r="I171" t="s">
        <v>36</v>
      </c>
      <c r="J171">
        <v>26</v>
      </c>
      <c r="K171" s="5">
        <v>1320.16</v>
      </c>
      <c r="L171" s="5">
        <v>462.86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0</v>
      </c>
      <c r="T171">
        <v>1</v>
      </c>
      <c r="U171">
        <v>0</v>
      </c>
      <c r="V171">
        <v>0</v>
      </c>
      <c r="W171" t="s">
        <v>45</v>
      </c>
      <c r="X171">
        <v>-8</v>
      </c>
      <c r="Y171">
        <v>1</v>
      </c>
      <c r="Z171">
        <f t="shared" si="12"/>
        <v>0</v>
      </c>
      <c r="AA171">
        <f t="shared" si="13"/>
        <v>0</v>
      </c>
      <c r="AB171">
        <f t="shared" si="14"/>
        <v>58</v>
      </c>
      <c r="AC171" t="str">
        <f t="shared" si="15"/>
        <v>Medium</v>
      </c>
      <c r="AD171" t="str">
        <f t="shared" si="16"/>
        <v>Nudge core feature adoption</v>
      </c>
      <c r="AE171">
        <f t="shared" si="17"/>
        <v>100</v>
      </c>
    </row>
    <row r="172" spans="1:31" x14ac:dyDescent="0.35">
      <c r="A172" t="s">
        <v>230</v>
      </c>
      <c r="B172" s="4">
        <v>45103</v>
      </c>
      <c r="C172" s="4">
        <v>46143</v>
      </c>
      <c r="D172" t="s">
        <v>66</v>
      </c>
      <c r="E172">
        <v>25</v>
      </c>
      <c r="F172" t="s">
        <v>61</v>
      </c>
      <c r="G172" t="s">
        <v>85</v>
      </c>
      <c r="H172" t="s">
        <v>44</v>
      </c>
      <c r="I172" t="s">
        <v>54</v>
      </c>
      <c r="J172">
        <v>34</v>
      </c>
      <c r="K172" s="5">
        <v>5087.63</v>
      </c>
      <c r="L172" s="5">
        <v>1981.33</v>
      </c>
      <c r="M172">
        <v>27</v>
      </c>
      <c r="N172">
        <v>13</v>
      </c>
      <c r="O172">
        <v>4</v>
      </c>
      <c r="P172">
        <v>5</v>
      </c>
      <c r="Q172">
        <v>20</v>
      </c>
      <c r="R172">
        <v>0</v>
      </c>
      <c r="S172">
        <v>0</v>
      </c>
      <c r="T172">
        <v>1</v>
      </c>
      <c r="U172">
        <v>1</v>
      </c>
      <c r="V172">
        <v>1</v>
      </c>
      <c r="W172" t="s">
        <v>55</v>
      </c>
      <c r="X172">
        <v>43</v>
      </c>
      <c r="Y172">
        <v>0</v>
      </c>
      <c r="Z172">
        <f t="shared" si="12"/>
        <v>84</v>
      </c>
      <c r="AA172">
        <f t="shared" si="13"/>
        <v>0.734375</v>
      </c>
      <c r="AB172">
        <f t="shared" si="14"/>
        <v>0</v>
      </c>
      <c r="AC172" t="str">
        <f t="shared" si="15"/>
        <v>Low</v>
      </c>
      <c r="AD172" t="str">
        <f t="shared" si="16"/>
        <v>Upsell premium bundle</v>
      </c>
      <c r="AE172">
        <f t="shared" si="17"/>
        <v>16</v>
      </c>
    </row>
    <row r="173" spans="1:31" x14ac:dyDescent="0.35">
      <c r="A173" t="s">
        <v>231</v>
      </c>
      <c r="B173" s="4">
        <v>45706</v>
      </c>
      <c r="C173" s="4">
        <v>46143</v>
      </c>
      <c r="D173" t="s">
        <v>39</v>
      </c>
      <c r="E173">
        <v>19</v>
      </c>
      <c r="F173" t="s">
        <v>57</v>
      </c>
      <c r="G173" t="s">
        <v>48</v>
      </c>
      <c r="H173" t="s">
        <v>41</v>
      </c>
      <c r="I173" t="s">
        <v>36</v>
      </c>
      <c r="J173">
        <v>14</v>
      </c>
      <c r="K173" s="5">
        <v>2941.28</v>
      </c>
      <c r="L173" s="5">
        <v>562.97</v>
      </c>
      <c r="M173">
        <v>6</v>
      </c>
      <c r="N173">
        <v>3</v>
      </c>
      <c r="O173">
        <v>1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0</v>
      </c>
      <c r="V173">
        <v>0</v>
      </c>
      <c r="W173" t="s">
        <v>45</v>
      </c>
      <c r="X173">
        <v>78</v>
      </c>
      <c r="Y173">
        <v>0</v>
      </c>
      <c r="Z173">
        <f t="shared" si="12"/>
        <v>12</v>
      </c>
      <c r="AA173">
        <f t="shared" si="13"/>
        <v>0.18181818181818182</v>
      </c>
      <c r="AB173">
        <f t="shared" si="14"/>
        <v>14</v>
      </c>
      <c r="AC173" t="str">
        <f t="shared" si="15"/>
        <v>Low</v>
      </c>
      <c r="AD173" t="str">
        <f t="shared" si="16"/>
        <v>Upsell premium bundle</v>
      </c>
      <c r="AE173">
        <f t="shared" si="17"/>
        <v>88</v>
      </c>
    </row>
    <row r="174" spans="1:31" x14ac:dyDescent="0.35">
      <c r="A174" t="s">
        <v>232</v>
      </c>
      <c r="B174" s="4">
        <v>45588</v>
      </c>
      <c r="C174" s="4">
        <v>46143</v>
      </c>
      <c r="D174" t="s">
        <v>32</v>
      </c>
      <c r="E174">
        <v>62</v>
      </c>
      <c r="F174" t="s">
        <v>57</v>
      </c>
      <c r="G174" t="s">
        <v>40</v>
      </c>
      <c r="H174" t="s">
        <v>44</v>
      </c>
      <c r="I174" t="s">
        <v>49</v>
      </c>
      <c r="J174">
        <v>18</v>
      </c>
      <c r="K174" s="5">
        <v>1555.47</v>
      </c>
      <c r="L174" s="5">
        <v>160.13</v>
      </c>
      <c r="M174">
        <v>42</v>
      </c>
      <c r="N174">
        <v>20</v>
      </c>
      <c r="O174">
        <v>8</v>
      </c>
      <c r="P174">
        <v>1</v>
      </c>
      <c r="Q174">
        <v>31</v>
      </c>
      <c r="R174">
        <v>2</v>
      </c>
      <c r="S174">
        <v>0</v>
      </c>
      <c r="T174">
        <v>1</v>
      </c>
      <c r="U174">
        <v>0</v>
      </c>
      <c r="V174">
        <v>1</v>
      </c>
      <c r="W174" t="s">
        <v>37</v>
      </c>
      <c r="X174">
        <v>61</v>
      </c>
      <c r="Y174">
        <v>0</v>
      </c>
      <c r="Z174">
        <f t="shared" si="12"/>
        <v>100</v>
      </c>
      <c r="AA174">
        <f t="shared" si="13"/>
        <v>1.5208333333333333</v>
      </c>
      <c r="AB174">
        <f t="shared" si="14"/>
        <v>0</v>
      </c>
      <c r="AC174" t="str">
        <f t="shared" si="15"/>
        <v>Low</v>
      </c>
      <c r="AD174" t="str">
        <f t="shared" si="16"/>
        <v>Upsell premium bundle</v>
      </c>
      <c r="AE174">
        <f t="shared" si="17"/>
        <v>0</v>
      </c>
    </row>
    <row r="175" spans="1:31" x14ac:dyDescent="0.35">
      <c r="A175" t="s">
        <v>233</v>
      </c>
      <c r="B175" s="4">
        <v>45974</v>
      </c>
      <c r="C175" s="4">
        <v>46143</v>
      </c>
      <c r="D175" t="s">
        <v>60</v>
      </c>
      <c r="E175">
        <v>20</v>
      </c>
      <c r="F175" t="s">
        <v>57</v>
      </c>
      <c r="G175" t="s">
        <v>67</v>
      </c>
      <c r="H175" t="s">
        <v>58</v>
      </c>
      <c r="I175" t="s">
        <v>36</v>
      </c>
      <c r="J175">
        <v>5</v>
      </c>
      <c r="K175" s="5">
        <v>633.67999999999995</v>
      </c>
      <c r="L175" s="5">
        <v>305.29000000000002</v>
      </c>
      <c r="M175">
        <v>25</v>
      </c>
      <c r="N175">
        <v>15</v>
      </c>
      <c r="O175">
        <v>6</v>
      </c>
      <c r="P175">
        <v>4</v>
      </c>
      <c r="Q175">
        <v>26</v>
      </c>
      <c r="R175">
        <v>4</v>
      </c>
      <c r="S175">
        <v>1</v>
      </c>
      <c r="T175">
        <v>0</v>
      </c>
      <c r="U175">
        <v>1</v>
      </c>
      <c r="V175">
        <v>1</v>
      </c>
      <c r="W175" t="s">
        <v>52</v>
      </c>
      <c r="X175">
        <v>-37</v>
      </c>
      <c r="Y175">
        <v>1</v>
      </c>
      <c r="Z175">
        <f t="shared" si="12"/>
        <v>89</v>
      </c>
      <c r="AA175">
        <f t="shared" si="13"/>
        <v>1.4571428571428571</v>
      </c>
      <c r="AB175">
        <f t="shared" si="14"/>
        <v>33</v>
      </c>
      <c r="AC175" t="str">
        <f t="shared" si="15"/>
        <v>Low</v>
      </c>
      <c r="AD175" t="str">
        <f t="shared" si="16"/>
        <v>Upsell premium bundle</v>
      </c>
      <c r="AE175">
        <f t="shared" si="17"/>
        <v>11</v>
      </c>
    </row>
    <row r="176" spans="1:31" x14ac:dyDescent="0.35">
      <c r="A176" t="s">
        <v>234</v>
      </c>
      <c r="B176" s="4">
        <v>45294</v>
      </c>
      <c r="C176" s="4">
        <v>46143</v>
      </c>
      <c r="D176" t="s">
        <v>60</v>
      </c>
      <c r="E176">
        <v>68</v>
      </c>
      <c r="F176" t="s">
        <v>43</v>
      </c>
      <c r="G176" t="s">
        <v>67</v>
      </c>
      <c r="H176" t="s">
        <v>41</v>
      </c>
      <c r="I176" t="s">
        <v>49</v>
      </c>
      <c r="J176">
        <v>28</v>
      </c>
      <c r="K176" s="5">
        <v>96.97</v>
      </c>
      <c r="L176" s="5">
        <v>8.5299999999999994</v>
      </c>
      <c r="M176">
        <v>20</v>
      </c>
      <c r="N176">
        <v>12</v>
      </c>
      <c r="O176">
        <v>4</v>
      </c>
      <c r="P176">
        <v>2</v>
      </c>
      <c r="Q176">
        <v>12</v>
      </c>
      <c r="R176">
        <v>0</v>
      </c>
      <c r="S176">
        <v>3</v>
      </c>
      <c r="T176">
        <v>1</v>
      </c>
      <c r="U176">
        <v>0</v>
      </c>
      <c r="V176">
        <v>1</v>
      </c>
      <c r="W176" t="s">
        <v>52</v>
      </c>
      <c r="X176">
        <v>43</v>
      </c>
      <c r="Y176">
        <v>1</v>
      </c>
      <c r="Z176">
        <f t="shared" si="12"/>
        <v>56</v>
      </c>
      <c r="AA176">
        <f t="shared" si="13"/>
        <v>0.55172413793103448</v>
      </c>
      <c r="AB176">
        <f t="shared" si="14"/>
        <v>54</v>
      </c>
      <c r="AC176" t="str">
        <f t="shared" si="15"/>
        <v>Medium</v>
      </c>
      <c r="AD176" t="str">
        <f t="shared" si="16"/>
        <v>Nudge core feature adoption</v>
      </c>
      <c r="AE176">
        <f t="shared" si="17"/>
        <v>44</v>
      </c>
    </row>
    <row r="177" spans="1:31" x14ac:dyDescent="0.35">
      <c r="A177" t="s">
        <v>235</v>
      </c>
      <c r="B177" s="4">
        <v>45044</v>
      </c>
      <c r="C177" s="4">
        <v>46143</v>
      </c>
      <c r="D177" t="s">
        <v>60</v>
      </c>
      <c r="E177">
        <v>44</v>
      </c>
      <c r="F177" t="s">
        <v>57</v>
      </c>
      <c r="G177" t="s">
        <v>34</v>
      </c>
      <c r="H177" t="s">
        <v>41</v>
      </c>
      <c r="I177" t="s">
        <v>36</v>
      </c>
      <c r="J177">
        <v>36</v>
      </c>
      <c r="K177" s="5">
        <v>274.60000000000002</v>
      </c>
      <c r="L177" s="5">
        <v>40.22</v>
      </c>
      <c r="M177">
        <v>25</v>
      </c>
      <c r="N177">
        <v>13</v>
      </c>
      <c r="O177">
        <v>2</v>
      </c>
      <c r="P177">
        <v>4</v>
      </c>
      <c r="Q177">
        <v>14</v>
      </c>
      <c r="R177">
        <v>2</v>
      </c>
      <c r="S177">
        <v>0</v>
      </c>
      <c r="T177">
        <v>0</v>
      </c>
      <c r="U177">
        <v>0</v>
      </c>
      <c r="V177">
        <v>1</v>
      </c>
      <c r="W177" t="s">
        <v>50</v>
      </c>
      <c r="X177">
        <v>16</v>
      </c>
      <c r="Y177">
        <v>0</v>
      </c>
      <c r="Z177">
        <f t="shared" si="12"/>
        <v>64</v>
      </c>
      <c r="AA177">
        <f t="shared" si="13"/>
        <v>0.59090909090909094</v>
      </c>
      <c r="AB177">
        <f t="shared" si="14"/>
        <v>21</v>
      </c>
      <c r="AC177" t="str">
        <f t="shared" si="15"/>
        <v>Low</v>
      </c>
      <c r="AD177" t="str">
        <f t="shared" si="16"/>
        <v>Upsell premium bundle</v>
      </c>
      <c r="AE177">
        <f t="shared" si="17"/>
        <v>36</v>
      </c>
    </row>
    <row r="178" spans="1:31" x14ac:dyDescent="0.35">
      <c r="A178" t="s">
        <v>236</v>
      </c>
      <c r="B178" s="4">
        <v>45820</v>
      </c>
      <c r="C178" s="4">
        <v>46143</v>
      </c>
      <c r="D178" t="s">
        <v>39</v>
      </c>
      <c r="E178">
        <v>23</v>
      </c>
      <c r="F178" t="s">
        <v>33</v>
      </c>
      <c r="G178" t="s">
        <v>34</v>
      </c>
      <c r="H178" t="s">
        <v>41</v>
      </c>
      <c r="I178" t="s">
        <v>36</v>
      </c>
      <c r="J178">
        <v>10</v>
      </c>
      <c r="K178" s="5">
        <v>437.74</v>
      </c>
      <c r="L178" s="5">
        <v>0</v>
      </c>
      <c r="M178">
        <v>32</v>
      </c>
      <c r="N178">
        <v>20</v>
      </c>
      <c r="O178">
        <v>7</v>
      </c>
      <c r="P178">
        <v>3</v>
      </c>
      <c r="Q178">
        <v>16</v>
      </c>
      <c r="R178">
        <v>0</v>
      </c>
      <c r="S178">
        <v>1</v>
      </c>
      <c r="T178">
        <v>1</v>
      </c>
      <c r="U178">
        <v>1</v>
      </c>
      <c r="V178">
        <v>0</v>
      </c>
      <c r="W178" t="s">
        <v>52</v>
      </c>
      <c r="X178">
        <v>8</v>
      </c>
      <c r="Y178">
        <v>0</v>
      </c>
      <c r="Z178">
        <f t="shared" si="12"/>
        <v>84</v>
      </c>
      <c r="AA178">
        <f t="shared" si="13"/>
        <v>1.2</v>
      </c>
      <c r="AB178">
        <f t="shared" si="14"/>
        <v>28</v>
      </c>
      <c r="AC178" t="str">
        <f t="shared" si="15"/>
        <v>Low</v>
      </c>
      <c r="AD178" t="str">
        <f t="shared" si="16"/>
        <v>Upsell premium bundle</v>
      </c>
      <c r="AE178">
        <f t="shared" si="17"/>
        <v>16</v>
      </c>
    </row>
    <row r="179" spans="1:31" x14ac:dyDescent="0.35">
      <c r="A179" t="s">
        <v>237</v>
      </c>
      <c r="B179" s="4">
        <v>45990</v>
      </c>
      <c r="C179" s="4">
        <v>46143</v>
      </c>
      <c r="D179" t="s">
        <v>60</v>
      </c>
      <c r="E179">
        <v>40</v>
      </c>
      <c r="F179" t="s">
        <v>77</v>
      </c>
      <c r="G179" t="s">
        <v>40</v>
      </c>
      <c r="H179" t="s">
        <v>35</v>
      </c>
      <c r="I179" t="s">
        <v>54</v>
      </c>
      <c r="J179">
        <v>5</v>
      </c>
      <c r="K179" s="5">
        <v>15619.07</v>
      </c>
      <c r="L179" s="5">
        <v>423.95</v>
      </c>
      <c r="M179">
        <v>43</v>
      </c>
      <c r="N179">
        <v>12</v>
      </c>
      <c r="O179">
        <v>3</v>
      </c>
      <c r="P179">
        <v>6</v>
      </c>
      <c r="Q179">
        <v>30</v>
      </c>
      <c r="R179">
        <v>0</v>
      </c>
      <c r="S179">
        <v>0</v>
      </c>
      <c r="T179">
        <v>1</v>
      </c>
      <c r="U179">
        <v>1</v>
      </c>
      <c r="V179">
        <v>0</v>
      </c>
      <c r="W179" t="s">
        <v>37</v>
      </c>
      <c r="X179">
        <v>28</v>
      </c>
      <c r="Y179">
        <v>0</v>
      </c>
      <c r="Z179">
        <f t="shared" si="12"/>
        <v>100</v>
      </c>
      <c r="AA179">
        <f t="shared" si="13"/>
        <v>2.0857142857142859</v>
      </c>
      <c r="AB179">
        <f t="shared" si="14"/>
        <v>10</v>
      </c>
      <c r="AC179" t="str">
        <f t="shared" si="15"/>
        <v>Low</v>
      </c>
      <c r="AD179" t="str">
        <f t="shared" si="16"/>
        <v>Upsell premium bundle</v>
      </c>
      <c r="AE179">
        <f t="shared" si="17"/>
        <v>0</v>
      </c>
    </row>
    <row r="180" spans="1:31" x14ac:dyDescent="0.35">
      <c r="A180" t="s">
        <v>238</v>
      </c>
      <c r="B180" s="4">
        <v>45746</v>
      </c>
      <c r="C180" s="4">
        <v>46143</v>
      </c>
      <c r="D180" t="s">
        <v>60</v>
      </c>
      <c r="E180">
        <v>31</v>
      </c>
      <c r="F180" t="s">
        <v>43</v>
      </c>
      <c r="G180" t="s">
        <v>40</v>
      </c>
      <c r="H180" t="s">
        <v>58</v>
      </c>
      <c r="I180" t="s">
        <v>36</v>
      </c>
      <c r="J180">
        <v>13</v>
      </c>
      <c r="K180" s="5">
        <v>122.78</v>
      </c>
      <c r="L180" s="5">
        <v>155.47</v>
      </c>
      <c r="M180">
        <v>35</v>
      </c>
      <c r="N180">
        <v>23</v>
      </c>
      <c r="O180">
        <v>2</v>
      </c>
      <c r="P180">
        <v>3</v>
      </c>
      <c r="Q180">
        <v>25</v>
      </c>
      <c r="R180">
        <v>3</v>
      </c>
      <c r="S180">
        <v>3</v>
      </c>
      <c r="T180">
        <v>0</v>
      </c>
      <c r="U180">
        <v>0</v>
      </c>
      <c r="V180">
        <v>0</v>
      </c>
      <c r="W180" t="s">
        <v>52</v>
      </c>
      <c r="X180">
        <v>-23</v>
      </c>
      <c r="Y180">
        <v>0</v>
      </c>
      <c r="Z180">
        <f t="shared" si="12"/>
        <v>84</v>
      </c>
      <c r="AA180">
        <f t="shared" si="13"/>
        <v>1.3953488372093024</v>
      </c>
      <c r="AB180">
        <f t="shared" si="14"/>
        <v>45</v>
      </c>
      <c r="AC180" t="str">
        <f t="shared" si="15"/>
        <v>Medium</v>
      </c>
      <c r="AD180" t="str">
        <f t="shared" si="16"/>
        <v>Nudge core feature adoption</v>
      </c>
      <c r="AE180">
        <f t="shared" si="17"/>
        <v>16</v>
      </c>
    </row>
    <row r="181" spans="1:31" x14ac:dyDescent="0.35">
      <c r="A181" t="s">
        <v>239</v>
      </c>
      <c r="B181" s="4">
        <v>44788</v>
      </c>
      <c r="C181" s="4">
        <v>46143</v>
      </c>
      <c r="D181" t="s">
        <v>47</v>
      </c>
      <c r="E181">
        <v>28</v>
      </c>
      <c r="F181" t="s">
        <v>43</v>
      </c>
      <c r="G181" t="s">
        <v>34</v>
      </c>
      <c r="H181" t="s">
        <v>41</v>
      </c>
      <c r="I181" t="s">
        <v>36</v>
      </c>
      <c r="J181">
        <v>45</v>
      </c>
      <c r="K181" s="5">
        <v>65.81</v>
      </c>
      <c r="L181" s="5">
        <v>18.18</v>
      </c>
      <c r="M181">
        <v>48</v>
      </c>
      <c r="N181">
        <v>34</v>
      </c>
      <c r="O181">
        <v>4</v>
      </c>
      <c r="P181">
        <v>9</v>
      </c>
      <c r="Q181">
        <v>37</v>
      </c>
      <c r="R181">
        <v>0</v>
      </c>
      <c r="S181">
        <v>0</v>
      </c>
      <c r="T181">
        <v>0</v>
      </c>
      <c r="U181">
        <v>1</v>
      </c>
      <c r="V181">
        <v>1</v>
      </c>
      <c r="W181" t="s">
        <v>45</v>
      </c>
      <c r="X181">
        <v>35</v>
      </c>
      <c r="Y181">
        <v>0</v>
      </c>
      <c r="Z181">
        <f t="shared" si="12"/>
        <v>100</v>
      </c>
      <c r="AA181">
        <f t="shared" si="13"/>
        <v>1.1333333333333333</v>
      </c>
      <c r="AB181">
        <f t="shared" si="14"/>
        <v>1</v>
      </c>
      <c r="AC181" t="str">
        <f t="shared" si="15"/>
        <v>Low</v>
      </c>
      <c r="AD181" t="str">
        <f t="shared" si="16"/>
        <v>Upsell premium bundle</v>
      </c>
      <c r="AE181">
        <f t="shared" si="17"/>
        <v>0</v>
      </c>
    </row>
    <row r="182" spans="1:31" x14ac:dyDescent="0.35">
      <c r="A182" t="s">
        <v>240</v>
      </c>
      <c r="B182" s="4">
        <v>45787</v>
      </c>
      <c r="C182" s="4">
        <v>46143</v>
      </c>
      <c r="D182" t="s">
        <v>47</v>
      </c>
      <c r="E182">
        <v>33</v>
      </c>
      <c r="F182" t="s">
        <v>43</v>
      </c>
      <c r="G182" t="s">
        <v>67</v>
      </c>
      <c r="H182" t="s">
        <v>41</v>
      </c>
      <c r="I182" t="s">
        <v>36</v>
      </c>
      <c r="J182">
        <v>11</v>
      </c>
      <c r="K182" s="5">
        <v>111.56</v>
      </c>
      <c r="L182" s="5">
        <v>57.2</v>
      </c>
      <c r="M182">
        <v>7</v>
      </c>
      <c r="N182">
        <v>2</v>
      </c>
      <c r="O182">
        <v>0</v>
      </c>
      <c r="P182">
        <v>0</v>
      </c>
      <c r="Q182">
        <v>6</v>
      </c>
      <c r="R182">
        <v>2</v>
      </c>
      <c r="S182">
        <v>1</v>
      </c>
      <c r="T182">
        <v>1</v>
      </c>
      <c r="U182">
        <v>1</v>
      </c>
      <c r="V182">
        <v>0</v>
      </c>
      <c r="W182" t="s">
        <v>55</v>
      </c>
      <c r="X182">
        <v>-24</v>
      </c>
      <c r="Y182">
        <v>1</v>
      </c>
      <c r="Z182">
        <f t="shared" si="12"/>
        <v>23</v>
      </c>
      <c r="AA182">
        <f t="shared" si="13"/>
        <v>0.31707317073170732</v>
      </c>
      <c r="AB182">
        <f t="shared" si="14"/>
        <v>66</v>
      </c>
      <c r="AC182" t="str">
        <f t="shared" si="15"/>
        <v>Medium</v>
      </c>
      <c r="AD182" t="str">
        <f t="shared" si="16"/>
        <v>Nudge core feature adoption</v>
      </c>
      <c r="AE182">
        <f t="shared" si="17"/>
        <v>77</v>
      </c>
    </row>
    <row r="183" spans="1:31" x14ac:dyDescent="0.35">
      <c r="A183" t="s">
        <v>241</v>
      </c>
      <c r="B183" s="4">
        <v>45173</v>
      </c>
      <c r="C183" s="4">
        <v>46143</v>
      </c>
      <c r="D183" t="s">
        <v>60</v>
      </c>
      <c r="E183">
        <v>18</v>
      </c>
      <c r="F183" t="s">
        <v>43</v>
      </c>
      <c r="G183" t="s">
        <v>34</v>
      </c>
      <c r="H183" t="s">
        <v>41</v>
      </c>
      <c r="I183" t="s">
        <v>49</v>
      </c>
      <c r="J183">
        <v>32</v>
      </c>
      <c r="K183" s="5">
        <v>93.17</v>
      </c>
      <c r="L183" s="5">
        <v>90.46</v>
      </c>
      <c r="M183">
        <v>12</v>
      </c>
      <c r="N183">
        <v>5</v>
      </c>
      <c r="O183">
        <v>2</v>
      </c>
      <c r="P183">
        <v>1</v>
      </c>
      <c r="Q183">
        <v>6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37</v>
      </c>
      <c r="X183">
        <v>0</v>
      </c>
      <c r="Y183">
        <v>0</v>
      </c>
      <c r="Z183">
        <f t="shared" si="12"/>
        <v>26</v>
      </c>
      <c r="AA183">
        <f t="shared" si="13"/>
        <v>0.29032258064516131</v>
      </c>
      <c r="AB183">
        <f t="shared" si="14"/>
        <v>64</v>
      </c>
      <c r="AC183" t="str">
        <f t="shared" si="15"/>
        <v>Medium</v>
      </c>
      <c r="AD183" t="str">
        <f t="shared" si="16"/>
        <v>Nudge core feature adoption</v>
      </c>
      <c r="AE183">
        <f t="shared" si="17"/>
        <v>74</v>
      </c>
    </row>
    <row r="184" spans="1:31" x14ac:dyDescent="0.35">
      <c r="A184" t="s">
        <v>242</v>
      </c>
      <c r="B184" s="4">
        <v>45984</v>
      </c>
      <c r="C184" s="4">
        <v>46143</v>
      </c>
      <c r="D184" t="s">
        <v>72</v>
      </c>
      <c r="E184">
        <v>22</v>
      </c>
      <c r="F184" t="s">
        <v>77</v>
      </c>
      <c r="G184" t="s">
        <v>48</v>
      </c>
      <c r="H184" t="s">
        <v>41</v>
      </c>
      <c r="I184" t="s">
        <v>36</v>
      </c>
      <c r="J184">
        <v>5</v>
      </c>
      <c r="K184" s="5">
        <v>8639.7999999999993</v>
      </c>
      <c r="L184" s="5">
        <v>10526.67</v>
      </c>
      <c r="M184">
        <v>14</v>
      </c>
      <c r="N184">
        <v>3</v>
      </c>
      <c r="O184">
        <v>2</v>
      </c>
      <c r="P184">
        <v>2</v>
      </c>
      <c r="Q184">
        <v>7</v>
      </c>
      <c r="R184">
        <v>1</v>
      </c>
      <c r="S184">
        <v>1</v>
      </c>
      <c r="T184">
        <v>1</v>
      </c>
      <c r="U184">
        <v>0</v>
      </c>
      <c r="V184">
        <v>0</v>
      </c>
      <c r="W184" t="s">
        <v>37</v>
      </c>
      <c r="X184">
        <v>34</v>
      </c>
      <c r="Y184">
        <v>1</v>
      </c>
      <c r="Z184">
        <f t="shared" si="12"/>
        <v>29</v>
      </c>
      <c r="AA184">
        <f t="shared" si="13"/>
        <v>0.6</v>
      </c>
      <c r="AB184">
        <f t="shared" si="14"/>
        <v>26</v>
      </c>
      <c r="AC184" t="str">
        <f t="shared" si="15"/>
        <v>Low</v>
      </c>
      <c r="AD184" t="str">
        <f t="shared" si="16"/>
        <v>Upsell premium bundle</v>
      </c>
      <c r="AE184">
        <f t="shared" si="17"/>
        <v>71</v>
      </c>
    </row>
    <row r="185" spans="1:31" x14ac:dyDescent="0.35">
      <c r="A185" t="s">
        <v>243</v>
      </c>
      <c r="B185" s="4">
        <v>45823</v>
      </c>
      <c r="C185" s="4">
        <v>46143</v>
      </c>
      <c r="D185" t="s">
        <v>47</v>
      </c>
      <c r="E185">
        <v>52</v>
      </c>
      <c r="F185" t="s">
        <v>33</v>
      </c>
      <c r="G185" t="s">
        <v>67</v>
      </c>
      <c r="H185" t="s">
        <v>44</v>
      </c>
      <c r="I185" t="s">
        <v>36</v>
      </c>
      <c r="J185">
        <v>10</v>
      </c>
      <c r="K185" s="5">
        <v>447.51</v>
      </c>
      <c r="L185" s="5">
        <v>54.72</v>
      </c>
      <c r="M185">
        <v>39</v>
      </c>
      <c r="N185">
        <v>23</v>
      </c>
      <c r="O185">
        <v>9</v>
      </c>
      <c r="P185">
        <v>3</v>
      </c>
      <c r="Q185">
        <v>23</v>
      </c>
      <c r="R185">
        <v>1</v>
      </c>
      <c r="S185">
        <v>0</v>
      </c>
      <c r="T185">
        <v>0</v>
      </c>
      <c r="U185">
        <v>1</v>
      </c>
      <c r="V185">
        <v>1</v>
      </c>
      <c r="W185" t="s">
        <v>37</v>
      </c>
      <c r="X185">
        <v>68</v>
      </c>
      <c r="Y185">
        <v>0</v>
      </c>
      <c r="Z185">
        <f t="shared" si="12"/>
        <v>100</v>
      </c>
      <c r="AA185">
        <f t="shared" si="13"/>
        <v>1.55</v>
      </c>
      <c r="AB185">
        <f t="shared" si="14"/>
        <v>0</v>
      </c>
      <c r="AC185" t="str">
        <f t="shared" si="15"/>
        <v>Low</v>
      </c>
      <c r="AD185" t="str">
        <f t="shared" si="16"/>
        <v>Upsell premium bundle</v>
      </c>
      <c r="AE185">
        <f t="shared" si="17"/>
        <v>0</v>
      </c>
    </row>
    <row r="186" spans="1:31" x14ac:dyDescent="0.35">
      <c r="A186" t="s">
        <v>244</v>
      </c>
      <c r="B186" s="4">
        <v>46123</v>
      </c>
      <c r="C186" s="4">
        <v>46143</v>
      </c>
      <c r="D186" t="s">
        <v>60</v>
      </c>
      <c r="E186">
        <v>45</v>
      </c>
      <c r="F186" t="s">
        <v>43</v>
      </c>
      <c r="G186" t="s">
        <v>67</v>
      </c>
      <c r="H186" t="s">
        <v>41</v>
      </c>
      <c r="I186" t="s">
        <v>36</v>
      </c>
      <c r="J186">
        <v>1</v>
      </c>
      <c r="K186" s="5">
        <v>76.5</v>
      </c>
      <c r="L186" s="5">
        <v>68.8</v>
      </c>
      <c r="M186">
        <v>45</v>
      </c>
      <c r="N186">
        <v>22</v>
      </c>
      <c r="O186">
        <v>11</v>
      </c>
      <c r="P186">
        <v>8</v>
      </c>
      <c r="Q186">
        <v>26</v>
      </c>
      <c r="R186">
        <v>1</v>
      </c>
      <c r="S186">
        <v>1</v>
      </c>
      <c r="T186">
        <v>1</v>
      </c>
      <c r="U186">
        <v>0</v>
      </c>
      <c r="V186">
        <v>1</v>
      </c>
      <c r="W186" t="s">
        <v>55</v>
      </c>
      <c r="X186">
        <v>36</v>
      </c>
      <c r="Y186">
        <v>0</v>
      </c>
      <c r="Z186">
        <f t="shared" si="12"/>
        <v>100</v>
      </c>
      <c r="AA186">
        <f t="shared" si="13"/>
        <v>2.2903225806451615</v>
      </c>
      <c r="AB186">
        <f t="shared" si="14"/>
        <v>7</v>
      </c>
      <c r="AC186" t="str">
        <f t="shared" si="15"/>
        <v>Low</v>
      </c>
      <c r="AD186" t="str">
        <f t="shared" si="16"/>
        <v>Upsell premium bundle</v>
      </c>
      <c r="AE186">
        <f t="shared" si="17"/>
        <v>0</v>
      </c>
    </row>
    <row r="187" spans="1:31" x14ac:dyDescent="0.35">
      <c r="A187" t="s">
        <v>245</v>
      </c>
      <c r="B187" s="4">
        <v>45219</v>
      </c>
      <c r="C187" s="4">
        <v>46143</v>
      </c>
      <c r="D187" t="s">
        <v>32</v>
      </c>
      <c r="E187">
        <v>63</v>
      </c>
      <c r="F187" t="s">
        <v>57</v>
      </c>
      <c r="G187" t="s">
        <v>34</v>
      </c>
      <c r="H187" t="s">
        <v>41</v>
      </c>
      <c r="I187" t="s">
        <v>36</v>
      </c>
      <c r="J187">
        <v>30</v>
      </c>
      <c r="K187" s="5">
        <v>486.62</v>
      </c>
      <c r="L187" s="5">
        <v>1102.8900000000001</v>
      </c>
      <c r="M187">
        <v>28</v>
      </c>
      <c r="N187">
        <v>20</v>
      </c>
      <c r="O187">
        <v>3</v>
      </c>
      <c r="P187">
        <v>4</v>
      </c>
      <c r="Q187">
        <v>18</v>
      </c>
      <c r="R187">
        <v>4</v>
      </c>
      <c r="S187">
        <v>1</v>
      </c>
      <c r="T187">
        <v>1</v>
      </c>
      <c r="U187">
        <v>0</v>
      </c>
      <c r="V187">
        <v>0</v>
      </c>
      <c r="W187" t="s">
        <v>37</v>
      </c>
      <c r="X187">
        <v>12</v>
      </c>
      <c r="Y187">
        <v>1</v>
      </c>
      <c r="Z187">
        <f t="shared" si="12"/>
        <v>70</v>
      </c>
      <c r="AA187">
        <f t="shared" si="13"/>
        <v>0.76666666666666672</v>
      </c>
      <c r="AB187">
        <f t="shared" si="14"/>
        <v>26</v>
      </c>
      <c r="AC187" t="str">
        <f t="shared" si="15"/>
        <v>Low</v>
      </c>
      <c r="AD187" t="str">
        <f t="shared" si="16"/>
        <v>Upsell premium bundle</v>
      </c>
      <c r="AE187">
        <f t="shared" si="17"/>
        <v>30</v>
      </c>
    </row>
    <row r="188" spans="1:31" x14ac:dyDescent="0.35">
      <c r="A188" t="s">
        <v>246</v>
      </c>
      <c r="B188" s="4">
        <v>45551</v>
      </c>
      <c r="C188" s="4">
        <v>46143</v>
      </c>
      <c r="D188" t="s">
        <v>60</v>
      </c>
      <c r="E188">
        <v>54</v>
      </c>
      <c r="F188" t="s">
        <v>43</v>
      </c>
      <c r="G188" t="s">
        <v>40</v>
      </c>
      <c r="H188" t="s">
        <v>41</v>
      </c>
      <c r="I188" t="s">
        <v>36</v>
      </c>
      <c r="J188">
        <v>19</v>
      </c>
      <c r="K188" s="5">
        <v>68.930000000000007</v>
      </c>
      <c r="L188" s="5">
        <v>86.25</v>
      </c>
      <c r="M188">
        <v>34</v>
      </c>
      <c r="N188">
        <v>23</v>
      </c>
      <c r="O188">
        <v>2</v>
      </c>
      <c r="P188">
        <v>4</v>
      </c>
      <c r="Q188">
        <v>28</v>
      </c>
      <c r="R188">
        <v>0</v>
      </c>
      <c r="S188">
        <v>2</v>
      </c>
      <c r="T188">
        <v>1</v>
      </c>
      <c r="U188">
        <v>0</v>
      </c>
      <c r="V188">
        <v>0</v>
      </c>
      <c r="W188" t="s">
        <v>55</v>
      </c>
      <c r="X188">
        <v>27</v>
      </c>
      <c r="Y188">
        <v>1</v>
      </c>
      <c r="Z188">
        <f t="shared" si="12"/>
        <v>87</v>
      </c>
      <c r="AA188">
        <f t="shared" si="13"/>
        <v>1.2653061224489797</v>
      </c>
      <c r="AB188">
        <f t="shared" si="14"/>
        <v>26</v>
      </c>
      <c r="AC188" t="str">
        <f t="shared" si="15"/>
        <v>Low</v>
      </c>
      <c r="AD188" t="str">
        <f t="shared" si="16"/>
        <v>Upsell premium bundle</v>
      </c>
      <c r="AE188">
        <f t="shared" si="17"/>
        <v>13</v>
      </c>
    </row>
    <row r="189" spans="1:31" x14ac:dyDescent="0.35">
      <c r="A189" t="s">
        <v>247</v>
      </c>
      <c r="B189" s="4">
        <v>45421</v>
      </c>
      <c r="C189" s="4">
        <v>46143</v>
      </c>
      <c r="D189" t="s">
        <v>66</v>
      </c>
      <c r="E189">
        <v>27</v>
      </c>
      <c r="F189" t="s">
        <v>33</v>
      </c>
      <c r="G189" t="s">
        <v>67</v>
      </c>
      <c r="H189" t="s">
        <v>58</v>
      </c>
      <c r="I189" t="s">
        <v>36</v>
      </c>
      <c r="J189">
        <v>24</v>
      </c>
      <c r="K189" s="5">
        <v>285.58</v>
      </c>
      <c r="L189" s="5">
        <v>0</v>
      </c>
      <c r="M189">
        <v>42</v>
      </c>
      <c r="N189">
        <v>15</v>
      </c>
      <c r="O189">
        <v>6</v>
      </c>
      <c r="P189">
        <v>7</v>
      </c>
      <c r="Q189">
        <v>32</v>
      </c>
      <c r="R189">
        <v>2</v>
      </c>
      <c r="S189">
        <v>0</v>
      </c>
      <c r="T189">
        <v>0</v>
      </c>
      <c r="U189">
        <v>0</v>
      </c>
      <c r="V189">
        <v>0</v>
      </c>
      <c r="W189" t="s">
        <v>50</v>
      </c>
      <c r="X189">
        <v>26</v>
      </c>
      <c r="Y189">
        <v>0</v>
      </c>
      <c r="Z189">
        <f t="shared" si="12"/>
        <v>100</v>
      </c>
      <c r="AA189">
        <f t="shared" si="13"/>
        <v>1.3703703703703705</v>
      </c>
      <c r="AB189">
        <f t="shared" si="14"/>
        <v>0</v>
      </c>
      <c r="AC189" t="str">
        <f t="shared" si="15"/>
        <v>Low</v>
      </c>
      <c r="AD189" t="str">
        <f t="shared" si="16"/>
        <v>Upsell premium bundle</v>
      </c>
      <c r="AE189">
        <f t="shared" si="17"/>
        <v>0</v>
      </c>
    </row>
    <row r="190" spans="1:31" x14ac:dyDescent="0.35">
      <c r="A190" t="s">
        <v>248</v>
      </c>
      <c r="B190" s="4">
        <v>44832</v>
      </c>
      <c r="C190" s="4">
        <v>46143</v>
      </c>
      <c r="D190" t="s">
        <v>32</v>
      </c>
      <c r="E190">
        <v>35</v>
      </c>
      <c r="F190" t="s">
        <v>61</v>
      </c>
      <c r="G190" t="s">
        <v>34</v>
      </c>
      <c r="H190" t="s">
        <v>35</v>
      </c>
      <c r="I190" t="s">
        <v>36</v>
      </c>
      <c r="J190">
        <v>43</v>
      </c>
      <c r="K190" s="5">
        <v>0</v>
      </c>
      <c r="L190" s="5">
        <v>382.12</v>
      </c>
      <c r="M190">
        <v>42</v>
      </c>
      <c r="N190">
        <v>20</v>
      </c>
      <c r="O190">
        <v>2</v>
      </c>
      <c r="P190">
        <v>1</v>
      </c>
      <c r="Q190">
        <v>20</v>
      </c>
      <c r="R190">
        <v>1</v>
      </c>
      <c r="S190">
        <v>0</v>
      </c>
      <c r="T190">
        <v>1</v>
      </c>
      <c r="U190">
        <v>1</v>
      </c>
      <c r="V190">
        <v>1</v>
      </c>
      <c r="W190" t="s">
        <v>52</v>
      </c>
      <c r="X190">
        <v>52</v>
      </c>
      <c r="Y190">
        <v>0</v>
      </c>
      <c r="Z190">
        <f t="shared" si="12"/>
        <v>97</v>
      </c>
      <c r="AA190">
        <f t="shared" si="13"/>
        <v>0.84931506849315064</v>
      </c>
      <c r="AB190">
        <f t="shared" si="14"/>
        <v>0</v>
      </c>
      <c r="AC190" t="str">
        <f t="shared" si="15"/>
        <v>Low</v>
      </c>
      <c r="AD190" t="str">
        <f t="shared" si="16"/>
        <v>Upsell premium bundle</v>
      </c>
      <c r="AE190">
        <f t="shared" si="17"/>
        <v>3</v>
      </c>
    </row>
    <row r="191" spans="1:31" x14ac:dyDescent="0.35">
      <c r="A191" t="s">
        <v>249</v>
      </c>
      <c r="B191" s="4">
        <v>45347</v>
      </c>
      <c r="C191" s="4">
        <v>46143</v>
      </c>
      <c r="D191" t="s">
        <v>66</v>
      </c>
      <c r="E191">
        <v>32</v>
      </c>
      <c r="F191" t="s">
        <v>33</v>
      </c>
      <c r="G191" t="s">
        <v>48</v>
      </c>
      <c r="H191" t="s">
        <v>44</v>
      </c>
      <c r="I191" t="s">
        <v>36</v>
      </c>
      <c r="J191">
        <v>26</v>
      </c>
      <c r="K191" s="5">
        <v>488.17</v>
      </c>
      <c r="L191" s="5">
        <v>686.86</v>
      </c>
      <c r="M191">
        <v>37</v>
      </c>
      <c r="N191">
        <v>11</v>
      </c>
      <c r="O191">
        <v>2</v>
      </c>
      <c r="P191">
        <v>5</v>
      </c>
      <c r="Q191">
        <v>13</v>
      </c>
      <c r="R191">
        <v>0</v>
      </c>
      <c r="S191">
        <v>0</v>
      </c>
      <c r="T191">
        <v>0</v>
      </c>
      <c r="U191">
        <v>1</v>
      </c>
      <c r="V191">
        <v>1</v>
      </c>
      <c r="W191" t="s">
        <v>55</v>
      </c>
      <c r="X191">
        <v>34</v>
      </c>
      <c r="Y191">
        <v>0</v>
      </c>
      <c r="Z191">
        <f t="shared" si="12"/>
        <v>85</v>
      </c>
      <c r="AA191">
        <f t="shared" si="13"/>
        <v>0.8928571428571429</v>
      </c>
      <c r="AB191">
        <f t="shared" si="14"/>
        <v>0</v>
      </c>
      <c r="AC191" t="str">
        <f t="shared" si="15"/>
        <v>Low</v>
      </c>
      <c r="AD191" t="str">
        <f t="shared" si="16"/>
        <v>Upsell premium bundle</v>
      </c>
      <c r="AE191">
        <f t="shared" si="17"/>
        <v>15</v>
      </c>
    </row>
    <row r="192" spans="1:31" x14ac:dyDescent="0.35">
      <c r="A192" t="s">
        <v>250</v>
      </c>
      <c r="B192" s="4">
        <v>45264</v>
      </c>
      <c r="C192" s="4">
        <v>46143</v>
      </c>
      <c r="D192" t="s">
        <v>72</v>
      </c>
      <c r="E192">
        <v>63</v>
      </c>
      <c r="F192" t="s">
        <v>57</v>
      </c>
      <c r="G192" t="s">
        <v>40</v>
      </c>
      <c r="H192" t="s">
        <v>41</v>
      </c>
      <c r="I192" t="s">
        <v>36</v>
      </c>
      <c r="J192">
        <v>29</v>
      </c>
      <c r="K192" s="5">
        <v>560.15</v>
      </c>
      <c r="L192" s="5">
        <v>615.78</v>
      </c>
      <c r="M192">
        <v>29</v>
      </c>
      <c r="N192">
        <v>18</v>
      </c>
      <c r="O192">
        <v>2</v>
      </c>
      <c r="P192">
        <v>1</v>
      </c>
      <c r="Q192">
        <v>23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50</v>
      </c>
      <c r="X192">
        <v>26</v>
      </c>
      <c r="Y192">
        <v>0</v>
      </c>
      <c r="Z192">
        <f t="shared" si="12"/>
        <v>69</v>
      </c>
      <c r="AA192">
        <f t="shared" si="13"/>
        <v>0.88135593220338981</v>
      </c>
      <c r="AB192">
        <f t="shared" si="14"/>
        <v>17</v>
      </c>
      <c r="AC192" t="str">
        <f t="shared" si="15"/>
        <v>Low</v>
      </c>
      <c r="AD192" t="str">
        <f t="shared" si="16"/>
        <v>Upsell premium bundle</v>
      </c>
      <c r="AE192">
        <f t="shared" si="17"/>
        <v>31</v>
      </c>
    </row>
    <row r="193" spans="1:31" x14ac:dyDescent="0.35">
      <c r="A193" t="s">
        <v>251</v>
      </c>
      <c r="B193" s="4">
        <v>44721</v>
      </c>
      <c r="C193" s="4">
        <v>46143</v>
      </c>
      <c r="D193" t="s">
        <v>60</v>
      </c>
      <c r="E193">
        <v>45</v>
      </c>
      <c r="F193" t="s">
        <v>61</v>
      </c>
      <c r="G193" t="s">
        <v>34</v>
      </c>
      <c r="H193" t="s">
        <v>44</v>
      </c>
      <c r="I193" t="s">
        <v>36</v>
      </c>
      <c r="J193">
        <v>47</v>
      </c>
      <c r="K193" s="5">
        <v>4642.18</v>
      </c>
      <c r="L193" s="5">
        <v>3603.11</v>
      </c>
      <c r="M193">
        <v>33</v>
      </c>
      <c r="N193">
        <v>15</v>
      </c>
      <c r="O193">
        <v>5</v>
      </c>
      <c r="P193">
        <v>2</v>
      </c>
      <c r="Q193">
        <v>34</v>
      </c>
      <c r="R193">
        <v>1</v>
      </c>
      <c r="S193">
        <v>1</v>
      </c>
      <c r="T193">
        <v>1</v>
      </c>
      <c r="U193">
        <v>1</v>
      </c>
      <c r="V193">
        <v>1</v>
      </c>
      <c r="W193" t="s">
        <v>37</v>
      </c>
      <c r="X193">
        <v>12</v>
      </c>
      <c r="Y193">
        <v>0</v>
      </c>
      <c r="Z193">
        <f t="shared" si="12"/>
        <v>100</v>
      </c>
      <c r="AA193">
        <f t="shared" si="13"/>
        <v>0.87012987012987009</v>
      </c>
      <c r="AB193">
        <f t="shared" si="14"/>
        <v>0</v>
      </c>
      <c r="AC193" t="str">
        <f t="shared" si="15"/>
        <v>Low</v>
      </c>
      <c r="AD193" t="str">
        <f t="shared" si="16"/>
        <v>Upsell premium bundle</v>
      </c>
      <c r="AE193">
        <f t="shared" si="17"/>
        <v>0</v>
      </c>
    </row>
    <row r="194" spans="1:31" x14ac:dyDescent="0.35">
      <c r="A194" t="s">
        <v>252</v>
      </c>
      <c r="B194" s="4">
        <v>45850</v>
      </c>
      <c r="C194" s="4">
        <v>46143</v>
      </c>
      <c r="D194" t="s">
        <v>60</v>
      </c>
      <c r="E194">
        <v>62</v>
      </c>
      <c r="F194" t="s">
        <v>43</v>
      </c>
      <c r="G194" t="s">
        <v>63</v>
      </c>
      <c r="H194" t="s">
        <v>41</v>
      </c>
      <c r="I194" t="s">
        <v>36</v>
      </c>
      <c r="J194">
        <v>9</v>
      </c>
      <c r="K194" s="5">
        <v>68.12</v>
      </c>
      <c r="L194" s="5">
        <v>52.07</v>
      </c>
      <c r="M194">
        <v>25</v>
      </c>
      <c r="N194">
        <v>16</v>
      </c>
      <c r="O194">
        <v>7</v>
      </c>
      <c r="P194">
        <v>4</v>
      </c>
      <c r="Q194">
        <v>29</v>
      </c>
      <c r="R194">
        <v>0</v>
      </c>
      <c r="S194">
        <v>0</v>
      </c>
      <c r="T194">
        <v>0</v>
      </c>
      <c r="U194">
        <v>0</v>
      </c>
      <c r="V194">
        <v>1</v>
      </c>
      <c r="W194" t="s">
        <v>50</v>
      </c>
      <c r="X194">
        <v>16</v>
      </c>
      <c r="Y194">
        <v>0</v>
      </c>
      <c r="Z194">
        <f t="shared" ref="Z194:Z257" si="18">MIN(100,ROUND((M194*1.1+N194*0.7+O194*1.2+P194*1.4+Q194*0.9+U194*8+V194*7),0))</f>
        <v>86</v>
      </c>
      <c r="AA194">
        <f t="shared" ref="AA194:AA257" si="19">IFERROR((M194+Q194)/(30+J194),0)</f>
        <v>1.3846153846153846</v>
      </c>
      <c r="AB194">
        <f t="shared" ref="AB194:AB257" si="20">ROUND(MIN(100,MAX(0,60-Z194*0.4-R194*1.5+S194*8-IF(L194&gt;1500,10,0)-X194*0.5+IF(I194="Completed",-8,8)+IF(H194="Free",6,-4))),0)</f>
        <v>16</v>
      </c>
      <c r="AC194" t="str">
        <f t="shared" ref="AC194:AC257" si="21">IF(AB194&gt;=70,"High",IF(AB194&gt;=40,"Medium","Low"))</f>
        <v>Low</v>
      </c>
      <c r="AD194" t="str">
        <f t="shared" ref="AD194:AD257" si="22">IF(AC194="High",IF(Q194&lt;5,"Re-engage with app usage offer",IF(K194&lt;100,"Deposit incentive","Retention call")),IF(AC194="Medium","Nudge core feature adoption","Upsell premium bundle"))</f>
        <v>Upsell premium bundle</v>
      </c>
      <c r="AE194">
        <f t="shared" ref="AE194:AE257" si="23">100-Z194</f>
        <v>14</v>
      </c>
    </row>
    <row r="195" spans="1:31" x14ac:dyDescent="0.35">
      <c r="A195" t="s">
        <v>253</v>
      </c>
      <c r="B195" s="4">
        <v>44823</v>
      </c>
      <c r="C195" s="4">
        <v>46143</v>
      </c>
      <c r="D195" t="s">
        <v>72</v>
      </c>
      <c r="E195">
        <v>24</v>
      </c>
      <c r="F195" t="s">
        <v>57</v>
      </c>
      <c r="G195" t="s">
        <v>85</v>
      </c>
      <c r="H195" t="s">
        <v>41</v>
      </c>
      <c r="I195" t="s">
        <v>36</v>
      </c>
      <c r="J195">
        <v>44</v>
      </c>
      <c r="K195" s="5">
        <v>1369.78</v>
      </c>
      <c r="L195" s="5">
        <v>930.49</v>
      </c>
      <c r="M195">
        <v>23</v>
      </c>
      <c r="N195">
        <v>6</v>
      </c>
      <c r="O195">
        <v>5</v>
      </c>
      <c r="P195">
        <v>2</v>
      </c>
      <c r="Q195">
        <v>27</v>
      </c>
      <c r="R195">
        <v>0</v>
      </c>
      <c r="S195">
        <v>0</v>
      </c>
      <c r="T195">
        <v>1</v>
      </c>
      <c r="U195">
        <v>0</v>
      </c>
      <c r="V195">
        <v>1</v>
      </c>
      <c r="W195" t="s">
        <v>55</v>
      </c>
      <c r="X195">
        <v>33</v>
      </c>
      <c r="Y195">
        <v>0</v>
      </c>
      <c r="Z195">
        <f t="shared" si="18"/>
        <v>70</v>
      </c>
      <c r="AA195">
        <f t="shared" si="19"/>
        <v>0.67567567567567566</v>
      </c>
      <c r="AB195">
        <f t="shared" si="20"/>
        <v>14</v>
      </c>
      <c r="AC195" t="str">
        <f t="shared" si="21"/>
        <v>Low</v>
      </c>
      <c r="AD195" t="str">
        <f t="shared" si="22"/>
        <v>Upsell premium bundle</v>
      </c>
      <c r="AE195">
        <f t="shared" si="23"/>
        <v>30</v>
      </c>
    </row>
    <row r="196" spans="1:31" x14ac:dyDescent="0.35">
      <c r="A196" t="s">
        <v>254</v>
      </c>
      <c r="B196" s="4">
        <v>46041</v>
      </c>
      <c r="C196" s="4">
        <v>46143</v>
      </c>
      <c r="D196" t="s">
        <v>32</v>
      </c>
      <c r="E196">
        <v>26</v>
      </c>
      <c r="F196" t="s">
        <v>33</v>
      </c>
      <c r="G196" t="s">
        <v>48</v>
      </c>
      <c r="H196" t="s">
        <v>41</v>
      </c>
      <c r="I196" t="s">
        <v>36</v>
      </c>
      <c r="J196">
        <v>3</v>
      </c>
      <c r="K196" s="5">
        <v>47.77</v>
      </c>
      <c r="L196" s="5">
        <v>356.79</v>
      </c>
      <c r="M196">
        <v>16</v>
      </c>
      <c r="N196">
        <v>4</v>
      </c>
      <c r="O196">
        <v>2</v>
      </c>
      <c r="P196">
        <v>0</v>
      </c>
      <c r="Q196">
        <v>13</v>
      </c>
      <c r="R196">
        <v>1</v>
      </c>
      <c r="S196">
        <v>0</v>
      </c>
      <c r="T196">
        <v>1</v>
      </c>
      <c r="U196">
        <v>0</v>
      </c>
      <c r="V196">
        <v>0</v>
      </c>
      <c r="W196" t="s">
        <v>55</v>
      </c>
      <c r="X196">
        <v>6</v>
      </c>
      <c r="Y196">
        <v>1</v>
      </c>
      <c r="Z196">
        <f t="shared" si="18"/>
        <v>35</v>
      </c>
      <c r="AA196">
        <f t="shared" si="19"/>
        <v>0.87878787878787878</v>
      </c>
      <c r="AB196">
        <f t="shared" si="20"/>
        <v>40</v>
      </c>
      <c r="AC196" t="str">
        <f t="shared" si="21"/>
        <v>Medium</v>
      </c>
      <c r="AD196" t="str">
        <f t="shared" si="22"/>
        <v>Nudge core feature adoption</v>
      </c>
      <c r="AE196">
        <f t="shared" si="23"/>
        <v>65</v>
      </c>
    </row>
    <row r="197" spans="1:31" x14ac:dyDescent="0.35">
      <c r="A197" t="s">
        <v>255</v>
      </c>
      <c r="B197" s="4">
        <v>45445</v>
      </c>
      <c r="C197" s="4">
        <v>46143</v>
      </c>
      <c r="D197" t="s">
        <v>72</v>
      </c>
      <c r="E197">
        <v>33</v>
      </c>
      <c r="F197" t="s">
        <v>57</v>
      </c>
      <c r="G197" t="s">
        <v>85</v>
      </c>
      <c r="H197" t="s">
        <v>41</v>
      </c>
      <c r="I197" t="s">
        <v>49</v>
      </c>
      <c r="J197">
        <v>23</v>
      </c>
      <c r="K197" s="5">
        <v>0</v>
      </c>
      <c r="L197" s="5">
        <v>1601.16</v>
      </c>
      <c r="M197">
        <v>21</v>
      </c>
      <c r="N197">
        <v>9</v>
      </c>
      <c r="O197">
        <v>4</v>
      </c>
      <c r="P197">
        <v>2</v>
      </c>
      <c r="Q197">
        <v>7</v>
      </c>
      <c r="R197">
        <v>1</v>
      </c>
      <c r="S197">
        <v>0</v>
      </c>
      <c r="T197">
        <v>0</v>
      </c>
      <c r="U197">
        <v>0</v>
      </c>
      <c r="V197">
        <v>1</v>
      </c>
      <c r="W197" t="s">
        <v>55</v>
      </c>
      <c r="X197">
        <v>16</v>
      </c>
      <c r="Y197">
        <v>1</v>
      </c>
      <c r="Z197">
        <f t="shared" si="18"/>
        <v>50</v>
      </c>
      <c r="AA197">
        <f t="shared" si="19"/>
        <v>0.52830188679245282</v>
      </c>
      <c r="AB197">
        <f t="shared" si="20"/>
        <v>35</v>
      </c>
      <c r="AC197" t="str">
        <f t="shared" si="21"/>
        <v>Low</v>
      </c>
      <c r="AD197" t="str">
        <f t="shared" si="22"/>
        <v>Upsell premium bundle</v>
      </c>
      <c r="AE197">
        <f t="shared" si="23"/>
        <v>50</v>
      </c>
    </row>
    <row r="198" spans="1:31" x14ac:dyDescent="0.35">
      <c r="A198" t="s">
        <v>256</v>
      </c>
      <c r="B198" s="4">
        <v>45977</v>
      </c>
      <c r="C198" s="4">
        <v>46143</v>
      </c>
      <c r="D198" t="s">
        <v>32</v>
      </c>
      <c r="E198">
        <v>52</v>
      </c>
      <c r="F198" t="s">
        <v>57</v>
      </c>
      <c r="G198" t="s">
        <v>85</v>
      </c>
      <c r="H198" t="s">
        <v>44</v>
      </c>
      <c r="I198" t="s">
        <v>36</v>
      </c>
      <c r="J198">
        <v>5</v>
      </c>
      <c r="K198" s="5">
        <v>1016.7</v>
      </c>
      <c r="L198" s="5">
        <v>1158.9000000000001</v>
      </c>
      <c r="M198">
        <v>40</v>
      </c>
      <c r="N198">
        <v>17</v>
      </c>
      <c r="O198">
        <v>7</v>
      </c>
      <c r="P198">
        <v>7</v>
      </c>
      <c r="Q198">
        <v>32</v>
      </c>
      <c r="R198">
        <v>0</v>
      </c>
      <c r="S198">
        <v>1</v>
      </c>
      <c r="T198">
        <v>0</v>
      </c>
      <c r="U198">
        <v>1</v>
      </c>
      <c r="V198">
        <v>1</v>
      </c>
      <c r="W198" t="s">
        <v>45</v>
      </c>
      <c r="X198">
        <v>19</v>
      </c>
      <c r="Y198">
        <v>0</v>
      </c>
      <c r="Z198">
        <f t="shared" si="18"/>
        <v>100</v>
      </c>
      <c r="AA198">
        <f t="shared" si="19"/>
        <v>2.0571428571428569</v>
      </c>
      <c r="AB198">
        <f t="shared" si="20"/>
        <v>7</v>
      </c>
      <c r="AC198" t="str">
        <f t="shared" si="21"/>
        <v>Low</v>
      </c>
      <c r="AD198" t="str">
        <f t="shared" si="22"/>
        <v>Upsell premium bundle</v>
      </c>
      <c r="AE198">
        <f t="shared" si="23"/>
        <v>0</v>
      </c>
    </row>
    <row r="199" spans="1:31" x14ac:dyDescent="0.35">
      <c r="A199" t="s">
        <v>257</v>
      </c>
      <c r="B199" s="4">
        <v>45718</v>
      </c>
      <c r="C199" s="4">
        <v>46143</v>
      </c>
      <c r="D199" t="s">
        <v>72</v>
      </c>
      <c r="E199">
        <v>36</v>
      </c>
      <c r="F199" t="s">
        <v>33</v>
      </c>
      <c r="G199" t="s">
        <v>48</v>
      </c>
      <c r="H199" t="s">
        <v>44</v>
      </c>
      <c r="I199" t="s">
        <v>36</v>
      </c>
      <c r="J199">
        <v>14</v>
      </c>
      <c r="K199" s="5">
        <v>550.70000000000005</v>
      </c>
      <c r="L199" s="5">
        <v>0</v>
      </c>
      <c r="M199">
        <v>39</v>
      </c>
      <c r="N199">
        <v>21</v>
      </c>
      <c r="O199">
        <v>3</v>
      </c>
      <c r="P199">
        <v>2</v>
      </c>
      <c r="Q199">
        <v>28</v>
      </c>
      <c r="R199">
        <v>0</v>
      </c>
      <c r="S199">
        <v>0</v>
      </c>
      <c r="T199">
        <v>0</v>
      </c>
      <c r="U199">
        <v>0</v>
      </c>
      <c r="V199">
        <v>1</v>
      </c>
      <c r="W199" t="s">
        <v>37</v>
      </c>
      <c r="X199">
        <v>45</v>
      </c>
      <c r="Y199">
        <v>0</v>
      </c>
      <c r="Z199">
        <f t="shared" si="18"/>
        <v>96</v>
      </c>
      <c r="AA199">
        <f t="shared" si="19"/>
        <v>1.5227272727272727</v>
      </c>
      <c r="AB199">
        <f t="shared" si="20"/>
        <v>0</v>
      </c>
      <c r="AC199" t="str">
        <f t="shared" si="21"/>
        <v>Low</v>
      </c>
      <c r="AD199" t="str">
        <f t="shared" si="22"/>
        <v>Upsell premium bundle</v>
      </c>
      <c r="AE199">
        <f t="shared" si="23"/>
        <v>4</v>
      </c>
    </row>
    <row r="200" spans="1:31" x14ac:dyDescent="0.35">
      <c r="A200" t="s">
        <v>258</v>
      </c>
      <c r="B200" s="4">
        <v>45300</v>
      </c>
      <c r="C200" s="4">
        <v>46143</v>
      </c>
      <c r="D200" t="s">
        <v>47</v>
      </c>
      <c r="E200">
        <v>30</v>
      </c>
      <c r="F200" t="s">
        <v>33</v>
      </c>
      <c r="G200" t="s">
        <v>63</v>
      </c>
      <c r="H200" t="s">
        <v>41</v>
      </c>
      <c r="I200" t="s">
        <v>36</v>
      </c>
      <c r="J200">
        <v>28</v>
      </c>
      <c r="K200" s="5">
        <v>219.16</v>
      </c>
      <c r="L200" s="5">
        <v>67.44</v>
      </c>
      <c r="M200">
        <v>28</v>
      </c>
      <c r="N200">
        <v>11</v>
      </c>
      <c r="O200">
        <v>2</v>
      </c>
      <c r="P200">
        <v>0</v>
      </c>
      <c r="Q200">
        <v>18</v>
      </c>
      <c r="R200">
        <v>0</v>
      </c>
      <c r="S200">
        <v>0</v>
      </c>
      <c r="T200">
        <v>1</v>
      </c>
      <c r="U200">
        <v>0</v>
      </c>
      <c r="V200">
        <v>0</v>
      </c>
      <c r="W200" t="s">
        <v>37</v>
      </c>
      <c r="X200">
        <v>49</v>
      </c>
      <c r="Y200">
        <v>0</v>
      </c>
      <c r="Z200">
        <f t="shared" si="18"/>
        <v>57</v>
      </c>
      <c r="AA200">
        <f t="shared" si="19"/>
        <v>0.7931034482758621</v>
      </c>
      <c r="AB200">
        <f t="shared" si="20"/>
        <v>11</v>
      </c>
      <c r="AC200" t="str">
        <f t="shared" si="21"/>
        <v>Low</v>
      </c>
      <c r="AD200" t="str">
        <f t="shared" si="22"/>
        <v>Upsell premium bundle</v>
      </c>
      <c r="AE200">
        <f t="shared" si="23"/>
        <v>43</v>
      </c>
    </row>
    <row r="201" spans="1:31" x14ac:dyDescent="0.35">
      <c r="A201" t="s">
        <v>259</v>
      </c>
      <c r="B201" s="4">
        <v>45153</v>
      </c>
      <c r="C201" s="4">
        <v>46143</v>
      </c>
      <c r="D201" t="s">
        <v>39</v>
      </c>
      <c r="E201">
        <v>39</v>
      </c>
      <c r="F201" t="s">
        <v>33</v>
      </c>
      <c r="G201" t="s">
        <v>85</v>
      </c>
      <c r="H201" t="s">
        <v>58</v>
      </c>
      <c r="I201" t="s">
        <v>36</v>
      </c>
      <c r="J201">
        <v>33</v>
      </c>
      <c r="K201" s="5">
        <v>308.93</v>
      </c>
      <c r="L201" s="5">
        <v>234.87</v>
      </c>
      <c r="M201">
        <v>42</v>
      </c>
      <c r="N201">
        <v>20</v>
      </c>
      <c r="O201">
        <v>3</v>
      </c>
      <c r="P201">
        <v>5</v>
      </c>
      <c r="Q201">
        <v>16</v>
      </c>
      <c r="R201">
        <v>1</v>
      </c>
      <c r="S201">
        <v>1</v>
      </c>
      <c r="T201">
        <v>0</v>
      </c>
      <c r="U201">
        <v>0</v>
      </c>
      <c r="V201">
        <v>1</v>
      </c>
      <c r="W201" t="s">
        <v>37</v>
      </c>
      <c r="X201">
        <v>20</v>
      </c>
      <c r="Y201">
        <v>1</v>
      </c>
      <c r="Z201">
        <f t="shared" si="18"/>
        <v>92</v>
      </c>
      <c r="AA201">
        <f t="shared" si="19"/>
        <v>0.92063492063492058</v>
      </c>
      <c r="AB201">
        <f t="shared" si="20"/>
        <v>8</v>
      </c>
      <c r="AC201" t="str">
        <f t="shared" si="21"/>
        <v>Low</v>
      </c>
      <c r="AD201" t="str">
        <f t="shared" si="22"/>
        <v>Upsell premium bundle</v>
      </c>
      <c r="AE201">
        <f t="shared" si="23"/>
        <v>8</v>
      </c>
    </row>
    <row r="202" spans="1:31" x14ac:dyDescent="0.35">
      <c r="A202" t="s">
        <v>260</v>
      </c>
      <c r="B202" s="4">
        <v>44751</v>
      </c>
      <c r="C202" s="4">
        <v>46143</v>
      </c>
      <c r="D202" t="s">
        <v>66</v>
      </c>
      <c r="E202">
        <v>26</v>
      </c>
      <c r="F202" t="s">
        <v>43</v>
      </c>
      <c r="G202" t="s">
        <v>67</v>
      </c>
      <c r="H202" t="s">
        <v>41</v>
      </c>
      <c r="I202" t="s">
        <v>36</v>
      </c>
      <c r="J202">
        <v>46</v>
      </c>
      <c r="K202" s="5">
        <v>12.7</v>
      </c>
      <c r="L202" s="5">
        <v>51.47</v>
      </c>
      <c r="M202">
        <v>24</v>
      </c>
      <c r="N202">
        <v>6</v>
      </c>
      <c r="O202">
        <v>4</v>
      </c>
      <c r="P202">
        <v>0</v>
      </c>
      <c r="Q202">
        <v>19</v>
      </c>
      <c r="R202">
        <v>2</v>
      </c>
      <c r="S202">
        <v>0</v>
      </c>
      <c r="T202">
        <v>0</v>
      </c>
      <c r="U202">
        <v>1</v>
      </c>
      <c r="V202">
        <v>1</v>
      </c>
      <c r="W202" t="s">
        <v>45</v>
      </c>
      <c r="X202">
        <v>24</v>
      </c>
      <c r="Y202">
        <v>1</v>
      </c>
      <c r="Z202">
        <f t="shared" si="18"/>
        <v>68</v>
      </c>
      <c r="AA202">
        <f t="shared" si="19"/>
        <v>0.56578947368421051</v>
      </c>
      <c r="AB202">
        <f t="shared" si="20"/>
        <v>16</v>
      </c>
      <c r="AC202" t="str">
        <f t="shared" si="21"/>
        <v>Low</v>
      </c>
      <c r="AD202" t="str">
        <f t="shared" si="22"/>
        <v>Upsell premium bundle</v>
      </c>
      <c r="AE202">
        <f t="shared" si="23"/>
        <v>32</v>
      </c>
    </row>
    <row r="203" spans="1:31" x14ac:dyDescent="0.35">
      <c r="A203" t="s">
        <v>261</v>
      </c>
      <c r="B203" s="4">
        <v>45072</v>
      </c>
      <c r="C203" s="4">
        <v>46143</v>
      </c>
      <c r="D203" t="s">
        <v>32</v>
      </c>
      <c r="E203">
        <v>48</v>
      </c>
      <c r="F203" t="s">
        <v>57</v>
      </c>
      <c r="G203" t="s">
        <v>48</v>
      </c>
      <c r="H203" t="s">
        <v>41</v>
      </c>
      <c r="I203" t="s">
        <v>36</v>
      </c>
      <c r="J203">
        <v>35</v>
      </c>
      <c r="K203" s="5">
        <v>519.05999999999995</v>
      </c>
      <c r="L203" s="5">
        <v>1021.01</v>
      </c>
      <c r="M203">
        <v>17</v>
      </c>
      <c r="N203">
        <v>10</v>
      </c>
      <c r="O203">
        <v>4</v>
      </c>
      <c r="P203">
        <v>3</v>
      </c>
      <c r="Q203">
        <v>15</v>
      </c>
      <c r="R203">
        <v>1</v>
      </c>
      <c r="S203">
        <v>0</v>
      </c>
      <c r="T203">
        <v>0</v>
      </c>
      <c r="U203">
        <v>1</v>
      </c>
      <c r="V203">
        <v>0</v>
      </c>
      <c r="W203" t="s">
        <v>37</v>
      </c>
      <c r="X203">
        <v>6</v>
      </c>
      <c r="Y203">
        <v>0</v>
      </c>
      <c r="Z203">
        <f t="shared" si="18"/>
        <v>56</v>
      </c>
      <c r="AA203">
        <f t="shared" si="19"/>
        <v>0.49230769230769234</v>
      </c>
      <c r="AB203">
        <f t="shared" si="20"/>
        <v>31</v>
      </c>
      <c r="AC203" t="str">
        <f t="shared" si="21"/>
        <v>Low</v>
      </c>
      <c r="AD203" t="str">
        <f t="shared" si="22"/>
        <v>Upsell premium bundle</v>
      </c>
      <c r="AE203">
        <f t="shared" si="23"/>
        <v>44</v>
      </c>
    </row>
    <row r="204" spans="1:31" x14ac:dyDescent="0.35">
      <c r="A204" t="s">
        <v>262</v>
      </c>
      <c r="B204" s="4">
        <v>45562</v>
      </c>
      <c r="C204" s="4">
        <v>46143</v>
      </c>
      <c r="D204" t="s">
        <v>32</v>
      </c>
      <c r="E204">
        <v>25</v>
      </c>
      <c r="F204" t="s">
        <v>43</v>
      </c>
      <c r="G204" t="s">
        <v>40</v>
      </c>
      <c r="H204" t="s">
        <v>41</v>
      </c>
      <c r="I204" t="s">
        <v>36</v>
      </c>
      <c r="J204">
        <v>19</v>
      </c>
      <c r="K204" s="5">
        <v>5.69</v>
      </c>
      <c r="L204" s="5">
        <v>80.52</v>
      </c>
      <c r="M204">
        <v>39</v>
      </c>
      <c r="N204">
        <v>16</v>
      </c>
      <c r="O204">
        <v>2</v>
      </c>
      <c r="P204">
        <v>0</v>
      </c>
      <c r="Q204">
        <v>21</v>
      </c>
      <c r="R204">
        <v>0</v>
      </c>
      <c r="S204">
        <v>0</v>
      </c>
      <c r="T204">
        <v>1</v>
      </c>
      <c r="U204">
        <v>0</v>
      </c>
      <c r="V204">
        <v>0</v>
      </c>
      <c r="W204" t="s">
        <v>50</v>
      </c>
      <c r="X204">
        <v>64</v>
      </c>
      <c r="Y204">
        <v>0</v>
      </c>
      <c r="Z204">
        <f t="shared" si="18"/>
        <v>75</v>
      </c>
      <c r="AA204">
        <f t="shared" si="19"/>
        <v>1.2244897959183674</v>
      </c>
      <c r="AB204">
        <f t="shared" si="20"/>
        <v>0</v>
      </c>
      <c r="AC204" t="str">
        <f t="shared" si="21"/>
        <v>Low</v>
      </c>
      <c r="AD204" t="str">
        <f t="shared" si="22"/>
        <v>Upsell premium bundle</v>
      </c>
      <c r="AE204">
        <f t="shared" si="23"/>
        <v>25</v>
      </c>
    </row>
    <row r="205" spans="1:31" x14ac:dyDescent="0.35">
      <c r="A205" t="s">
        <v>263</v>
      </c>
      <c r="B205" s="4">
        <v>44762</v>
      </c>
      <c r="C205" s="4">
        <v>46143</v>
      </c>
      <c r="D205" t="s">
        <v>47</v>
      </c>
      <c r="E205">
        <v>48</v>
      </c>
      <c r="F205" t="s">
        <v>43</v>
      </c>
      <c r="G205" t="s">
        <v>34</v>
      </c>
      <c r="H205" t="s">
        <v>44</v>
      </c>
      <c r="I205" t="s">
        <v>36</v>
      </c>
      <c r="J205">
        <v>46</v>
      </c>
      <c r="K205" s="5">
        <v>0</v>
      </c>
      <c r="L205" s="5">
        <v>98.57</v>
      </c>
      <c r="M205">
        <v>21</v>
      </c>
      <c r="N205">
        <v>7</v>
      </c>
      <c r="O205">
        <v>4</v>
      </c>
      <c r="P205">
        <v>4</v>
      </c>
      <c r="Q205">
        <v>19</v>
      </c>
      <c r="R205">
        <v>2</v>
      </c>
      <c r="S205">
        <v>3</v>
      </c>
      <c r="T205">
        <v>1</v>
      </c>
      <c r="U205">
        <v>0</v>
      </c>
      <c r="V205">
        <v>1</v>
      </c>
      <c r="W205" t="s">
        <v>37</v>
      </c>
      <c r="X205">
        <v>-12</v>
      </c>
      <c r="Y205">
        <v>0</v>
      </c>
      <c r="Z205">
        <f t="shared" si="18"/>
        <v>63</v>
      </c>
      <c r="AA205">
        <f t="shared" si="19"/>
        <v>0.52631578947368418</v>
      </c>
      <c r="AB205">
        <f t="shared" si="20"/>
        <v>50</v>
      </c>
      <c r="AC205" t="str">
        <f t="shared" si="21"/>
        <v>Medium</v>
      </c>
      <c r="AD205" t="str">
        <f t="shared" si="22"/>
        <v>Nudge core feature adoption</v>
      </c>
      <c r="AE205">
        <f t="shared" si="23"/>
        <v>37</v>
      </c>
    </row>
    <row r="206" spans="1:31" x14ac:dyDescent="0.35">
      <c r="A206" t="s">
        <v>264</v>
      </c>
      <c r="B206" s="4">
        <v>45862</v>
      </c>
      <c r="C206" s="4">
        <v>46143</v>
      </c>
      <c r="D206" t="s">
        <v>60</v>
      </c>
      <c r="E206">
        <v>71</v>
      </c>
      <c r="F206" t="s">
        <v>57</v>
      </c>
      <c r="G206" t="s">
        <v>48</v>
      </c>
      <c r="H206" t="s">
        <v>41</v>
      </c>
      <c r="I206" t="s">
        <v>36</v>
      </c>
      <c r="J206">
        <v>9</v>
      </c>
      <c r="K206" s="5">
        <v>1439.56</v>
      </c>
      <c r="L206" s="5">
        <v>1150.27</v>
      </c>
      <c r="M206">
        <v>36</v>
      </c>
      <c r="N206">
        <v>17</v>
      </c>
      <c r="O206">
        <v>7</v>
      </c>
      <c r="P206">
        <v>0</v>
      </c>
      <c r="Q206">
        <v>14</v>
      </c>
      <c r="R206">
        <v>2</v>
      </c>
      <c r="S206">
        <v>1</v>
      </c>
      <c r="T206">
        <v>1</v>
      </c>
      <c r="U206">
        <v>0</v>
      </c>
      <c r="V206">
        <v>1</v>
      </c>
      <c r="W206" t="s">
        <v>45</v>
      </c>
      <c r="X206">
        <v>-5</v>
      </c>
      <c r="Y206">
        <v>1</v>
      </c>
      <c r="Z206">
        <f t="shared" si="18"/>
        <v>80</v>
      </c>
      <c r="AA206">
        <f t="shared" si="19"/>
        <v>1.2820512820512822</v>
      </c>
      <c r="AB206">
        <f t="shared" si="20"/>
        <v>34</v>
      </c>
      <c r="AC206" t="str">
        <f t="shared" si="21"/>
        <v>Low</v>
      </c>
      <c r="AD206" t="str">
        <f t="shared" si="22"/>
        <v>Upsell premium bundle</v>
      </c>
      <c r="AE206">
        <f t="shared" si="23"/>
        <v>20</v>
      </c>
    </row>
    <row r="207" spans="1:31" x14ac:dyDescent="0.35">
      <c r="A207" t="s">
        <v>265</v>
      </c>
      <c r="B207" s="4">
        <v>45824</v>
      </c>
      <c r="C207" s="4">
        <v>46143</v>
      </c>
      <c r="D207" t="s">
        <v>66</v>
      </c>
      <c r="E207">
        <v>38</v>
      </c>
      <c r="F207" t="s">
        <v>43</v>
      </c>
      <c r="G207" t="s">
        <v>67</v>
      </c>
      <c r="H207" t="s">
        <v>41</v>
      </c>
      <c r="I207" t="s">
        <v>49</v>
      </c>
      <c r="J207">
        <v>10</v>
      </c>
      <c r="K207" s="5">
        <v>0</v>
      </c>
      <c r="L207" s="5">
        <v>71.11</v>
      </c>
      <c r="M207">
        <v>38</v>
      </c>
      <c r="N207">
        <v>21</v>
      </c>
      <c r="O207">
        <v>5</v>
      </c>
      <c r="P207">
        <v>3</v>
      </c>
      <c r="Q207">
        <v>29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37</v>
      </c>
      <c r="X207">
        <v>46</v>
      </c>
      <c r="Y207">
        <v>0</v>
      </c>
      <c r="Z207">
        <f t="shared" si="18"/>
        <v>93</v>
      </c>
      <c r="AA207">
        <f t="shared" si="19"/>
        <v>1.675</v>
      </c>
      <c r="AB207">
        <f t="shared" si="20"/>
        <v>14</v>
      </c>
      <c r="AC207" t="str">
        <f t="shared" si="21"/>
        <v>Low</v>
      </c>
      <c r="AD207" t="str">
        <f t="shared" si="22"/>
        <v>Upsell premium bundle</v>
      </c>
      <c r="AE207">
        <f t="shared" si="23"/>
        <v>7</v>
      </c>
    </row>
    <row r="208" spans="1:31" x14ac:dyDescent="0.35">
      <c r="A208" t="s">
        <v>266</v>
      </c>
      <c r="B208" s="4">
        <v>46078</v>
      </c>
      <c r="C208" s="4">
        <v>46143</v>
      </c>
      <c r="D208" t="s">
        <v>60</v>
      </c>
      <c r="E208">
        <v>21</v>
      </c>
      <c r="F208" t="s">
        <v>61</v>
      </c>
      <c r="G208" t="s">
        <v>63</v>
      </c>
      <c r="H208" t="s">
        <v>44</v>
      </c>
      <c r="I208" t="s">
        <v>36</v>
      </c>
      <c r="J208">
        <v>2</v>
      </c>
      <c r="K208" s="5">
        <v>3493.71</v>
      </c>
      <c r="L208" s="5">
        <v>1640.28</v>
      </c>
      <c r="M208">
        <v>26</v>
      </c>
      <c r="N208">
        <v>17</v>
      </c>
      <c r="O208">
        <v>5</v>
      </c>
      <c r="P208">
        <v>4</v>
      </c>
      <c r="Q208">
        <v>17</v>
      </c>
      <c r="R208">
        <v>1</v>
      </c>
      <c r="S208">
        <v>2</v>
      </c>
      <c r="T208">
        <v>0</v>
      </c>
      <c r="U208">
        <v>0</v>
      </c>
      <c r="V208">
        <v>0</v>
      </c>
      <c r="W208" t="s">
        <v>45</v>
      </c>
      <c r="X208">
        <v>41</v>
      </c>
      <c r="Y208">
        <v>0</v>
      </c>
      <c r="Z208">
        <f t="shared" si="18"/>
        <v>67</v>
      </c>
      <c r="AA208">
        <f t="shared" si="19"/>
        <v>1.34375</v>
      </c>
      <c r="AB208">
        <f t="shared" si="20"/>
        <v>5</v>
      </c>
      <c r="AC208" t="str">
        <f t="shared" si="21"/>
        <v>Low</v>
      </c>
      <c r="AD208" t="str">
        <f t="shared" si="22"/>
        <v>Upsell premium bundle</v>
      </c>
      <c r="AE208">
        <f t="shared" si="23"/>
        <v>33</v>
      </c>
    </row>
    <row r="209" spans="1:31" x14ac:dyDescent="0.35">
      <c r="A209" t="s">
        <v>267</v>
      </c>
      <c r="B209" s="4">
        <v>45982</v>
      </c>
      <c r="C209" s="4">
        <v>46143</v>
      </c>
      <c r="D209" t="s">
        <v>39</v>
      </c>
      <c r="E209">
        <v>25</v>
      </c>
      <c r="F209" t="s">
        <v>33</v>
      </c>
      <c r="G209" t="s">
        <v>34</v>
      </c>
      <c r="H209" t="s">
        <v>41</v>
      </c>
      <c r="I209" t="s">
        <v>36</v>
      </c>
      <c r="J209">
        <v>5</v>
      </c>
      <c r="K209" s="5">
        <v>265.33999999999997</v>
      </c>
      <c r="L209" s="5">
        <v>245.38</v>
      </c>
      <c r="M209">
        <v>25</v>
      </c>
      <c r="N209">
        <v>6</v>
      </c>
      <c r="O209">
        <v>5</v>
      </c>
      <c r="P209">
        <v>5</v>
      </c>
      <c r="Q209">
        <v>9</v>
      </c>
      <c r="R209">
        <v>0</v>
      </c>
      <c r="S209">
        <v>0</v>
      </c>
      <c r="T209">
        <v>1</v>
      </c>
      <c r="U209">
        <v>1</v>
      </c>
      <c r="V209">
        <v>1</v>
      </c>
      <c r="W209" t="s">
        <v>50</v>
      </c>
      <c r="X209">
        <v>40</v>
      </c>
      <c r="Y209">
        <v>0</v>
      </c>
      <c r="Z209">
        <f t="shared" si="18"/>
        <v>68</v>
      </c>
      <c r="AA209">
        <f t="shared" si="19"/>
        <v>0.97142857142857142</v>
      </c>
      <c r="AB209">
        <f t="shared" si="20"/>
        <v>11</v>
      </c>
      <c r="AC209" t="str">
        <f t="shared" si="21"/>
        <v>Low</v>
      </c>
      <c r="AD209" t="str">
        <f t="shared" si="22"/>
        <v>Upsell premium bundle</v>
      </c>
      <c r="AE209">
        <f t="shared" si="23"/>
        <v>32</v>
      </c>
    </row>
    <row r="210" spans="1:31" x14ac:dyDescent="0.35">
      <c r="A210" t="s">
        <v>268</v>
      </c>
      <c r="B210" s="4">
        <v>45692</v>
      </c>
      <c r="C210" s="4">
        <v>46143</v>
      </c>
      <c r="D210" t="s">
        <v>47</v>
      </c>
      <c r="E210">
        <v>29</v>
      </c>
      <c r="F210" t="s">
        <v>61</v>
      </c>
      <c r="G210" t="s">
        <v>63</v>
      </c>
      <c r="H210" t="s">
        <v>41</v>
      </c>
      <c r="I210" t="s">
        <v>36</v>
      </c>
      <c r="J210">
        <v>15</v>
      </c>
      <c r="K210" s="5">
        <v>74.319999999999993</v>
      </c>
      <c r="L210" s="5">
        <v>1421.85</v>
      </c>
      <c r="M210">
        <v>25</v>
      </c>
      <c r="N210">
        <v>18</v>
      </c>
      <c r="O210">
        <v>1</v>
      </c>
      <c r="P210">
        <v>1</v>
      </c>
      <c r="Q210">
        <v>15</v>
      </c>
      <c r="R210">
        <v>0</v>
      </c>
      <c r="S210">
        <v>0</v>
      </c>
      <c r="T210">
        <v>0</v>
      </c>
      <c r="U210">
        <v>1</v>
      </c>
      <c r="V210">
        <v>1</v>
      </c>
      <c r="W210" t="s">
        <v>37</v>
      </c>
      <c r="X210">
        <v>60</v>
      </c>
      <c r="Y210">
        <v>0</v>
      </c>
      <c r="Z210">
        <f t="shared" si="18"/>
        <v>71</v>
      </c>
      <c r="AA210">
        <f t="shared" si="19"/>
        <v>0.88888888888888884</v>
      </c>
      <c r="AB210">
        <f t="shared" si="20"/>
        <v>0</v>
      </c>
      <c r="AC210" t="str">
        <f t="shared" si="21"/>
        <v>Low</v>
      </c>
      <c r="AD210" t="str">
        <f t="shared" si="22"/>
        <v>Upsell premium bundle</v>
      </c>
      <c r="AE210">
        <f t="shared" si="23"/>
        <v>29</v>
      </c>
    </row>
    <row r="211" spans="1:31" x14ac:dyDescent="0.35">
      <c r="A211" t="s">
        <v>269</v>
      </c>
      <c r="B211" s="4">
        <v>46064</v>
      </c>
      <c r="C211" s="4">
        <v>46143</v>
      </c>
      <c r="D211" t="s">
        <v>60</v>
      </c>
      <c r="E211">
        <v>48</v>
      </c>
      <c r="F211" t="s">
        <v>77</v>
      </c>
      <c r="G211" t="s">
        <v>34</v>
      </c>
      <c r="H211" t="s">
        <v>58</v>
      </c>
      <c r="I211" t="s">
        <v>36</v>
      </c>
      <c r="J211">
        <v>2</v>
      </c>
      <c r="K211" s="5">
        <v>8639.42</v>
      </c>
      <c r="L211" s="5">
        <v>1776.73</v>
      </c>
      <c r="M211">
        <v>44</v>
      </c>
      <c r="N211">
        <v>12</v>
      </c>
      <c r="O211">
        <v>9</v>
      </c>
      <c r="P211">
        <v>9</v>
      </c>
      <c r="Q211">
        <v>29</v>
      </c>
      <c r="R211">
        <v>1</v>
      </c>
      <c r="S211">
        <v>2</v>
      </c>
      <c r="T211">
        <v>1</v>
      </c>
      <c r="U211">
        <v>0</v>
      </c>
      <c r="V211">
        <v>1</v>
      </c>
      <c r="W211" t="s">
        <v>52</v>
      </c>
      <c r="X211">
        <v>55</v>
      </c>
      <c r="Y211">
        <v>0</v>
      </c>
      <c r="Z211">
        <f t="shared" si="18"/>
        <v>100</v>
      </c>
      <c r="AA211">
        <f t="shared" si="19"/>
        <v>2.28125</v>
      </c>
      <c r="AB211">
        <f t="shared" si="20"/>
        <v>0</v>
      </c>
      <c r="AC211" t="str">
        <f t="shared" si="21"/>
        <v>Low</v>
      </c>
      <c r="AD211" t="str">
        <f t="shared" si="22"/>
        <v>Upsell premium bundle</v>
      </c>
      <c r="AE211">
        <f t="shared" si="23"/>
        <v>0</v>
      </c>
    </row>
    <row r="212" spans="1:31" x14ac:dyDescent="0.35">
      <c r="A212" t="s">
        <v>270</v>
      </c>
      <c r="B212" s="4">
        <v>45646</v>
      </c>
      <c r="C212" s="4">
        <v>46143</v>
      </c>
      <c r="D212" t="s">
        <v>39</v>
      </c>
      <c r="E212">
        <v>60</v>
      </c>
      <c r="F212" t="s">
        <v>77</v>
      </c>
      <c r="G212" t="s">
        <v>85</v>
      </c>
      <c r="H212" t="s">
        <v>58</v>
      </c>
      <c r="I212" t="s">
        <v>36</v>
      </c>
      <c r="J212">
        <v>16</v>
      </c>
      <c r="K212" s="5">
        <v>12652</v>
      </c>
      <c r="L212" s="5">
        <v>9105.34</v>
      </c>
      <c r="M212">
        <v>16</v>
      </c>
      <c r="N212">
        <v>7</v>
      </c>
      <c r="O212">
        <v>3</v>
      </c>
      <c r="P212">
        <v>2</v>
      </c>
      <c r="Q212">
        <v>17</v>
      </c>
      <c r="R212">
        <v>2</v>
      </c>
      <c r="S212">
        <v>0</v>
      </c>
      <c r="T212">
        <v>1</v>
      </c>
      <c r="U212">
        <v>0</v>
      </c>
      <c r="V212">
        <v>1</v>
      </c>
      <c r="W212" t="s">
        <v>45</v>
      </c>
      <c r="X212">
        <v>9</v>
      </c>
      <c r="Y212">
        <v>0</v>
      </c>
      <c r="Z212">
        <f t="shared" si="18"/>
        <v>51</v>
      </c>
      <c r="AA212">
        <f t="shared" si="19"/>
        <v>0.71739130434782605</v>
      </c>
      <c r="AB212">
        <f t="shared" si="20"/>
        <v>10</v>
      </c>
      <c r="AC212" t="str">
        <f t="shared" si="21"/>
        <v>Low</v>
      </c>
      <c r="AD212" t="str">
        <f t="shared" si="22"/>
        <v>Upsell premium bundle</v>
      </c>
      <c r="AE212">
        <f t="shared" si="23"/>
        <v>49</v>
      </c>
    </row>
    <row r="213" spans="1:31" x14ac:dyDescent="0.35">
      <c r="A213" t="s">
        <v>271</v>
      </c>
      <c r="B213" s="4">
        <v>44831</v>
      </c>
      <c r="C213" s="4">
        <v>46143</v>
      </c>
      <c r="D213" t="s">
        <v>32</v>
      </c>
      <c r="E213">
        <v>27</v>
      </c>
      <c r="F213" t="s">
        <v>61</v>
      </c>
      <c r="G213" t="s">
        <v>63</v>
      </c>
      <c r="H213" t="s">
        <v>35</v>
      </c>
      <c r="I213" t="s">
        <v>36</v>
      </c>
      <c r="J213">
        <v>43</v>
      </c>
      <c r="K213" s="5">
        <v>0</v>
      </c>
      <c r="L213" s="5">
        <v>1326.84</v>
      </c>
      <c r="M213">
        <v>23</v>
      </c>
      <c r="N213">
        <v>11</v>
      </c>
      <c r="O213">
        <v>5</v>
      </c>
      <c r="P213">
        <v>0</v>
      </c>
      <c r="Q213">
        <v>16</v>
      </c>
      <c r="R213">
        <v>0</v>
      </c>
      <c r="S213">
        <v>0</v>
      </c>
      <c r="T213">
        <v>1</v>
      </c>
      <c r="U213">
        <v>0</v>
      </c>
      <c r="V213">
        <v>1</v>
      </c>
      <c r="W213" t="s">
        <v>50</v>
      </c>
      <c r="X213">
        <v>47</v>
      </c>
      <c r="Y213">
        <v>0</v>
      </c>
      <c r="Z213">
        <f t="shared" si="18"/>
        <v>60</v>
      </c>
      <c r="AA213">
        <f t="shared" si="19"/>
        <v>0.53424657534246578</v>
      </c>
      <c r="AB213">
        <f t="shared" si="20"/>
        <v>1</v>
      </c>
      <c r="AC213" t="str">
        <f t="shared" si="21"/>
        <v>Low</v>
      </c>
      <c r="AD213" t="str">
        <f t="shared" si="22"/>
        <v>Upsell premium bundle</v>
      </c>
      <c r="AE213">
        <f t="shared" si="23"/>
        <v>40</v>
      </c>
    </row>
    <row r="214" spans="1:31" x14ac:dyDescent="0.35">
      <c r="A214" t="s">
        <v>272</v>
      </c>
      <c r="B214" s="4">
        <v>45596</v>
      </c>
      <c r="C214" s="4">
        <v>46143</v>
      </c>
      <c r="D214" t="s">
        <v>72</v>
      </c>
      <c r="E214">
        <v>45</v>
      </c>
      <c r="F214" t="s">
        <v>57</v>
      </c>
      <c r="G214" t="s">
        <v>34</v>
      </c>
      <c r="H214" t="s">
        <v>41</v>
      </c>
      <c r="I214" t="s">
        <v>49</v>
      </c>
      <c r="J214">
        <v>18</v>
      </c>
      <c r="K214" s="5">
        <v>2014.65</v>
      </c>
      <c r="L214" s="5">
        <v>1264.31</v>
      </c>
      <c r="M214">
        <v>28</v>
      </c>
      <c r="N214">
        <v>10</v>
      </c>
      <c r="O214">
        <v>5</v>
      </c>
      <c r="P214">
        <v>1</v>
      </c>
      <c r="Q214">
        <v>0</v>
      </c>
      <c r="R214">
        <v>1</v>
      </c>
      <c r="S214">
        <v>1</v>
      </c>
      <c r="T214">
        <v>0</v>
      </c>
      <c r="U214">
        <v>1</v>
      </c>
      <c r="V214">
        <v>0</v>
      </c>
      <c r="W214" t="s">
        <v>37</v>
      </c>
      <c r="X214">
        <v>67</v>
      </c>
      <c r="Y214">
        <v>0</v>
      </c>
      <c r="Z214">
        <f t="shared" si="18"/>
        <v>53</v>
      </c>
      <c r="AA214">
        <f t="shared" si="19"/>
        <v>0.58333333333333337</v>
      </c>
      <c r="AB214">
        <f t="shared" si="20"/>
        <v>26</v>
      </c>
      <c r="AC214" t="str">
        <f t="shared" si="21"/>
        <v>Low</v>
      </c>
      <c r="AD214" t="str">
        <f t="shared" si="22"/>
        <v>Upsell premium bundle</v>
      </c>
      <c r="AE214">
        <f t="shared" si="23"/>
        <v>47</v>
      </c>
    </row>
    <row r="215" spans="1:31" x14ac:dyDescent="0.35">
      <c r="A215" t="s">
        <v>273</v>
      </c>
      <c r="B215" s="4">
        <v>44863</v>
      </c>
      <c r="C215" s="4">
        <v>46143</v>
      </c>
      <c r="D215" t="s">
        <v>39</v>
      </c>
      <c r="E215">
        <v>55</v>
      </c>
      <c r="F215" t="s">
        <v>33</v>
      </c>
      <c r="G215" t="s">
        <v>40</v>
      </c>
      <c r="H215" t="s">
        <v>41</v>
      </c>
      <c r="I215" t="s">
        <v>36</v>
      </c>
      <c r="J215">
        <v>42</v>
      </c>
      <c r="K215" s="5">
        <v>201.74</v>
      </c>
      <c r="L215" s="5">
        <v>93.61</v>
      </c>
      <c r="M215">
        <v>16</v>
      </c>
      <c r="N215">
        <v>5</v>
      </c>
      <c r="O215">
        <v>2</v>
      </c>
      <c r="P215">
        <v>0</v>
      </c>
      <c r="Q215">
        <v>10</v>
      </c>
      <c r="R215">
        <v>0</v>
      </c>
      <c r="S215">
        <v>2</v>
      </c>
      <c r="T215">
        <v>0</v>
      </c>
      <c r="U215">
        <v>0</v>
      </c>
      <c r="V215">
        <v>1</v>
      </c>
      <c r="W215" t="s">
        <v>52</v>
      </c>
      <c r="X215">
        <v>27</v>
      </c>
      <c r="Y215">
        <v>1</v>
      </c>
      <c r="Z215">
        <f t="shared" si="18"/>
        <v>40</v>
      </c>
      <c r="AA215">
        <f t="shared" si="19"/>
        <v>0.3611111111111111</v>
      </c>
      <c r="AB215">
        <f t="shared" si="20"/>
        <v>45</v>
      </c>
      <c r="AC215" t="str">
        <f t="shared" si="21"/>
        <v>Medium</v>
      </c>
      <c r="AD215" t="str">
        <f t="shared" si="22"/>
        <v>Nudge core feature adoption</v>
      </c>
      <c r="AE215">
        <f t="shared" si="23"/>
        <v>60</v>
      </c>
    </row>
    <row r="216" spans="1:31" x14ac:dyDescent="0.35">
      <c r="A216" t="s">
        <v>274</v>
      </c>
      <c r="B216" s="4">
        <v>45909</v>
      </c>
      <c r="C216" s="4">
        <v>46143</v>
      </c>
      <c r="D216" t="s">
        <v>32</v>
      </c>
      <c r="E216">
        <v>25</v>
      </c>
      <c r="F216" t="s">
        <v>77</v>
      </c>
      <c r="G216" t="s">
        <v>48</v>
      </c>
      <c r="H216" t="s">
        <v>58</v>
      </c>
      <c r="I216" t="s">
        <v>49</v>
      </c>
      <c r="J216">
        <v>7</v>
      </c>
      <c r="K216" s="5">
        <v>7044.01</v>
      </c>
      <c r="L216" s="5">
        <v>6971.97</v>
      </c>
      <c r="M216">
        <v>31</v>
      </c>
      <c r="N216">
        <v>11</v>
      </c>
      <c r="O216">
        <v>8</v>
      </c>
      <c r="P216">
        <v>2</v>
      </c>
      <c r="Q216">
        <v>33</v>
      </c>
      <c r="R216">
        <v>0</v>
      </c>
      <c r="S216">
        <v>0</v>
      </c>
      <c r="T216">
        <v>1</v>
      </c>
      <c r="U216">
        <v>1</v>
      </c>
      <c r="V216">
        <v>0</v>
      </c>
      <c r="W216" t="s">
        <v>45</v>
      </c>
      <c r="X216">
        <v>58</v>
      </c>
      <c r="Y216">
        <v>0</v>
      </c>
      <c r="Z216">
        <f t="shared" si="18"/>
        <v>92</v>
      </c>
      <c r="AA216">
        <f t="shared" si="19"/>
        <v>1.7297297297297298</v>
      </c>
      <c r="AB216">
        <f t="shared" si="20"/>
        <v>0</v>
      </c>
      <c r="AC216" t="str">
        <f t="shared" si="21"/>
        <v>Low</v>
      </c>
      <c r="AD216" t="str">
        <f t="shared" si="22"/>
        <v>Upsell premium bundle</v>
      </c>
      <c r="AE216">
        <f t="shared" si="23"/>
        <v>8</v>
      </c>
    </row>
    <row r="217" spans="1:31" x14ac:dyDescent="0.35">
      <c r="A217" t="s">
        <v>275</v>
      </c>
      <c r="B217" s="4">
        <v>45002</v>
      </c>
      <c r="C217" s="4">
        <v>46143</v>
      </c>
      <c r="D217" t="s">
        <v>39</v>
      </c>
      <c r="E217">
        <v>64</v>
      </c>
      <c r="F217" t="s">
        <v>61</v>
      </c>
      <c r="G217" t="s">
        <v>85</v>
      </c>
      <c r="H217" t="s">
        <v>41</v>
      </c>
      <c r="I217" t="s">
        <v>36</v>
      </c>
      <c r="J217">
        <v>38</v>
      </c>
      <c r="K217" s="5">
        <v>3512.55</v>
      </c>
      <c r="L217" s="5">
        <v>1642.5</v>
      </c>
      <c r="M217">
        <v>28</v>
      </c>
      <c r="N217">
        <v>10</v>
      </c>
      <c r="O217">
        <v>6</v>
      </c>
      <c r="P217">
        <v>2</v>
      </c>
      <c r="Q217">
        <v>29</v>
      </c>
      <c r="R217">
        <v>4</v>
      </c>
      <c r="S217">
        <v>0</v>
      </c>
      <c r="T217">
        <v>0</v>
      </c>
      <c r="U217">
        <v>0</v>
      </c>
      <c r="V217">
        <v>0</v>
      </c>
      <c r="W217" t="s">
        <v>50</v>
      </c>
      <c r="X217">
        <v>-26</v>
      </c>
      <c r="Y217">
        <v>0</v>
      </c>
      <c r="Z217">
        <f t="shared" si="18"/>
        <v>74</v>
      </c>
      <c r="AA217">
        <f t="shared" si="19"/>
        <v>0.83823529411764708</v>
      </c>
      <c r="AB217">
        <f t="shared" si="20"/>
        <v>25</v>
      </c>
      <c r="AC217" t="str">
        <f t="shared" si="21"/>
        <v>Low</v>
      </c>
      <c r="AD217" t="str">
        <f t="shared" si="22"/>
        <v>Upsell premium bundle</v>
      </c>
      <c r="AE217">
        <f t="shared" si="23"/>
        <v>26</v>
      </c>
    </row>
    <row r="218" spans="1:31" x14ac:dyDescent="0.35">
      <c r="A218" t="s">
        <v>276</v>
      </c>
      <c r="B218" s="4">
        <v>45701</v>
      </c>
      <c r="C218" s="4">
        <v>46143</v>
      </c>
      <c r="D218" t="s">
        <v>66</v>
      </c>
      <c r="E218">
        <v>44</v>
      </c>
      <c r="F218" t="s">
        <v>43</v>
      </c>
      <c r="G218" t="s">
        <v>85</v>
      </c>
      <c r="H218" t="s">
        <v>58</v>
      </c>
      <c r="I218" t="s">
        <v>36</v>
      </c>
      <c r="J218">
        <v>14</v>
      </c>
      <c r="K218" s="5">
        <v>70.94</v>
      </c>
      <c r="L218" s="5">
        <v>82.88</v>
      </c>
      <c r="M218">
        <v>32</v>
      </c>
      <c r="N218">
        <v>14</v>
      </c>
      <c r="O218">
        <v>2</v>
      </c>
      <c r="P218">
        <v>4</v>
      </c>
      <c r="Q218">
        <v>18</v>
      </c>
      <c r="R218">
        <v>0</v>
      </c>
      <c r="S218">
        <v>1</v>
      </c>
      <c r="T218">
        <v>1</v>
      </c>
      <c r="U218">
        <v>0</v>
      </c>
      <c r="V218">
        <v>1</v>
      </c>
      <c r="W218" t="s">
        <v>50</v>
      </c>
      <c r="X218">
        <v>43</v>
      </c>
      <c r="Y218">
        <v>0</v>
      </c>
      <c r="Z218">
        <f t="shared" si="18"/>
        <v>76</v>
      </c>
      <c r="AA218">
        <f t="shared" si="19"/>
        <v>1.1363636363636365</v>
      </c>
      <c r="AB218">
        <f t="shared" si="20"/>
        <v>4</v>
      </c>
      <c r="AC218" t="str">
        <f t="shared" si="21"/>
        <v>Low</v>
      </c>
      <c r="AD218" t="str">
        <f t="shared" si="22"/>
        <v>Upsell premium bundle</v>
      </c>
      <c r="AE218">
        <f t="shared" si="23"/>
        <v>24</v>
      </c>
    </row>
    <row r="219" spans="1:31" x14ac:dyDescent="0.35">
      <c r="A219" t="s">
        <v>277</v>
      </c>
      <c r="B219" s="4">
        <v>46031</v>
      </c>
      <c r="C219" s="4">
        <v>46143</v>
      </c>
      <c r="D219" t="s">
        <v>66</v>
      </c>
      <c r="E219">
        <v>22</v>
      </c>
      <c r="F219" t="s">
        <v>57</v>
      </c>
      <c r="G219" t="s">
        <v>34</v>
      </c>
      <c r="H219" t="s">
        <v>41</v>
      </c>
      <c r="I219" t="s">
        <v>36</v>
      </c>
      <c r="J219">
        <v>3</v>
      </c>
      <c r="K219" s="5">
        <v>654.20000000000005</v>
      </c>
      <c r="L219" s="5">
        <v>1299.32</v>
      </c>
      <c r="M219">
        <v>16</v>
      </c>
      <c r="N219">
        <v>6</v>
      </c>
      <c r="O219">
        <v>3</v>
      </c>
      <c r="P219">
        <v>1</v>
      </c>
      <c r="Q219">
        <v>23</v>
      </c>
      <c r="R219">
        <v>2</v>
      </c>
      <c r="S219">
        <v>0</v>
      </c>
      <c r="T219">
        <v>0</v>
      </c>
      <c r="U219">
        <v>0</v>
      </c>
      <c r="V219">
        <v>0</v>
      </c>
      <c r="W219" t="s">
        <v>55</v>
      </c>
      <c r="X219">
        <v>10</v>
      </c>
      <c r="Y219">
        <v>0</v>
      </c>
      <c r="Z219">
        <f t="shared" si="18"/>
        <v>48</v>
      </c>
      <c r="AA219">
        <f t="shared" si="19"/>
        <v>1.1818181818181819</v>
      </c>
      <c r="AB219">
        <f t="shared" si="20"/>
        <v>31</v>
      </c>
      <c r="AC219" t="str">
        <f t="shared" si="21"/>
        <v>Low</v>
      </c>
      <c r="AD219" t="str">
        <f t="shared" si="22"/>
        <v>Upsell premium bundle</v>
      </c>
      <c r="AE219">
        <f t="shared" si="23"/>
        <v>52</v>
      </c>
    </row>
    <row r="220" spans="1:31" x14ac:dyDescent="0.35">
      <c r="A220" t="s">
        <v>278</v>
      </c>
      <c r="B220" s="4">
        <v>44996</v>
      </c>
      <c r="C220" s="4">
        <v>46143</v>
      </c>
      <c r="D220" t="s">
        <v>39</v>
      </c>
      <c r="E220">
        <v>64</v>
      </c>
      <c r="F220" t="s">
        <v>57</v>
      </c>
      <c r="G220" t="s">
        <v>34</v>
      </c>
      <c r="H220" t="s">
        <v>35</v>
      </c>
      <c r="I220" t="s">
        <v>36</v>
      </c>
      <c r="J220">
        <v>38</v>
      </c>
      <c r="K220" s="5">
        <v>1484.42</v>
      </c>
      <c r="L220" s="5">
        <v>885.14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 t="s">
        <v>45</v>
      </c>
      <c r="X220">
        <v>2</v>
      </c>
      <c r="Y220">
        <v>0</v>
      </c>
      <c r="Z220">
        <f t="shared" si="18"/>
        <v>10</v>
      </c>
      <c r="AA220">
        <f t="shared" si="19"/>
        <v>2.9411764705882353E-2</v>
      </c>
      <c r="AB220">
        <f t="shared" si="20"/>
        <v>43</v>
      </c>
      <c r="AC220" t="str">
        <f t="shared" si="21"/>
        <v>Medium</v>
      </c>
      <c r="AD220" t="str">
        <f t="shared" si="22"/>
        <v>Nudge core feature adoption</v>
      </c>
      <c r="AE220">
        <f t="shared" si="23"/>
        <v>90</v>
      </c>
    </row>
    <row r="221" spans="1:31" x14ac:dyDescent="0.35">
      <c r="A221" t="s">
        <v>279</v>
      </c>
      <c r="B221" s="4">
        <v>45744</v>
      </c>
      <c r="C221" s="4">
        <v>46143</v>
      </c>
      <c r="D221" t="s">
        <v>60</v>
      </c>
      <c r="E221">
        <v>38</v>
      </c>
      <c r="F221" t="s">
        <v>61</v>
      </c>
      <c r="G221" t="s">
        <v>40</v>
      </c>
      <c r="H221" t="s">
        <v>41</v>
      </c>
      <c r="I221" t="s">
        <v>36</v>
      </c>
      <c r="J221">
        <v>13</v>
      </c>
      <c r="K221" s="5">
        <v>5453.1</v>
      </c>
      <c r="L221" s="5">
        <v>1346.08</v>
      </c>
      <c r="M221">
        <v>14</v>
      </c>
      <c r="N221">
        <v>7</v>
      </c>
      <c r="O221">
        <v>3</v>
      </c>
      <c r="P221">
        <v>0</v>
      </c>
      <c r="Q221">
        <v>9</v>
      </c>
      <c r="R221">
        <v>0</v>
      </c>
      <c r="S221">
        <v>0</v>
      </c>
      <c r="T221">
        <v>1</v>
      </c>
      <c r="U221">
        <v>0</v>
      </c>
      <c r="V221">
        <v>0</v>
      </c>
      <c r="W221" t="s">
        <v>52</v>
      </c>
      <c r="X221">
        <v>46</v>
      </c>
      <c r="Y221">
        <v>0</v>
      </c>
      <c r="Z221">
        <f t="shared" si="18"/>
        <v>32</v>
      </c>
      <c r="AA221">
        <f t="shared" si="19"/>
        <v>0.53488372093023251</v>
      </c>
      <c r="AB221">
        <f t="shared" si="20"/>
        <v>22</v>
      </c>
      <c r="AC221" t="str">
        <f t="shared" si="21"/>
        <v>Low</v>
      </c>
      <c r="AD221" t="str">
        <f t="shared" si="22"/>
        <v>Upsell premium bundle</v>
      </c>
      <c r="AE221">
        <f t="shared" si="23"/>
        <v>68</v>
      </c>
    </row>
    <row r="222" spans="1:31" x14ac:dyDescent="0.35">
      <c r="A222" t="s">
        <v>280</v>
      </c>
      <c r="B222" s="4">
        <v>45273</v>
      </c>
      <c r="C222" s="4">
        <v>46143</v>
      </c>
      <c r="D222" t="s">
        <v>72</v>
      </c>
      <c r="E222">
        <v>58</v>
      </c>
      <c r="F222" t="s">
        <v>57</v>
      </c>
      <c r="G222" t="s">
        <v>34</v>
      </c>
      <c r="H222" t="s">
        <v>58</v>
      </c>
      <c r="I222" t="s">
        <v>36</v>
      </c>
      <c r="J222">
        <v>29</v>
      </c>
      <c r="K222" s="5">
        <v>746.22</v>
      </c>
      <c r="L222" s="5">
        <v>1025.08</v>
      </c>
      <c r="M222">
        <v>50</v>
      </c>
      <c r="N222">
        <v>35</v>
      </c>
      <c r="O222">
        <v>11</v>
      </c>
      <c r="P222">
        <v>3</v>
      </c>
      <c r="Q222">
        <v>38</v>
      </c>
      <c r="R222">
        <v>1</v>
      </c>
      <c r="S222">
        <v>0</v>
      </c>
      <c r="T222">
        <v>0</v>
      </c>
      <c r="U222">
        <v>0</v>
      </c>
      <c r="V222">
        <v>0</v>
      </c>
      <c r="W222" t="s">
        <v>45</v>
      </c>
      <c r="X222">
        <v>32</v>
      </c>
      <c r="Y222">
        <v>0</v>
      </c>
      <c r="Z222">
        <f t="shared" si="18"/>
        <v>100</v>
      </c>
      <c r="AA222">
        <f t="shared" si="19"/>
        <v>1.4915254237288136</v>
      </c>
      <c r="AB222">
        <f t="shared" si="20"/>
        <v>0</v>
      </c>
      <c r="AC222" t="str">
        <f t="shared" si="21"/>
        <v>Low</v>
      </c>
      <c r="AD222" t="str">
        <f t="shared" si="22"/>
        <v>Upsell premium bundle</v>
      </c>
      <c r="AE222">
        <f t="shared" si="23"/>
        <v>0</v>
      </c>
    </row>
    <row r="223" spans="1:31" x14ac:dyDescent="0.35">
      <c r="A223" t="s">
        <v>281</v>
      </c>
      <c r="B223" s="4">
        <v>45249</v>
      </c>
      <c r="C223" s="4">
        <v>46143</v>
      </c>
      <c r="D223" t="s">
        <v>39</v>
      </c>
      <c r="E223">
        <v>36</v>
      </c>
      <c r="F223" t="s">
        <v>43</v>
      </c>
      <c r="G223" t="s">
        <v>85</v>
      </c>
      <c r="H223" t="s">
        <v>58</v>
      </c>
      <c r="I223" t="s">
        <v>36</v>
      </c>
      <c r="J223">
        <v>29</v>
      </c>
      <c r="K223" s="5">
        <v>78.47</v>
      </c>
      <c r="L223" s="5">
        <v>0</v>
      </c>
      <c r="M223">
        <v>17</v>
      </c>
      <c r="N223">
        <v>10</v>
      </c>
      <c r="O223">
        <v>1</v>
      </c>
      <c r="P223">
        <v>1</v>
      </c>
      <c r="Q223">
        <v>15</v>
      </c>
      <c r="R223">
        <v>0</v>
      </c>
      <c r="S223">
        <v>0</v>
      </c>
      <c r="T223">
        <v>1</v>
      </c>
      <c r="U223">
        <v>0</v>
      </c>
      <c r="V223">
        <v>1</v>
      </c>
      <c r="W223" t="s">
        <v>50</v>
      </c>
      <c r="X223">
        <v>12</v>
      </c>
      <c r="Y223">
        <v>1</v>
      </c>
      <c r="Z223">
        <f t="shared" si="18"/>
        <v>49</v>
      </c>
      <c r="AA223">
        <f t="shared" si="19"/>
        <v>0.5423728813559322</v>
      </c>
      <c r="AB223">
        <f t="shared" si="20"/>
        <v>22</v>
      </c>
      <c r="AC223" t="str">
        <f t="shared" si="21"/>
        <v>Low</v>
      </c>
      <c r="AD223" t="str">
        <f t="shared" si="22"/>
        <v>Upsell premium bundle</v>
      </c>
      <c r="AE223">
        <f t="shared" si="23"/>
        <v>51</v>
      </c>
    </row>
    <row r="224" spans="1:31" x14ac:dyDescent="0.35">
      <c r="A224" t="s">
        <v>282</v>
      </c>
      <c r="B224" s="4">
        <v>46011</v>
      </c>
      <c r="C224" s="4">
        <v>46143</v>
      </c>
      <c r="D224" t="s">
        <v>60</v>
      </c>
      <c r="E224">
        <v>34</v>
      </c>
      <c r="F224" t="s">
        <v>43</v>
      </c>
      <c r="G224" t="s">
        <v>63</v>
      </c>
      <c r="H224" t="s">
        <v>35</v>
      </c>
      <c r="I224" t="s">
        <v>36</v>
      </c>
      <c r="J224">
        <v>4</v>
      </c>
      <c r="K224" s="5">
        <v>21.02</v>
      </c>
      <c r="L224" s="5">
        <v>112.8</v>
      </c>
      <c r="M224">
        <v>34</v>
      </c>
      <c r="N224">
        <v>22</v>
      </c>
      <c r="O224">
        <v>7</v>
      </c>
      <c r="P224">
        <v>0</v>
      </c>
      <c r="Q224">
        <v>22</v>
      </c>
      <c r="R224">
        <v>0</v>
      </c>
      <c r="S224">
        <v>2</v>
      </c>
      <c r="T224">
        <v>1</v>
      </c>
      <c r="U224">
        <v>0</v>
      </c>
      <c r="V224">
        <v>0</v>
      </c>
      <c r="W224" t="s">
        <v>37</v>
      </c>
      <c r="X224">
        <v>-13</v>
      </c>
      <c r="Y224">
        <v>0</v>
      </c>
      <c r="Z224">
        <f t="shared" si="18"/>
        <v>81</v>
      </c>
      <c r="AA224">
        <f t="shared" si="19"/>
        <v>1.6470588235294117</v>
      </c>
      <c r="AB224">
        <f t="shared" si="20"/>
        <v>38</v>
      </c>
      <c r="AC224" t="str">
        <f t="shared" si="21"/>
        <v>Low</v>
      </c>
      <c r="AD224" t="str">
        <f t="shared" si="22"/>
        <v>Upsell premium bundle</v>
      </c>
      <c r="AE224">
        <f t="shared" si="23"/>
        <v>19</v>
      </c>
    </row>
    <row r="225" spans="1:31" x14ac:dyDescent="0.35">
      <c r="A225" t="s">
        <v>283</v>
      </c>
      <c r="B225" s="4">
        <v>45681</v>
      </c>
      <c r="C225" s="4">
        <v>46143</v>
      </c>
      <c r="D225" t="s">
        <v>32</v>
      </c>
      <c r="E225">
        <v>71</v>
      </c>
      <c r="F225" t="s">
        <v>33</v>
      </c>
      <c r="G225" t="s">
        <v>85</v>
      </c>
      <c r="H225" t="s">
        <v>41</v>
      </c>
      <c r="I225" t="s">
        <v>36</v>
      </c>
      <c r="J225">
        <v>15</v>
      </c>
      <c r="K225" s="5">
        <v>1026</v>
      </c>
      <c r="L225" s="5">
        <v>315.8</v>
      </c>
      <c r="M225">
        <v>9</v>
      </c>
      <c r="N225">
        <v>5</v>
      </c>
      <c r="O225">
        <v>1</v>
      </c>
      <c r="P225">
        <v>0</v>
      </c>
      <c r="Q225">
        <v>1</v>
      </c>
      <c r="R225">
        <v>2</v>
      </c>
      <c r="S225">
        <v>0</v>
      </c>
      <c r="T225">
        <v>0</v>
      </c>
      <c r="U225">
        <v>0</v>
      </c>
      <c r="V225">
        <v>1</v>
      </c>
      <c r="W225" t="s">
        <v>50</v>
      </c>
      <c r="X225">
        <v>15</v>
      </c>
      <c r="Y225">
        <v>1</v>
      </c>
      <c r="Z225">
        <f t="shared" si="18"/>
        <v>23</v>
      </c>
      <c r="AA225">
        <f t="shared" si="19"/>
        <v>0.22222222222222221</v>
      </c>
      <c r="AB225">
        <f t="shared" si="20"/>
        <v>38</v>
      </c>
      <c r="AC225" t="str">
        <f t="shared" si="21"/>
        <v>Low</v>
      </c>
      <c r="AD225" t="str">
        <f t="shared" si="22"/>
        <v>Upsell premium bundle</v>
      </c>
      <c r="AE225">
        <f t="shared" si="23"/>
        <v>77</v>
      </c>
    </row>
    <row r="226" spans="1:31" x14ac:dyDescent="0.35">
      <c r="A226" t="s">
        <v>284</v>
      </c>
      <c r="B226" s="4">
        <v>44723</v>
      </c>
      <c r="C226" s="4">
        <v>46143</v>
      </c>
      <c r="D226" t="s">
        <v>39</v>
      </c>
      <c r="E226">
        <v>70</v>
      </c>
      <c r="F226" t="s">
        <v>43</v>
      </c>
      <c r="G226" t="s">
        <v>85</v>
      </c>
      <c r="H226" t="s">
        <v>58</v>
      </c>
      <c r="I226" t="s">
        <v>36</v>
      </c>
      <c r="J226">
        <v>47</v>
      </c>
      <c r="K226" s="5">
        <v>91.69</v>
      </c>
      <c r="L226" s="5">
        <v>69.75</v>
      </c>
      <c r="M226">
        <v>22</v>
      </c>
      <c r="N226">
        <v>7</v>
      </c>
      <c r="O226">
        <v>2</v>
      </c>
      <c r="P226">
        <v>2</v>
      </c>
      <c r="Q226">
        <v>22</v>
      </c>
      <c r="R226">
        <v>0</v>
      </c>
      <c r="S226">
        <v>0</v>
      </c>
      <c r="T226">
        <v>1</v>
      </c>
      <c r="U226">
        <v>0</v>
      </c>
      <c r="V226">
        <v>1</v>
      </c>
      <c r="W226" t="s">
        <v>55</v>
      </c>
      <c r="X226">
        <v>69</v>
      </c>
      <c r="Y226">
        <v>0</v>
      </c>
      <c r="Z226">
        <f t="shared" si="18"/>
        <v>61</v>
      </c>
      <c r="AA226">
        <f t="shared" si="19"/>
        <v>0.5714285714285714</v>
      </c>
      <c r="AB226">
        <f t="shared" si="20"/>
        <v>0</v>
      </c>
      <c r="AC226" t="str">
        <f t="shared" si="21"/>
        <v>Low</v>
      </c>
      <c r="AD226" t="str">
        <f t="shared" si="22"/>
        <v>Upsell premium bundle</v>
      </c>
      <c r="AE226">
        <f t="shared" si="23"/>
        <v>39</v>
      </c>
    </row>
    <row r="227" spans="1:31" x14ac:dyDescent="0.35">
      <c r="A227" t="s">
        <v>285</v>
      </c>
      <c r="B227" s="4">
        <v>44838</v>
      </c>
      <c r="C227" s="4">
        <v>46143</v>
      </c>
      <c r="D227" t="s">
        <v>47</v>
      </c>
      <c r="E227">
        <v>64</v>
      </c>
      <c r="F227" t="s">
        <v>43</v>
      </c>
      <c r="G227" t="s">
        <v>40</v>
      </c>
      <c r="H227" t="s">
        <v>41</v>
      </c>
      <c r="I227" t="s">
        <v>36</v>
      </c>
      <c r="J227">
        <v>43</v>
      </c>
      <c r="K227" s="5">
        <v>42.14</v>
      </c>
      <c r="L227" s="5">
        <v>23.56</v>
      </c>
      <c r="M227">
        <v>24</v>
      </c>
      <c r="N227">
        <v>9</v>
      </c>
      <c r="O227">
        <v>2</v>
      </c>
      <c r="P227">
        <v>0</v>
      </c>
      <c r="Q227">
        <v>22</v>
      </c>
      <c r="R227">
        <v>0</v>
      </c>
      <c r="S227">
        <v>0</v>
      </c>
      <c r="T227">
        <v>1</v>
      </c>
      <c r="U227">
        <v>1</v>
      </c>
      <c r="V227">
        <v>0</v>
      </c>
      <c r="W227" t="s">
        <v>55</v>
      </c>
      <c r="X227">
        <v>76</v>
      </c>
      <c r="Y227">
        <v>0</v>
      </c>
      <c r="Z227">
        <f t="shared" si="18"/>
        <v>63</v>
      </c>
      <c r="AA227">
        <f t="shared" si="19"/>
        <v>0.63013698630136983</v>
      </c>
      <c r="AB227">
        <f t="shared" si="20"/>
        <v>0</v>
      </c>
      <c r="AC227" t="str">
        <f t="shared" si="21"/>
        <v>Low</v>
      </c>
      <c r="AD227" t="str">
        <f t="shared" si="22"/>
        <v>Upsell premium bundle</v>
      </c>
      <c r="AE227">
        <f t="shared" si="23"/>
        <v>37</v>
      </c>
    </row>
    <row r="228" spans="1:31" x14ac:dyDescent="0.35">
      <c r="A228" t="s">
        <v>286</v>
      </c>
      <c r="B228" s="4">
        <v>45808</v>
      </c>
      <c r="C228" s="4">
        <v>46143</v>
      </c>
      <c r="D228" t="s">
        <v>39</v>
      </c>
      <c r="E228">
        <v>46</v>
      </c>
      <c r="F228" t="s">
        <v>61</v>
      </c>
      <c r="G228" t="s">
        <v>34</v>
      </c>
      <c r="H228" t="s">
        <v>41</v>
      </c>
      <c r="I228" t="s">
        <v>36</v>
      </c>
      <c r="J228">
        <v>11</v>
      </c>
      <c r="K228" s="5">
        <v>693.72</v>
      </c>
      <c r="L228" s="5">
        <v>999.18</v>
      </c>
      <c r="M228">
        <v>12</v>
      </c>
      <c r="N228">
        <v>6</v>
      </c>
      <c r="O228">
        <v>3</v>
      </c>
      <c r="P228">
        <v>2</v>
      </c>
      <c r="Q228">
        <v>15</v>
      </c>
      <c r="R228">
        <v>3</v>
      </c>
      <c r="S228">
        <v>2</v>
      </c>
      <c r="T228">
        <v>1</v>
      </c>
      <c r="U228">
        <v>1</v>
      </c>
      <c r="V228">
        <v>1</v>
      </c>
      <c r="W228" t="s">
        <v>52</v>
      </c>
      <c r="X228">
        <v>25</v>
      </c>
      <c r="Y228">
        <v>0</v>
      </c>
      <c r="Z228">
        <f t="shared" si="18"/>
        <v>52</v>
      </c>
      <c r="AA228">
        <f t="shared" si="19"/>
        <v>0.65853658536585369</v>
      </c>
      <c r="AB228">
        <f t="shared" si="20"/>
        <v>36</v>
      </c>
      <c r="AC228" t="str">
        <f t="shared" si="21"/>
        <v>Low</v>
      </c>
      <c r="AD228" t="str">
        <f t="shared" si="22"/>
        <v>Upsell premium bundle</v>
      </c>
      <c r="AE228">
        <f t="shared" si="23"/>
        <v>48</v>
      </c>
    </row>
    <row r="229" spans="1:31" x14ac:dyDescent="0.35">
      <c r="A229" t="s">
        <v>287</v>
      </c>
      <c r="B229" s="4">
        <v>44931</v>
      </c>
      <c r="C229" s="4">
        <v>46143</v>
      </c>
      <c r="D229" t="s">
        <v>32</v>
      </c>
      <c r="E229">
        <v>66</v>
      </c>
      <c r="F229" t="s">
        <v>57</v>
      </c>
      <c r="G229" t="s">
        <v>34</v>
      </c>
      <c r="H229" t="s">
        <v>41</v>
      </c>
      <c r="I229" t="s">
        <v>36</v>
      </c>
      <c r="J229">
        <v>40</v>
      </c>
      <c r="K229" s="5">
        <v>244.04</v>
      </c>
      <c r="L229" s="5">
        <v>0</v>
      </c>
      <c r="M229">
        <v>13</v>
      </c>
      <c r="N229">
        <v>4</v>
      </c>
      <c r="O229">
        <v>1</v>
      </c>
      <c r="P229">
        <v>2</v>
      </c>
      <c r="Q229">
        <v>30</v>
      </c>
      <c r="R229">
        <v>2</v>
      </c>
      <c r="S229">
        <v>0</v>
      </c>
      <c r="T229">
        <v>0</v>
      </c>
      <c r="U229">
        <v>1</v>
      </c>
      <c r="V229">
        <v>1</v>
      </c>
      <c r="W229" t="s">
        <v>45</v>
      </c>
      <c r="X229">
        <v>37</v>
      </c>
      <c r="Y229">
        <v>0</v>
      </c>
      <c r="Z229">
        <f t="shared" si="18"/>
        <v>63</v>
      </c>
      <c r="AA229">
        <f t="shared" si="19"/>
        <v>0.61428571428571432</v>
      </c>
      <c r="AB229">
        <f t="shared" si="20"/>
        <v>11</v>
      </c>
      <c r="AC229" t="str">
        <f t="shared" si="21"/>
        <v>Low</v>
      </c>
      <c r="AD229" t="str">
        <f t="shared" si="22"/>
        <v>Upsell premium bundle</v>
      </c>
      <c r="AE229">
        <f t="shared" si="23"/>
        <v>37</v>
      </c>
    </row>
    <row r="230" spans="1:31" x14ac:dyDescent="0.35">
      <c r="A230" t="s">
        <v>288</v>
      </c>
      <c r="B230" s="4">
        <v>45964</v>
      </c>
      <c r="C230" s="4">
        <v>46143</v>
      </c>
      <c r="D230" t="s">
        <v>32</v>
      </c>
      <c r="E230">
        <v>67</v>
      </c>
      <c r="F230" t="s">
        <v>57</v>
      </c>
      <c r="G230" t="s">
        <v>34</v>
      </c>
      <c r="H230" t="s">
        <v>58</v>
      </c>
      <c r="I230" t="s">
        <v>36</v>
      </c>
      <c r="J230">
        <v>5</v>
      </c>
      <c r="K230" s="5">
        <v>694.71</v>
      </c>
      <c r="L230" s="5">
        <v>445.53</v>
      </c>
      <c r="M230">
        <v>45</v>
      </c>
      <c r="N230">
        <v>18</v>
      </c>
      <c r="O230">
        <v>12</v>
      </c>
      <c r="P230">
        <v>1</v>
      </c>
      <c r="Q230">
        <v>34</v>
      </c>
      <c r="R230">
        <v>1</v>
      </c>
      <c r="S230">
        <v>3</v>
      </c>
      <c r="T230">
        <v>1</v>
      </c>
      <c r="U230">
        <v>1</v>
      </c>
      <c r="V230">
        <v>0</v>
      </c>
      <c r="W230" t="s">
        <v>37</v>
      </c>
      <c r="X230">
        <v>-18</v>
      </c>
      <c r="Y230">
        <v>0</v>
      </c>
      <c r="Z230">
        <f t="shared" si="18"/>
        <v>100</v>
      </c>
      <c r="AA230">
        <f t="shared" si="19"/>
        <v>2.2571428571428571</v>
      </c>
      <c r="AB230">
        <f t="shared" si="20"/>
        <v>40</v>
      </c>
      <c r="AC230" t="str">
        <f t="shared" si="21"/>
        <v>Medium</v>
      </c>
      <c r="AD230" t="str">
        <f t="shared" si="22"/>
        <v>Nudge core feature adoption</v>
      </c>
      <c r="AE230">
        <f t="shared" si="23"/>
        <v>0</v>
      </c>
    </row>
    <row r="231" spans="1:31" x14ac:dyDescent="0.35">
      <c r="A231" t="s">
        <v>289</v>
      </c>
      <c r="B231" s="4">
        <v>46078</v>
      </c>
      <c r="C231" s="4">
        <v>46143</v>
      </c>
      <c r="D231" t="s">
        <v>72</v>
      </c>
      <c r="E231">
        <v>27</v>
      </c>
      <c r="F231" t="s">
        <v>61</v>
      </c>
      <c r="G231" t="s">
        <v>63</v>
      </c>
      <c r="H231" t="s">
        <v>41</v>
      </c>
      <c r="I231" t="s">
        <v>36</v>
      </c>
      <c r="J231">
        <v>2</v>
      </c>
      <c r="K231" s="5">
        <v>3591.26</v>
      </c>
      <c r="L231" s="5">
        <v>2802.32</v>
      </c>
      <c r="M231">
        <v>24</v>
      </c>
      <c r="N231">
        <v>16</v>
      </c>
      <c r="O231">
        <v>1</v>
      </c>
      <c r="P231">
        <v>4</v>
      </c>
      <c r="Q231">
        <v>5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50</v>
      </c>
      <c r="X231">
        <v>28</v>
      </c>
      <c r="Y231">
        <v>0</v>
      </c>
      <c r="Z231">
        <f t="shared" si="18"/>
        <v>49</v>
      </c>
      <c r="AA231">
        <f t="shared" si="19"/>
        <v>0.90625</v>
      </c>
      <c r="AB231">
        <f t="shared" si="20"/>
        <v>14</v>
      </c>
      <c r="AC231" t="str">
        <f t="shared" si="21"/>
        <v>Low</v>
      </c>
      <c r="AD231" t="str">
        <f t="shared" si="22"/>
        <v>Upsell premium bundle</v>
      </c>
      <c r="AE231">
        <f t="shared" si="23"/>
        <v>51</v>
      </c>
    </row>
    <row r="232" spans="1:31" x14ac:dyDescent="0.35">
      <c r="A232" t="s">
        <v>290</v>
      </c>
      <c r="B232" s="4">
        <v>45498</v>
      </c>
      <c r="C232" s="4">
        <v>46143</v>
      </c>
      <c r="D232" t="s">
        <v>39</v>
      </c>
      <c r="E232">
        <v>30</v>
      </c>
      <c r="F232" t="s">
        <v>43</v>
      </c>
      <c r="G232" t="s">
        <v>85</v>
      </c>
      <c r="H232" t="s">
        <v>41</v>
      </c>
      <c r="I232" t="s">
        <v>36</v>
      </c>
      <c r="J232">
        <v>21</v>
      </c>
      <c r="K232" s="5">
        <v>66.03</v>
      </c>
      <c r="L232" s="5">
        <v>0</v>
      </c>
      <c r="M232">
        <v>15</v>
      </c>
      <c r="N232">
        <v>7</v>
      </c>
      <c r="O232">
        <v>2</v>
      </c>
      <c r="P232">
        <v>2</v>
      </c>
      <c r="Q232">
        <v>10</v>
      </c>
      <c r="R232">
        <v>0</v>
      </c>
      <c r="S232">
        <v>1</v>
      </c>
      <c r="T232">
        <v>1</v>
      </c>
      <c r="U232">
        <v>0</v>
      </c>
      <c r="V232">
        <v>0</v>
      </c>
      <c r="W232" t="s">
        <v>52</v>
      </c>
      <c r="X232">
        <v>19</v>
      </c>
      <c r="Y232">
        <v>0</v>
      </c>
      <c r="Z232">
        <f t="shared" si="18"/>
        <v>36</v>
      </c>
      <c r="AA232">
        <f t="shared" si="19"/>
        <v>0.49019607843137253</v>
      </c>
      <c r="AB232">
        <f t="shared" si="20"/>
        <v>42</v>
      </c>
      <c r="AC232" t="str">
        <f t="shared" si="21"/>
        <v>Medium</v>
      </c>
      <c r="AD232" t="str">
        <f t="shared" si="22"/>
        <v>Nudge core feature adoption</v>
      </c>
      <c r="AE232">
        <f t="shared" si="23"/>
        <v>64</v>
      </c>
    </row>
    <row r="233" spans="1:31" x14ac:dyDescent="0.35">
      <c r="A233" t="s">
        <v>291</v>
      </c>
      <c r="B233" s="4">
        <v>45337</v>
      </c>
      <c r="C233" s="4">
        <v>46143</v>
      </c>
      <c r="D233" t="s">
        <v>66</v>
      </c>
      <c r="E233">
        <v>44</v>
      </c>
      <c r="F233" t="s">
        <v>77</v>
      </c>
      <c r="G233" t="s">
        <v>85</v>
      </c>
      <c r="H233" t="s">
        <v>41</v>
      </c>
      <c r="I233" t="s">
        <v>36</v>
      </c>
      <c r="J233">
        <v>26</v>
      </c>
      <c r="K233" s="5">
        <v>14164.94</v>
      </c>
      <c r="L233" s="5">
        <v>6620.53</v>
      </c>
      <c r="M233">
        <v>20</v>
      </c>
      <c r="N233">
        <v>6</v>
      </c>
      <c r="O233">
        <v>2</v>
      </c>
      <c r="P233">
        <v>2</v>
      </c>
      <c r="Q233">
        <v>15</v>
      </c>
      <c r="R233">
        <v>0</v>
      </c>
      <c r="S233">
        <v>0</v>
      </c>
      <c r="T233">
        <v>1</v>
      </c>
      <c r="U233">
        <v>0</v>
      </c>
      <c r="V233">
        <v>0</v>
      </c>
      <c r="W233" t="s">
        <v>37</v>
      </c>
      <c r="X233">
        <v>30</v>
      </c>
      <c r="Y233">
        <v>0</v>
      </c>
      <c r="Z233">
        <f t="shared" si="18"/>
        <v>45</v>
      </c>
      <c r="AA233">
        <f t="shared" si="19"/>
        <v>0.625</v>
      </c>
      <c r="AB233">
        <f t="shared" si="20"/>
        <v>15</v>
      </c>
      <c r="AC233" t="str">
        <f t="shared" si="21"/>
        <v>Low</v>
      </c>
      <c r="AD233" t="str">
        <f t="shared" si="22"/>
        <v>Upsell premium bundle</v>
      </c>
      <c r="AE233">
        <f t="shared" si="23"/>
        <v>55</v>
      </c>
    </row>
    <row r="234" spans="1:31" x14ac:dyDescent="0.35">
      <c r="A234" t="s">
        <v>292</v>
      </c>
      <c r="B234" s="4">
        <v>46096</v>
      </c>
      <c r="C234" s="4">
        <v>46143</v>
      </c>
      <c r="D234" t="s">
        <v>32</v>
      </c>
      <c r="E234">
        <v>25</v>
      </c>
      <c r="F234" t="s">
        <v>33</v>
      </c>
      <c r="G234" t="s">
        <v>63</v>
      </c>
      <c r="H234" t="s">
        <v>41</v>
      </c>
      <c r="I234" t="s">
        <v>36</v>
      </c>
      <c r="J234">
        <v>1</v>
      </c>
      <c r="K234" s="5">
        <v>219.54</v>
      </c>
      <c r="L234" s="5">
        <v>472.27</v>
      </c>
      <c r="M234">
        <v>19</v>
      </c>
      <c r="N234">
        <v>9</v>
      </c>
      <c r="O234">
        <v>2</v>
      </c>
      <c r="P234">
        <v>0</v>
      </c>
      <c r="Q234">
        <v>12</v>
      </c>
      <c r="R234">
        <v>1</v>
      </c>
      <c r="S234">
        <v>0</v>
      </c>
      <c r="T234">
        <v>0</v>
      </c>
      <c r="U234">
        <v>0</v>
      </c>
      <c r="V234">
        <v>0</v>
      </c>
      <c r="W234" t="s">
        <v>45</v>
      </c>
      <c r="X234">
        <v>33</v>
      </c>
      <c r="Y234">
        <v>0</v>
      </c>
      <c r="Z234">
        <f t="shared" si="18"/>
        <v>40</v>
      </c>
      <c r="AA234">
        <f t="shared" si="19"/>
        <v>1</v>
      </c>
      <c r="AB234">
        <f t="shared" si="20"/>
        <v>24</v>
      </c>
      <c r="AC234" t="str">
        <f t="shared" si="21"/>
        <v>Low</v>
      </c>
      <c r="AD234" t="str">
        <f t="shared" si="22"/>
        <v>Upsell premium bundle</v>
      </c>
      <c r="AE234">
        <f t="shared" si="23"/>
        <v>60</v>
      </c>
    </row>
    <row r="235" spans="1:31" x14ac:dyDescent="0.35">
      <c r="A235" t="s">
        <v>293</v>
      </c>
      <c r="B235" s="4">
        <v>46110</v>
      </c>
      <c r="C235" s="4">
        <v>46143</v>
      </c>
      <c r="D235" t="s">
        <v>32</v>
      </c>
      <c r="E235">
        <v>68</v>
      </c>
      <c r="F235" t="s">
        <v>57</v>
      </c>
      <c r="G235" t="s">
        <v>34</v>
      </c>
      <c r="H235" t="s">
        <v>41</v>
      </c>
      <c r="I235" t="s">
        <v>36</v>
      </c>
      <c r="J235">
        <v>1</v>
      </c>
      <c r="K235" s="5">
        <v>2151.7199999999998</v>
      </c>
      <c r="L235" s="5">
        <v>224.65</v>
      </c>
      <c r="M235">
        <v>44</v>
      </c>
      <c r="N235">
        <v>25</v>
      </c>
      <c r="O235">
        <v>10</v>
      </c>
      <c r="P235">
        <v>7</v>
      </c>
      <c r="Q235">
        <v>29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50</v>
      </c>
      <c r="X235">
        <v>33</v>
      </c>
      <c r="Y235">
        <v>0</v>
      </c>
      <c r="Z235">
        <f t="shared" si="18"/>
        <v>100</v>
      </c>
      <c r="AA235">
        <f t="shared" si="19"/>
        <v>2.3548387096774195</v>
      </c>
      <c r="AB235">
        <f t="shared" si="20"/>
        <v>2</v>
      </c>
      <c r="AC235" t="str">
        <f t="shared" si="21"/>
        <v>Low</v>
      </c>
      <c r="AD235" t="str">
        <f t="shared" si="22"/>
        <v>Upsell premium bundle</v>
      </c>
      <c r="AE235">
        <f t="shared" si="23"/>
        <v>0</v>
      </c>
    </row>
    <row r="236" spans="1:31" x14ac:dyDescent="0.35">
      <c r="A236" t="s">
        <v>294</v>
      </c>
      <c r="B236" s="4">
        <v>45718</v>
      </c>
      <c r="C236" s="4">
        <v>46143</v>
      </c>
      <c r="D236" t="s">
        <v>72</v>
      </c>
      <c r="E236">
        <v>70</v>
      </c>
      <c r="F236" t="s">
        <v>33</v>
      </c>
      <c r="G236" t="s">
        <v>67</v>
      </c>
      <c r="H236" t="s">
        <v>41</v>
      </c>
      <c r="I236" t="s">
        <v>36</v>
      </c>
      <c r="J236">
        <v>14</v>
      </c>
      <c r="K236" s="5">
        <v>378.54</v>
      </c>
      <c r="L236" s="5">
        <v>467.65</v>
      </c>
      <c r="M236">
        <v>21</v>
      </c>
      <c r="N236">
        <v>8</v>
      </c>
      <c r="O236">
        <v>5</v>
      </c>
      <c r="P236">
        <v>3</v>
      </c>
      <c r="Q236">
        <v>23</v>
      </c>
      <c r="R236">
        <v>3</v>
      </c>
      <c r="S236">
        <v>1</v>
      </c>
      <c r="T236">
        <v>1</v>
      </c>
      <c r="U236">
        <v>0</v>
      </c>
      <c r="V236">
        <v>1</v>
      </c>
      <c r="W236" t="s">
        <v>37</v>
      </c>
      <c r="X236">
        <v>16</v>
      </c>
      <c r="Y236">
        <v>0</v>
      </c>
      <c r="Z236">
        <f t="shared" si="18"/>
        <v>67</v>
      </c>
      <c r="AA236">
        <f t="shared" si="19"/>
        <v>1</v>
      </c>
      <c r="AB236">
        <f t="shared" si="20"/>
        <v>27</v>
      </c>
      <c r="AC236" t="str">
        <f t="shared" si="21"/>
        <v>Low</v>
      </c>
      <c r="AD236" t="str">
        <f t="shared" si="22"/>
        <v>Upsell premium bundle</v>
      </c>
      <c r="AE236">
        <f t="shared" si="23"/>
        <v>33</v>
      </c>
    </row>
    <row r="237" spans="1:31" x14ac:dyDescent="0.35">
      <c r="A237" t="s">
        <v>295</v>
      </c>
      <c r="B237" s="4">
        <v>44725</v>
      </c>
      <c r="C237" s="4">
        <v>46143</v>
      </c>
      <c r="D237" t="s">
        <v>72</v>
      </c>
      <c r="E237">
        <v>23</v>
      </c>
      <c r="F237" t="s">
        <v>57</v>
      </c>
      <c r="G237" t="s">
        <v>67</v>
      </c>
      <c r="H237" t="s">
        <v>44</v>
      </c>
      <c r="I237" t="s">
        <v>49</v>
      </c>
      <c r="J237">
        <v>47</v>
      </c>
      <c r="K237" s="5">
        <v>857.28</v>
      </c>
      <c r="L237" s="5">
        <v>684.77</v>
      </c>
      <c r="M237">
        <v>43</v>
      </c>
      <c r="N237">
        <v>30</v>
      </c>
      <c r="O237">
        <v>7</v>
      </c>
      <c r="P237">
        <v>0</v>
      </c>
      <c r="Q237">
        <v>20</v>
      </c>
      <c r="R237">
        <v>1</v>
      </c>
      <c r="S237">
        <v>2</v>
      </c>
      <c r="T237">
        <v>1</v>
      </c>
      <c r="U237">
        <v>0</v>
      </c>
      <c r="V237">
        <v>0</v>
      </c>
      <c r="W237" t="s">
        <v>50</v>
      </c>
      <c r="X237">
        <v>19</v>
      </c>
      <c r="Y237">
        <v>0</v>
      </c>
      <c r="Z237">
        <f t="shared" si="18"/>
        <v>95</v>
      </c>
      <c r="AA237">
        <f t="shared" si="19"/>
        <v>0.81818181818181823</v>
      </c>
      <c r="AB237">
        <f t="shared" si="20"/>
        <v>31</v>
      </c>
      <c r="AC237" t="str">
        <f t="shared" si="21"/>
        <v>Low</v>
      </c>
      <c r="AD237" t="str">
        <f t="shared" si="22"/>
        <v>Upsell premium bundle</v>
      </c>
      <c r="AE237">
        <f t="shared" si="23"/>
        <v>5</v>
      </c>
    </row>
    <row r="238" spans="1:31" x14ac:dyDescent="0.35">
      <c r="A238" t="s">
        <v>296</v>
      </c>
      <c r="B238" s="4">
        <v>45786</v>
      </c>
      <c r="C238" s="4">
        <v>46143</v>
      </c>
      <c r="D238" t="s">
        <v>60</v>
      </c>
      <c r="E238">
        <v>36</v>
      </c>
      <c r="F238" t="s">
        <v>43</v>
      </c>
      <c r="G238" t="s">
        <v>34</v>
      </c>
      <c r="H238" t="s">
        <v>41</v>
      </c>
      <c r="I238" t="s">
        <v>36</v>
      </c>
      <c r="J238">
        <v>11</v>
      </c>
      <c r="K238" s="5">
        <v>75.430000000000007</v>
      </c>
      <c r="L238" s="5">
        <v>10.7</v>
      </c>
      <c r="M238">
        <v>35</v>
      </c>
      <c r="N238">
        <v>25</v>
      </c>
      <c r="O238">
        <v>2</v>
      </c>
      <c r="P238">
        <v>5</v>
      </c>
      <c r="Q238">
        <v>23</v>
      </c>
      <c r="R238">
        <v>0</v>
      </c>
      <c r="S238">
        <v>0</v>
      </c>
      <c r="T238">
        <v>1</v>
      </c>
      <c r="U238">
        <v>1</v>
      </c>
      <c r="V238">
        <v>0</v>
      </c>
      <c r="W238" t="s">
        <v>50</v>
      </c>
      <c r="X238">
        <v>42</v>
      </c>
      <c r="Y238">
        <v>0</v>
      </c>
      <c r="Z238">
        <f t="shared" si="18"/>
        <v>94</v>
      </c>
      <c r="AA238">
        <f t="shared" si="19"/>
        <v>1.4146341463414633</v>
      </c>
      <c r="AB238">
        <f t="shared" si="20"/>
        <v>0</v>
      </c>
      <c r="AC238" t="str">
        <f t="shared" si="21"/>
        <v>Low</v>
      </c>
      <c r="AD238" t="str">
        <f t="shared" si="22"/>
        <v>Upsell premium bundle</v>
      </c>
      <c r="AE238">
        <f t="shared" si="23"/>
        <v>6</v>
      </c>
    </row>
    <row r="239" spans="1:31" x14ac:dyDescent="0.35">
      <c r="A239" t="s">
        <v>297</v>
      </c>
      <c r="B239" s="4">
        <v>44974</v>
      </c>
      <c r="C239" s="4">
        <v>46143</v>
      </c>
      <c r="D239" t="s">
        <v>32</v>
      </c>
      <c r="E239">
        <v>29</v>
      </c>
      <c r="F239" t="s">
        <v>43</v>
      </c>
      <c r="G239" t="s">
        <v>40</v>
      </c>
      <c r="H239" t="s">
        <v>41</v>
      </c>
      <c r="I239" t="s">
        <v>36</v>
      </c>
      <c r="J239">
        <v>38</v>
      </c>
      <c r="K239" s="5">
        <v>76.62</v>
      </c>
      <c r="L239" s="5">
        <v>63.04</v>
      </c>
      <c r="M239">
        <v>17</v>
      </c>
      <c r="N239">
        <v>11</v>
      </c>
      <c r="O239">
        <v>1</v>
      </c>
      <c r="P239">
        <v>2</v>
      </c>
      <c r="Q239">
        <v>7</v>
      </c>
      <c r="R239">
        <v>0</v>
      </c>
      <c r="S239">
        <v>0</v>
      </c>
      <c r="T239">
        <v>1</v>
      </c>
      <c r="U239">
        <v>0</v>
      </c>
      <c r="V239">
        <v>1</v>
      </c>
      <c r="W239" t="s">
        <v>37</v>
      </c>
      <c r="X239">
        <v>11</v>
      </c>
      <c r="Y239">
        <v>0</v>
      </c>
      <c r="Z239">
        <f t="shared" si="18"/>
        <v>44</v>
      </c>
      <c r="AA239">
        <f t="shared" si="19"/>
        <v>0.35294117647058826</v>
      </c>
      <c r="AB239">
        <f t="shared" si="20"/>
        <v>35</v>
      </c>
      <c r="AC239" t="str">
        <f t="shared" si="21"/>
        <v>Low</v>
      </c>
      <c r="AD239" t="str">
        <f t="shared" si="22"/>
        <v>Upsell premium bundle</v>
      </c>
      <c r="AE239">
        <f t="shared" si="23"/>
        <v>56</v>
      </c>
    </row>
    <row r="240" spans="1:31" x14ac:dyDescent="0.35">
      <c r="A240" t="s">
        <v>298</v>
      </c>
      <c r="B240" s="4">
        <v>45425</v>
      </c>
      <c r="C240" s="4">
        <v>46143</v>
      </c>
      <c r="D240" t="s">
        <v>72</v>
      </c>
      <c r="E240">
        <v>72</v>
      </c>
      <c r="F240" t="s">
        <v>57</v>
      </c>
      <c r="G240" t="s">
        <v>85</v>
      </c>
      <c r="H240" t="s">
        <v>58</v>
      </c>
      <c r="I240" t="s">
        <v>36</v>
      </c>
      <c r="J240">
        <v>23</v>
      </c>
      <c r="K240" s="5">
        <v>1243.73</v>
      </c>
      <c r="L240" s="5">
        <v>241.51</v>
      </c>
      <c r="M240">
        <v>23</v>
      </c>
      <c r="N240">
        <v>11</v>
      </c>
      <c r="O240">
        <v>6</v>
      </c>
      <c r="P240">
        <v>0</v>
      </c>
      <c r="Q240">
        <v>28</v>
      </c>
      <c r="R240">
        <v>5</v>
      </c>
      <c r="S240">
        <v>1</v>
      </c>
      <c r="T240">
        <v>0</v>
      </c>
      <c r="U240">
        <v>1</v>
      </c>
      <c r="V240">
        <v>0</v>
      </c>
      <c r="W240" t="s">
        <v>45</v>
      </c>
      <c r="X240">
        <v>17</v>
      </c>
      <c r="Y240">
        <v>0</v>
      </c>
      <c r="Z240">
        <f t="shared" si="18"/>
        <v>73</v>
      </c>
      <c r="AA240">
        <f t="shared" si="19"/>
        <v>0.96226415094339623</v>
      </c>
      <c r="AB240">
        <f t="shared" si="20"/>
        <v>11</v>
      </c>
      <c r="AC240" t="str">
        <f t="shared" si="21"/>
        <v>Low</v>
      </c>
      <c r="AD240" t="str">
        <f t="shared" si="22"/>
        <v>Upsell premium bundle</v>
      </c>
      <c r="AE240">
        <f t="shared" si="23"/>
        <v>27</v>
      </c>
    </row>
    <row r="241" spans="1:31" x14ac:dyDescent="0.35">
      <c r="A241" t="s">
        <v>299</v>
      </c>
      <c r="B241" s="4">
        <v>44908</v>
      </c>
      <c r="C241" s="4">
        <v>46143</v>
      </c>
      <c r="D241" t="s">
        <v>66</v>
      </c>
      <c r="E241">
        <v>41</v>
      </c>
      <c r="F241" t="s">
        <v>57</v>
      </c>
      <c r="G241" t="s">
        <v>67</v>
      </c>
      <c r="H241" t="s">
        <v>41</v>
      </c>
      <c r="I241" t="s">
        <v>49</v>
      </c>
      <c r="J241">
        <v>41</v>
      </c>
      <c r="K241" s="5">
        <v>2093.0700000000002</v>
      </c>
      <c r="L241" s="5">
        <v>506.11</v>
      </c>
      <c r="M241">
        <v>31</v>
      </c>
      <c r="N241">
        <v>20</v>
      </c>
      <c r="O241">
        <v>8</v>
      </c>
      <c r="P241">
        <v>5</v>
      </c>
      <c r="Q241">
        <v>26</v>
      </c>
      <c r="R241">
        <v>3</v>
      </c>
      <c r="S241">
        <v>1</v>
      </c>
      <c r="T241">
        <v>1</v>
      </c>
      <c r="U241">
        <v>0</v>
      </c>
      <c r="V241">
        <v>0</v>
      </c>
      <c r="W241" t="s">
        <v>37</v>
      </c>
      <c r="X241">
        <v>55</v>
      </c>
      <c r="Y241">
        <v>0</v>
      </c>
      <c r="Z241">
        <f t="shared" si="18"/>
        <v>88</v>
      </c>
      <c r="AA241">
        <f t="shared" si="19"/>
        <v>0.80281690140845074</v>
      </c>
      <c r="AB241">
        <f t="shared" si="20"/>
        <v>15</v>
      </c>
      <c r="AC241" t="str">
        <f t="shared" si="21"/>
        <v>Low</v>
      </c>
      <c r="AD241" t="str">
        <f t="shared" si="22"/>
        <v>Upsell premium bundle</v>
      </c>
      <c r="AE241">
        <f t="shared" si="23"/>
        <v>12</v>
      </c>
    </row>
    <row r="242" spans="1:31" x14ac:dyDescent="0.35">
      <c r="A242" t="s">
        <v>300</v>
      </c>
      <c r="B242" s="4">
        <v>45195</v>
      </c>
      <c r="C242" s="4">
        <v>46143</v>
      </c>
      <c r="D242" t="s">
        <v>72</v>
      </c>
      <c r="E242">
        <v>51</v>
      </c>
      <c r="F242" t="s">
        <v>33</v>
      </c>
      <c r="G242" t="s">
        <v>34</v>
      </c>
      <c r="H242" t="s">
        <v>58</v>
      </c>
      <c r="I242" t="s">
        <v>36</v>
      </c>
      <c r="J242">
        <v>31</v>
      </c>
      <c r="K242" s="5">
        <v>148.27000000000001</v>
      </c>
      <c r="L242" s="5">
        <v>362.9</v>
      </c>
      <c r="M242">
        <v>24</v>
      </c>
      <c r="N242">
        <v>14</v>
      </c>
      <c r="O242">
        <v>6</v>
      </c>
      <c r="P242">
        <v>3</v>
      </c>
      <c r="Q242">
        <v>28</v>
      </c>
      <c r="R242">
        <v>1</v>
      </c>
      <c r="S242">
        <v>1</v>
      </c>
      <c r="T242">
        <v>1</v>
      </c>
      <c r="U242">
        <v>1</v>
      </c>
      <c r="V242">
        <v>1</v>
      </c>
      <c r="W242" t="s">
        <v>50</v>
      </c>
      <c r="X242">
        <v>82</v>
      </c>
      <c r="Y242">
        <v>1</v>
      </c>
      <c r="Z242">
        <f t="shared" si="18"/>
        <v>88</v>
      </c>
      <c r="AA242">
        <f t="shared" si="19"/>
        <v>0.85245901639344257</v>
      </c>
      <c r="AB242">
        <f t="shared" si="20"/>
        <v>0</v>
      </c>
      <c r="AC242" t="str">
        <f t="shared" si="21"/>
        <v>Low</v>
      </c>
      <c r="AD242" t="str">
        <f t="shared" si="22"/>
        <v>Upsell premium bundle</v>
      </c>
      <c r="AE242">
        <f t="shared" si="23"/>
        <v>12</v>
      </c>
    </row>
    <row r="243" spans="1:31" x14ac:dyDescent="0.35">
      <c r="A243" t="s">
        <v>301</v>
      </c>
      <c r="B243" s="4">
        <v>45486</v>
      </c>
      <c r="C243" s="4">
        <v>46143</v>
      </c>
      <c r="D243" t="s">
        <v>32</v>
      </c>
      <c r="E243">
        <v>52</v>
      </c>
      <c r="F243" t="s">
        <v>77</v>
      </c>
      <c r="G243" t="s">
        <v>67</v>
      </c>
      <c r="H243" t="s">
        <v>41</v>
      </c>
      <c r="I243" t="s">
        <v>36</v>
      </c>
      <c r="J243">
        <v>21</v>
      </c>
      <c r="K243" s="5">
        <v>12102.32</v>
      </c>
      <c r="L243" s="5">
        <v>14687.99</v>
      </c>
      <c r="M243">
        <v>4</v>
      </c>
      <c r="N243">
        <v>2</v>
      </c>
      <c r="O243">
        <v>0</v>
      </c>
      <c r="P243">
        <v>0</v>
      </c>
      <c r="Q243">
        <v>12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37</v>
      </c>
      <c r="X243">
        <v>4</v>
      </c>
      <c r="Y243">
        <v>1</v>
      </c>
      <c r="Z243">
        <f t="shared" si="18"/>
        <v>17</v>
      </c>
      <c r="AA243">
        <f t="shared" si="19"/>
        <v>0.31372549019607843</v>
      </c>
      <c r="AB243">
        <f t="shared" si="20"/>
        <v>39</v>
      </c>
      <c r="AC243" t="str">
        <f t="shared" si="21"/>
        <v>Low</v>
      </c>
      <c r="AD243" t="str">
        <f t="shared" si="22"/>
        <v>Upsell premium bundle</v>
      </c>
      <c r="AE243">
        <f t="shared" si="23"/>
        <v>83</v>
      </c>
    </row>
    <row r="244" spans="1:31" x14ac:dyDescent="0.35">
      <c r="A244" t="s">
        <v>302</v>
      </c>
      <c r="B244" s="4">
        <v>46084</v>
      </c>
      <c r="C244" s="4">
        <v>46143</v>
      </c>
      <c r="D244" t="s">
        <v>39</v>
      </c>
      <c r="E244">
        <v>50</v>
      </c>
      <c r="F244" t="s">
        <v>43</v>
      </c>
      <c r="G244" t="s">
        <v>34</v>
      </c>
      <c r="H244" t="s">
        <v>58</v>
      </c>
      <c r="I244" t="s">
        <v>36</v>
      </c>
      <c r="J244">
        <v>1</v>
      </c>
      <c r="K244" s="5">
        <v>111.25</v>
      </c>
      <c r="L244" s="5">
        <v>33.340000000000003</v>
      </c>
      <c r="M244">
        <v>47</v>
      </c>
      <c r="N244">
        <v>13</v>
      </c>
      <c r="O244">
        <v>12</v>
      </c>
      <c r="P244">
        <v>5</v>
      </c>
      <c r="Q244">
        <v>31</v>
      </c>
      <c r="R244">
        <v>0</v>
      </c>
      <c r="S244">
        <v>0</v>
      </c>
      <c r="T244">
        <v>1</v>
      </c>
      <c r="U244">
        <v>0</v>
      </c>
      <c r="V244">
        <v>0</v>
      </c>
      <c r="W244" t="s">
        <v>52</v>
      </c>
      <c r="X244">
        <v>60</v>
      </c>
      <c r="Y244">
        <v>0</v>
      </c>
      <c r="Z244">
        <f t="shared" si="18"/>
        <v>100</v>
      </c>
      <c r="AA244">
        <f t="shared" si="19"/>
        <v>2.5161290322580645</v>
      </c>
      <c r="AB244">
        <f t="shared" si="20"/>
        <v>0</v>
      </c>
      <c r="AC244" t="str">
        <f t="shared" si="21"/>
        <v>Low</v>
      </c>
      <c r="AD244" t="str">
        <f t="shared" si="22"/>
        <v>Upsell premium bundle</v>
      </c>
      <c r="AE244">
        <f t="shared" si="23"/>
        <v>0</v>
      </c>
    </row>
    <row r="245" spans="1:31" x14ac:dyDescent="0.35">
      <c r="A245" t="s">
        <v>303</v>
      </c>
      <c r="B245" s="4">
        <v>45914</v>
      </c>
      <c r="C245" s="4">
        <v>46143</v>
      </c>
      <c r="D245" t="s">
        <v>72</v>
      </c>
      <c r="E245">
        <v>36</v>
      </c>
      <c r="F245" t="s">
        <v>33</v>
      </c>
      <c r="G245" t="s">
        <v>67</v>
      </c>
      <c r="H245" t="s">
        <v>41</v>
      </c>
      <c r="I245" t="s">
        <v>36</v>
      </c>
      <c r="J245">
        <v>7</v>
      </c>
      <c r="K245" s="5">
        <v>63.09</v>
      </c>
      <c r="L245" s="5">
        <v>194.57</v>
      </c>
      <c r="M245">
        <v>20</v>
      </c>
      <c r="N245">
        <v>11</v>
      </c>
      <c r="O245">
        <v>2</v>
      </c>
      <c r="P245">
        <v>0</v>
      </c>
      <c r="Q245">
        <v>16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50</v>
      </c>
      <c r="X245">
        <v>70</v>
      </c>
      <c r="Y245">
        <v>0</v>
      </c>
      <c r="Z245">
        <f t="shared" si="18"/>
        <v>47</v>
      </c>
      <c r="AA245">
        <f t="shared" si="19"/>
        <v>0.97297297297297303</v>
      </c>
      <c r="AB245">
        <f t="shared" si="20"/>
        <v>4</v>
      </c>
      <c r="AC245" t="str">
        <f t="shared" si="21"/>
        <v>Low</v>
      </c>
      <c r="AD245" t="str">
        <f t="shared" si="22"/>
        <v>Upsell premium bundle</v>
      </c>
      <c r="AE245">
        <f t="shared" si="23"/>
        <v>53</v>
      </c>
    </row>
    <row r="246" spans="1:31" x14ac:dyDescent="0.35">
      <c r="A246" t="s">
        <v>304</v>
      </c>
      <c r="B246" s="4">
        <v>45219</v>
      </c>
      <c r="C246" s="4">
        <v>46143</v>
      </c>
      <c r="D246" t="s">
        <v>60</v>
      </c>
      <c r="E246">
        <v>52</v>
      </c>
      <c r="F246" t="s">
        <v>33</v>
      </c>
      <c r="G246" t="s">
        <v>63</v>
      </c>
      <c r="H246" t="s">
        <v>41</v>
      </c>
      <c r="I246" t="s">
        <v>36</v>
      </c>
      <c r="J246">
        <v>30</v>
      </c>
      <c r="K246" s="5">
        <v>487.61</v>
      </c>
      <c r="L246" s="5">
        <v>64.02</v>
      </c>
      <c r="M246">
        <v>30</v>
      </c>
      <c r="N246">
        <v>8</v>
      </c>
      <c r="O246">
        <v>3</v>
      </c>
      <c r="P246">
        <v>0</v>
      </c>
      <c r="Q246">
        <v>14</v>
      </c>
      <c r="R246">
        <v>3</v>
      </c>
      <c r="S246">
        <v>1</v>
      </c>
      <c r="T246">
        <v>1</v>
      </c>
      <c r="U246">
        <v>0</v>
      </c>
      <c r="V246">
        <v>0</v>
      </c>
      <c r="W246" t="s">
        <v>50</v>
      </c>
      <c r="X246">
        <v>42</v>
      </c>
      <c r="Y246">
        <v>0</v>
      </c>
      <c r="Z246">
        <f t="shared" si="18"/>
        <v>55</v>
      </c>
      <c r="AA246">
        <f t="shared" si="19"/>
        <v>0.73333333333333328</v>
      </c>
      <c r="AB246">
        <f t="shared" si="20"/>
        <v>19</v>
      </c>
      <c r="AC246" t="str">
        <f t="shared" si="21"/>
        <v>Low</v>
      </c>
      <c r="AD246" t="str">
        <f t="shared" si="22"/>
        <v>Upsell premium bundle</v>
      </c>
      <c r="AE246">
        <f t="shared" si="23"/>
        <v>45</v>
      </c>
    </row>
    <row r="247" spans="1:31" x14ac:dyDescent="0.35">
      <c r="A247" t="s">
        <v>305</v>
      </c>
      <c r="B247" s="4">
        <v>46010</v>
      </c>
      <c r="C247" s="4">
        <v>46143</v>
      </c>
      <c r="D247" t="s">
        <v>32</v>
      </c>
      <c r="E247">
        <v>27</v>
      </c>
      <c r="F247" t="s">
        <v>43</v>
      </c>
      <c r="G247" t="s">
        <v>48</v>
      </c>
      <c r="H247" t="s">
        <v>41</v>
      </c>
      <c r="I247" t="s">
        <v>49</v>
      </c>
      <c r="J247">
        <v>4</v>
      </c>
      <c r="K247" s="5">
        <v>143.97</v>
      </c>
      <c r="L247" s="5">
        <v>91.54</v>
      </c>
      <c r="M247">
        <v>26</v>
      </c>
      <c r="N247">
        <v>19</v>
      </c>
      <c r="O247">
        <v>6</v>
      </c>
      <c r="P247">
        <v>3</v>
      </c>
      <c r="Q247">
        <v>7</v>
      </c>
      <c r="R247">
        <v>3</v>
      </c>
      <c r="S247">
        <v>2</v>
      </c>
      <c r="T247">
        <v>1</v>
      </c>
      <c r="U247">
        <v>0</v>
      </c>
      <c r="V247">
        <v>1</v>
      </c>
      <c r="W247" t="s">
        <v>52</v>
      </c>
      <c r="X247">
        <v>-32</v>
      </c>
      <c r="Y247">
        <v>1</v>
      </c>
      <c r="Z247">
        <f t="shared" si="18"/>
        <v>67</v>
      </c>
      <c r="AA247">
        <f t="shared" si="19"/>
        <v>0.97058823529411764</v>
      </c>
      <c r="AB247">
        <f t="shared" si="20"/>
        <v>75</v>
      </c>
      <c r="AC247" t="str">
        <f t="shared" si="21"/>
        <v>High</v>
      </c>
      <c r="AD247" t="str">
        <f t="shared" si="22"/>
        <v>Retention call</v>
      </c>
      <c r="AE247">
        <f t="shared" si="23"/>
        <v>33</v>
      </c>
    </row>
    <row r="248" spans="1:31" x14ac:dyDescent="0.35">
      <c r="A248" t="s">
        <v>306</v>
      </c>
      <c r="B248" s="4">
        <v>46069</v>
      </c>
      <c r="C248" s="4">
        <v>46143</v>
      </c>
      <c r="D248" t="s">
        <v>39</v>
      </c>
      <c r="E248">
        <v>60</v>
      </c>
      <c r="F248" t="s">
        <v>33</v>
      </c>
      <c r="G248" t="s">
        <v>85</v>
      </c>
      <c r="H248" t="s">
        <v>41</v>
      </c>
      <c r="I248" t="s">
        <v>36</v>
      </c>
      <c r="J248">
        <v>2</v>
      </c>
      <c r="K248" s="5">
        <v>305.56</v>
      </c>
      <c r="L248" s="5">
        <v>138.09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0</v>
      </c>
      <c r="T248">
        <v>1</v>
      </c>
      <c r="U248">
        <v>0</v>
      </c>
      <c r="V248">
        <v>0</v>
      </c>
      <c r="W248" t="s">
        <v>55</v>
      </c>
      <c r="X248">
        <v>5</v>
      </c>
      <c r="Y248">
        <v>1</v>
      </c>
      <c r="Z248">
        <f t="shared" si="18"/>
        <v>2</v>
      </c>
      <c r="AA248">
        <f t="shared" si="19"/>
        <v>6.25E-2</v>
      </c>
      <c r="AB248">
        <f t="shared" si="20"/>
        <v>52</v>
      </c>
      <c r="AC248" t="str">
        <f t="shared" si="21"/>
        <v>Medium</v>
      </c>
      <c r="AD248" t="str">
        <f t="shared" si="22"/>
        <v>Nudge core feature adoption</v>
      </c>
      <c r="AE248">
        <f t="shared" si="23"/>
        <v>98</v>
      </c>
    </row>
    <row r="249" spans="1:31" x14ac:dyDescent="0.35">
      <c r="A249" t="s">
        <v>307</v>
      </c>
      <c r="B249" s="4">
        <v>45877</v>
      </c>
      <c r="C249" s="4">
        <v>46143</v>
      </c>
      <c r="D249" t="s">
        <v>60</v>
      </c>
      <c r="E249">
        <v>33</v>
      </c>
      <c r="F249" t="s">
        <v>57</v>
      </c>
      <c r="G249" t="s">
        <v>48</v>
      </c>
      <c r="H249" t="s">
        <v>41</v>
      </c>
      <c r="I249" t="s">
        <v>36</v>
      </c>
      <c r="J249">
        <v>8</v>
      </c>
      <c r="K249" s="5">
        <v>622.01</v>
      </c>
      <c r="L249" s="5">
        <v>350.78</v>
      </c>
      <c r="M249">
        <v>8</v>
      </c>
      <c r="N249">
        <v>3</v>
      </c>
      <c r="O249">
        <v>1</v>
      </c>
      <c r="P249">
        <v>0</v>
      </c>
      <c r="Q249">
        <v>10</v>
      </c>
      <c r="R249">
        <v>0</v>
      </c>
      <c r="S249">
        <v>0</v>
      </c>
      <c r="T249">
        <v>1</v>
      </c>
      <c r="U249">
        <v>0</v>
      </c>
      <c r="V249">
        <v>0</v>
      </c>
      <c r="W249" t="s">
        <v>45</v>
      </c>
      <c r="X249">
        <v>43</v>
      </c>
      <c r="Y249">
        <v>0</v>
      </c>
      <c r="Z249">
        <f t="shared" si="18"/>
        <v>21</v>
      </c>
      <c r="AA249">
        <f t="shared" si="19"/>
        <v>0.47368421052631576</v>
      </c>
      <c r="AB249">
        <f t="shared" si="20"/>
        <v>28</v>
      </c>
      <c r="AC249" t="str">
        <f t="shared" si="21"/>
        <v>Low</v>
      </c>
      <c r="AD249" t="str">
        <f t="shared" si="22"/>
        <v>Upsell premium bundle</v>
      </c>
      <c r="AE249">
        <f t="shared" si="23"/>
        <v>79</v>
      </c>
    </row>
    <row r="250" spans="1:31" x14ac:dyDescent="0.35">
      <c r="A250" t="s">
        <v>308</v>
      </c>
      <c r="B250" s="4">
        <v>45475</v>
      </c>
      <c r="C250" s="4">
        <v>46143</v>
      </c>
      <c r="D250" t="s">
        <v>60</v>
      </c>
      <c r="E250">
        <v>25</v>
      </c>
      <c r="F250" t="s">
        <v>61</v>
      </c>
      <c r="G250" t="s">
        <v>63</v>
      </c>
      <c r="H250" t="s">
        <v>58</v>
      </c>
      <c r="I250" t="s">
        <v>36</v>
      </c>
      <c r="J250">
        <v>22</v>
      </c>
      <c r="K250" s="5">
        <v>5163.1899999999996</v>
      </c>
      <c r="L250" s="5">
        <v>2679.14</v>
      </c>
      <c r="M250">
        <v>33</v>
      </c>
      <c r="N250">
        <v>16</v>
      </c>
      <c r="O250">
        <v>8</v>
      </c>
      <c r="P250">
        <v>1</v>
      </c>
      <c r="Q250">
        <v>20</v>
      </c>
      <c r="R250">
        <v>0</v>
      </c>
      <c r="S250">
        <v>0</v>
      </c>
      <c r="T250">
        <v>1</v>
      </c>
      <c r="U250">
        <v>0</v>
      </c>
      <c r="V250">
        <v>1</v>
      </c>
      <c r="W250" t="s">
        <v>37</v>
      </c>
      <c r="X250">
        <v>20</v>
      </c>
      <c r="Y250">
        <v>0</v>
      </c>
      <c r="Z250">
        <f t="shared" si="18"/>
        <v>84</v>
      </c>
      <c r="AA250">
        <f t="shared" si="19"/>
        <v>1.0192307692307692</v>
      </c>
      <c r="AB250">
        <f t="shared" si="20"/>
        <v>0</v>
      </c>
      <c r="AC250" t="str">
        <f t="shared" si="21"/>
        <v>Low</v>
      </c>
      <c r="AD250" t="str">
        <f t="shared" si="22"/>
        <v>Upsell premium bundle</v>
      </c>
      <c r="AE250">
        <f t="shared" si="23"/>
        <v>16</v>
      </c>
    </row>
    <row r="251" spans="1:31" x14ac:dyDescent="0.35">
      <c r="A251" t="s">
        <v>309</v>
      </c>
      <c r="B251" s="4">
        <v>45623</v>
      </c>
      <c r="C251" s="4">
        <v>46143</v>
      </c>
      <c r="D251" t="s">
        <v>66</v>
      </c>
      <c r="E251">
        <v>56</v>
      </c>
      <c r="F251" t="s">
        <v>57</v>
      </c>
      <c r="G251" t="s">
        <v>63</v>
      </c>
      <c r="H251" t="s">
        <v>58</v>
      </c>
      <c r="I251" t="s">
        <v>49</v>
      </c>
      <c r="J251">
        <v>17</v>
      </c>
      <c r="K251" s="5">
        <v>1565.15</v>
      </c>
      <c r="L251" s="5">
        <v>1124.6300000000001</v>
      </c>
      <c r="M251">
        <v>21</v>
      </c>
      <c r="N251">
        <v>14</v>
      </c>
      <c r="O251">
        <v>1</v>
      </c>
      <c r="P251">
        <v>2</v>
      </c>
      <c r="Q251">
        <v>12</v>
      </c>
      <c r="R251">
        <v>0</v>
      </c>
      <c r="S251">
        <v>0</v>
      </c>
      <c r="T251">
        <v>1</v>
      </c>
      <c r="U251">
        <v>1</v>
      </c>
      <c r="V251">
        <v>0</v>
      </c>
      <c r="W251" t="s">
        <v>52</v>
      </c>
      <c r="X251">
        <v>-9</v>
      </c>
      <c r="Y251">
        <v>0</v>
      </c>
      <c r="Z251">
        <f t="shared" si="18"/>
        <v>56</v>
      </c>
      <c r="AA251">
        <f t="shared" si="19"/>
        <v>0.7021276595744681</v>
      </c>
      <c r="AB251">
        <f t="shared" si="20"/>
        <v>46</v>
      </c>
      <c r="AC251" t="str">
        <f t="shared" si="21"/>
        <v>Medium</v>
      </c>
      <c r="AD251" t="str">
        <f t="shared" si="22"/>
        <v>Nudge core feature adoption</v>
      </c>
      <c r="AE251">
        <f t="shared" si="23"/>
        <v>44</v>
      </c>
    </row>
    <row r="252" spans="1:31" x14ac:dyDescent="0.35">
      <c r="A252" t="s">
        <v>310</v>
      </c>
      <c r="B252" s="4">
        <v>45645</v>
      </c>
      <c r="C252" s="4">
        <v>46143</v>
      </c>
      <c r="D252" t="s">
        <v>72</v>
      </c>
      <c r="E252">
        <v>47</v>
      </c>
      <c r="F252" t="s">
        <v>43</v>
      </c>
      <c r="G252" t="s">
        <v>40</v>
      </c>
      <c r="H252" t="s">
        <v>41</v>
      </c>
      <c r="I252" t="s">
        <v>36</v>
      </c>
      <c r="J252">
        <v>16</v>
      </c>
      <c r="K252" s="5">
        <v>117.2</v>
      </c>
      <c r="L252" s="5">
        <v>21.21</v>
      </c>
      <c r="M252">
        <v>36</v>
      </c>
      <c r="N252">
        <v>12</v>
      </c>
      <c r="O252">
        <v>5</v>
      </c>
      <c r="P252">
        <v>2</v>
      </c>
      <c r="Q252">
        <v>35</v>
      </c>
      <c r="R252">
        <v>0</v>
      </c>
      <c r="S252">
        <v>0</v>
      </c>
      <c r="T252">
        <v>1</v>
      </c>
      <c r="U252">
        <v>0</v>
      </c>
      <c r="V252">
        <v>1</v>
      </c>
      <c r="W252" t="s">
        <v>37</v>
      </c>
      <c r="X252">
        <v>44</v>
      </c>
      <c r="Y252">
        <v>0</v>
      </c>
      <c r="Z252">
        <f t="shared" si="18"/>
        <v>95</v>
      </c>
      <c r="AA252">
        <f t="shared" si="19"/>
        <v>1.5434782608695652</v>
      </c>
      <c r="AB252">
        <f t="shared" si="20"/>
        <v>0</v>
      </c>
      <c r="AC252" t="str">
        <f t="shared" si="21"/>
        <v>Low</v>
      </c>
      <c r="AD252" t="str">
        <f t="shared" si="22"/>
        <v>Upsell premium bundle</v>
      </c>
      <c r="AE252">
        <f t="shared" si="23"/>
        <v>5</v>
      </c>
    </row>
    <row r="253" spans="1:31" x14ac:dyDescent="0.35">
      <c r="A253" t="s">
        <v>311</v>
      </c>
      <c r="B253" s="4">
        <v>45180</v>
      </c>
      <c r="C253" s="4">
        <v>46143</v>
      </c>
      <c r="D253" t="s">
        <v>47</v>
      </c>
      <c r="E253">
        <v>69</v>
      </c>
      <c r="F253" t="s">
        <v>33</v>
      </c>
      <c r="G253" t="s">
        <v>67</v>
      </c>
      <c r="H253" t="s">
        <v>35</v>
      </c>
      <c r="I253" t="s">
        <v>36</v>
      </c>
      <c r="J253">
        <v>32</v>
      </c>
      <c r="K253" s="5">
        <v>601.01</v>
      </c>
      <c r="L253" s="5">
        <v>137.4</v>
      </c>
      <c r="M253">
        <v>27</v>
      </c>
      <c r="N253">
        <v>18</v>
      </c>
      <c r="O253">
        <v>7</v>
      </c>
      <c r="P253">
        <v>0</v>
      </c>
      <c r="Q253">
        <v>21</v>
      </c>
      <c r="R253">
        <v>0</v>
      </c>
      <c r="S253">
        <v>0</v>
      </c>
      <c r="T253">
        <v>1</v>
      </c>
      <c r="U253">
        <v>0</v>
      </c>
      <c r="V253">
        <v>0</v>
      </c>
      <c r="W253" t="s">
        <v>37</v>
      </c>
      <c r="X253">
        <v>27</v>
      </c>
      <c r="Y253">
        <v>0</v>
      </c>
      <c r="Z253">
        <f t="shared" si="18"/>
        <v>70</v>
      </c>
      <c r="AA253">
        <f t="shared" si="19"/>
        <v>0.77419354838709675</v>
      </c>
      <c r="AB253">
        <f t="shared" si="20"/>
        <v>7</v>
      </c>
      <c r="AC253" t="str">
        <f t="shared" si="21"/>
        <v>Low</v>
      </c>
      <c r="AD253" t="str">
        <f t="shared" si="22"/>
        <v>Upsell premium bundle</v>
      </c>
      <c r="AE253">
        <f t="shared" si="23"/>
        <v>30</v>
      </c>
    </row>
    <row r="254" spans="1:31" x14ac:dyDescent="0.35">
      <c r="A254" t="s">
        <v>312</v>
      </c>
      <c r="B254" s="4">
        <v>45269</v>
      </c>
      <c r="C254" s="4">
        <v>46143</v>
      </c>
      <c r="D254" t="s">
        <v>32</v>
      </c>
      <c r="E254">
        <v>60</v>
      </c>
      <c r="F254" t="s">
        <v>33</v>
      </c>
      <c r="G254" t="s">
        <v>67</v>
      </c>
      <c r="H254" t="s">
        <v>58</v>
      </c>
      <c r="I254" t="s">
        <v>49</v>
      </c>
      <c r="J254">
        <v>29</v>
      </c>
      <c r="K254" s="5">
        <v>568.79999999999995</v>
      </c>
      <c r="L254" s="5">
        <v>0</v>
      </c>
      <c r="M254">
        <v>22</v>
      </c>
      <c r="N254">
        <v>16</v>
      </c>
      <c r="O254">
        <v>5</v>
      </c>
      <c r="P254">
        <v>3</v>
      </c>
      <c r="Q254">
        <v>28</v>
      </c>
      <c r="R254">
        <v>0</v>
      </c>
      <c r="S254">
        <v>0</v>
      </c>
      <c r="T254">
        <v>1</v>
      </c>
      <c r="U254">
        <v>0</v>
      </c>
      <c r="V254">
        <v>0</v>
      </c>
      <c r="W254" t="s">
        <v>37</v>
      </c>
      <c r="X254">
        <v>51</v>
      </c>
      <c r="Y254">
        <v>1</v>
      </c>
      <c r="Z254">
        <f t="shared" si="18"/>
        <v>71</v>
      </c>
      <c r="AA254">
        <f t="shared" si="19"/>
        <v>0.84745762711864403</v>
      </c>
      <c r="AB254">
        <f t="shared" si="20"/>
        <v>10</v>
      </c>
      <c r="AC254" t="str">
        <f t="shared" si="21"/>
        <v>Low</v>
      </c>
      <c r="AD254" t="str">
        <f t="shared" si="22"/>
        <v>Upsell premium bundle</v>
      </c>
      <c r="AE254">
        <f t="shared" si="23"/>
        <v>29</v>
      </c>
    </row>
    <row r="255" spans="1:31" x14ac:dyDescent="0.35">
      <c r="A255" t="s">
        <v>313</v>
      </c>
      <c r="B255" s="4">
        <v>44821</v>
      </c>
      <c r="C255" s="4">
        <v>46143</v>
      </c>
      <c r="D255" t="s">
        <v>66</v>
      </c>
      <c r="E255">
        <v>40</v>
      </c>
      <c r="F255" t="s">
        <v>61</v>
      </c>
      <c r="G255" t="s">
        <v>40</v>
      </c>
      <c r="H255" t="s">
        <v>41</v>
      </c>
      <c r="I255" t="s">
        <v>36</v>
      </c>
      <c r="J255">
        <v>44</v>
      </c>
      <c r="K255" s="5">
        <v>1876.63</v>
      </c>
      <c r="L255" s="5">
        <v>4147.5</v>
      </c>
      <c r="M255">
        <v>29</v>
      </c>
      <c r="N255">
        <v>18</v>
      </c>
      <c r="O255">
        <v>4</v>
      </c>
      <c r="P255">
        <v>1</v>
      </c>
      <c r="Q255">
        <v>32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50</v>
      </c>
      <c r="X255">
        <v>88</v>
      </c>
      <c r="Y255">
        <v>0</v>
      </c>
      <c r="Z255">
        <f t="shared" si="18"/>
        <v>80</v>
      </c>
      <c r="AA255">
        <f t="shared" si="19"/>
        <v>0.82432432432432434</v>
      </c>
      <c r="AB255">
        <f t="shared" si="20"/>
        <v>0</v>
      </c>
      <c r="AC255" t="str">
        <f t="shared" si="21"/>
        <v>Low</v>
      </c>
      <c r="AD255" t="str">
        <f t="shared" si="22"/>
        <v>Upsell premium bundle</v>
      </c>
      <c r="AE255">
        <f t="shared" si="23"/>
        <v>20</v>
      </c>
    </row>
    <row r="256" spans="1:31" x14ac:dyDescent="0.35">
      <c r="A256" t="s">
        <v>314</v>
      </c>
      <c r="B256" s="4">
        <v>46025</v>
      </c>
      <c r="C256" s="4">
        <v>46143</v>
      </c>
      <c r="D256" t="s">
        <v>72</v>
      </c>
      <c r="E256">
        <v>61</v>
      </c>
      <c r="F256" t="s">
        <v>57</v>
      </c>
      <c r="G256" t="s">
        <v>48</v>
      </c>
      <c r="H256" t="s">
        <v>41</v>
      </c>
      <c r="I256" t="s">
        <v>36</v>
      </c>
      <c r="J256">
        <v>3</v>
      </c>
      <c r="K256" s="5">
        <v>1271.83</v>
      </c>
      <c r="L256" s="5">
        <v>0</v>
      </c>
      <c r="M256">
        <v>32</v>
      </c>
      <c r="N256">
        <v>13</v>
      </c>
      <c r="O256">
        <v>8</v>
      </c>
      <c r="P256">
        <v>3</v>
      </c>
      <c r="Q256">
        <v>17</v>
      </c>
      <c r="R256">
        <v>1</v>
      </c>
      <c r="S256">
        <v>0</v>
      </c>
      <c r="T256">
        <v>0</v>
      </c>
      <c r="U256">
        <v>1</v>
      </c>
      <c r="V256">
        <v>0</v>
      </c>
      <c r="W256" t="s">
        <v>45</v>
      </c>
      <c r="X256">
        <v>46</v>
      </c>
      <c r="Y256">
        <v>0</v>
      </c>
      <c r="Z256">
        <f t="shared" si="18"/>
        <v>81</v>
      </c>
      <c r="AA256">
        <f t="shared" si="19"/>
        <v>1.4848484848484849</v>
      </c>
      <c r="AB256">
        <f t="shared" si="20"/>
        <v>1</v>
      </c>
      <c r="AC256" t="str">
        <f t="shared" si="21"/>
        <v>Low</v>
      </c>
      <c r="AD256" t="str">
        <f t="shared" si="22"/>
        <v>Upsell premium bundle</v>
      </c>
      <c r="AE256">
        <f t="shared" si="23"/>
        <v>19</v>
      </c>
    </row>
    <row r="257" spans="1:31" x14ac:dyDescent="0.35">
      <c r="A257" t="s">
        <v>315</v>
      </c>
      <c r="B257" s="4">
        <v>45435</v>
      </c>
      <c r="C257" s="4">
        <v>46143</v>
      </c>
      <c r="D257" t="s">
        <v>72</v>
      </c>
      <c r="E257">
        <v>49</v>
      </c>
      <c r="F257" t="s">
        <v>57</v>
      </c>
      <c r="G257" t="s">
        <v>63</v>
      </c>
      <c r="H257" t="s">
        <v>58</v>
      </c>
      <c r="I257" t="s">
        <v>36</v>
      </c>
      <c r="J257">
        <v>23</v>
      </c>
      <c r="K257" s="5">
        <v>1749.35</v>
      </c>
      <c r="L257" s="5">
        <v>856.62</v>
      </c>
      <c r="M257">
        <v>36</v>
      </c>
      <c r="N257">
        <v>24</v>
      </c>
      <c r="O257">
        <v>8</v>
      </c>
      <c r="P257">
        <v>2</v>
      </c>
      <c r="Q257">
        <v>29</v>
      </c>
      <c r="R257">
        <v>0</v>
      </c>
      <c r="S257">
        <v>0</v>
      </c>
      <c r="T257">
        <v>1</v>
      </c>
      <c r="U257">
        <v>1</v>
      </c>
      <c r="V257">
        <v>0</v>
      </c>
      <c r="W257" t="s">
        <v>55</v>
      </c>
      <c r="X257">
        <v>15</v>
      </c>
      <c r="Y257">
        <v>0</v>
      </c>
      <c r="Z257">
        <f t="shared" si="18"/>
        <v>100</v>
      </c>
      <c r="AA257">
        <f t="shared" si="19"/>
        <v>1.2264150943396226</v>
      </c>
      <c r="AB257">
        <f t="shared" si="20"/>
        <v>1</v>
      </c>
      <c r="AC257" t="str">
        <f t="shared" si="21"/>
        <v>Low</v>
      </c>
      <c r="AD257" t="str">
        <f t="shared" si="22"/>
        <v>Upsell premium bundle</v>
      </c>
      <c r="AE257">
        <f t="shared" si="23"/>
        <v>0</v>
      </c>
    </row>
    <row r="258" spans="1:31" x14ac:dyDescent="0.35">
      <c r="A258" t="s">
        <v>316</v>
      </c>
      <c r="B258" s="4">
        <v>46092</v>
      </c>
      <c r="C258" s="4">
        <v>46143</v>
      </c>
      <c r="D258" t="s">
        <v>66</v>
      </c>
      <c r="E258">
        <v>49</v>
      </c>
      <c r="F258" t="s">
        <v>77</v>
      </c>
      <c r="G258" t="s">
        <v>34</v>
      </c>
      <c r="H258" t="s">
        <v>41</v>
      </c>
      <c r="I258" t="s">
        <v>36</v>
      </c>
      <c r="J258">
        <v>1</v>
      </c>
      <c r="K258" s="5">
        <v>0</v>
      </c>
      <c r="L258" s="5">
        <v>7490.1</v>
      </c>
      <c r="M258">
        <v>30</v>
      </c>
      <c r="N258">
        <v>20</v>
      </c>
      <c r="O258">
        <v>4</v>
      </c>
      <c r="P258">
        <v>1</v>
      </c>
      <c r="Q258">
        <v>20</v>
      </c>
      <c r="R258">
        <v>0</v>
      </c>
      <c r="S258">
        <v>0</v>
      </c>
      <c r="T258">
        <v>1</v>
      </c>
      <c r="U258">
        <v>1</v>
      </c>
      <c r="V258">
        <v>0</v>
      </c>
      <c r="W258" t="s">
        <v>50</v>
      </c>
      <c r="X258">
        <v>39</v>
      </c>
      <c r="Y258">
        <v>0</v>
      </c>
      <c r="Z258">
        <f t="shared" ref="Z258:Z321" si="24">MIN(100,ROUND((M258*1.1+N258*0.7+O258*1.2+P258*1.4+Q258*0.9+U258*8+V258*7),0))</f>
        <v>79</v>
      </c>
      <c r="AA258">
        <f t="shared" ref="AA258:AA321" si="25">IFERROR((M258+Q258)/(30+J258),0)</f>
        <v>1.6129032258064515</v>
      </c>
      <c r="AB258">
        <f t="shared" ref="AB258:AB321" si="26">ROUND(MIN(100,MAX(0,60-Z258*0.4-R258*1.5+S258*8-IF(L258&gt;1500,10,0)-X258*0.5+IF(I258="Completed",-8,8)+IF(H258="Free",6,-4))),0)</f>
        <v>0</v>
      </c>
      <c r="AC258" t="str">
        <f t="shared" ref="AC258:AC321" si="27">IF(AB258&gt;=70,"High",IF(AB258&gt;=40,"Medium","Low"))</f>
        <v>Low</v>
      </c>
      <c r="AD258" t="str">
        <f t="shared" ref="AD258:AD321" si="28">IF(AC258="High",IF(Q258&lt;5,"Re-engage with app usage offer",IF(K258&lt;100,"Deposit incentive","Retention call")),IF(AC258="Medium","Nudge core feature adoption","Upsell premium bundle"))</f>
        <v>Upsell premium bundle</v>
      </c>
      <c r="AE258">
        <f t="shared" ref="AE258:AE321" si="29">100-Z258</f>
        <v>21</v>
      </c>
    </row>
    <row r="259" spans="1:31" x14ac:dyDescent="0.35">
      <c r="A259" t="s">
        <v>317</v>
      </c>
      <c r="B259" s="4">
        <v>45192</v>
      </c>
      <c r="C259" s="4">
        <v>46143</v>
      </c>
      <c r="D259" t="s">
        <v>39</v>
      </c>
      <c r="E259">
        <v>40</v>
      </c>
      <c r="F259" t="s">
        <v>77</v>
      </c>
      <c r="G259" t="s">
        <v>85</v>
      </c>
      <c r="H259" t="s">
        <v>41</v>
      </c>
      <c r="I259" t="s">
        <v>36</v>
      </c>
      <c r="J259">
        <v>31</v>
      </c>
      <c r="K259" s="5">
        <v>8496.36</v>
      </c>
      <c r="L259" s="5">
        <v>8985.9500000000007</v>
      </c>
      <c r="M259">
        <v>22</v>
      </c>
      <c r="N259">
        <v>11</v>
      </c>
      <c r="O259">
        <v>1</v>
      </c>
      <c r="P259">
        <v>2</v>
      </c>
      <c r="Q259">
        <v>8</v>
      </c>
      <c r="R259">
        <v>4</v>
      </c>
      <c r="S259">
        <v>3</v>
      </c>
      <c r="T259">
        <v>1</v>
      </c>
      <c r="U259">
        <v>0</v>
      </c>
      <c r="V259">
        <v>1</v>
      </c>
      <c r="W259" t="s">
        <v>45</v>
      </c>
      <c r="X259">
        <v>16</v>
      </c>
      <c r="Y259">
        <v>1</v>
      </c>
      <c r="Z259">
        <f t="shared" si="24"/>
        <v>50</v>
      </c>
      <c r="AA259">
        <f t="shared" si="25"/>
        <v>0.49180327868852458</v>
      </c>
      <c r="AB259">
        <f t="shared" si="26"/>
        <v>38</v>
      </c>
      <c r="AC259" t="str">
        <f t="shared" si="27"/>
        <v>Low</v>
      </c>
      <c r="AD259" t="str">
        <f t="shared" si="28"/>
        <v>Upsell premium bundle</v>
      </c>
      <c r="AE259">
        <f t="shared" si="29"/>
        <v>50</v>
      </c>
    </row>
    <row r="260" spans="1:31" x14ac:dyDescent="0.35">
      <c r="A260" t="s">
        <v>318</v>
      </c>
      <c r="B260" s="4">
        <v>45679</v>
      </c>
      <c r="C260" s="4">
        <v>46143</v>
      </c>
      <c r="D260" t="s">
        <v>72</v>
      </c>
      <c r="E260">
        <v>65</v>
      </c>
      <c r="F260" t="s">
        <v>33</v>
      </c>
      <c r="G260" t="s">
        <v>48</v>
      </c>
      <c r="H260" t="s">
        <v>41</v>
      </c>
      <c r="I260" t="s">
        <v>36</v>
      </c>
      <c r="J260">
        <v>15</v>
      </c>
      <c r="K260" s="5">
        <v>536.92999999999995</v>
      </c>
      <c r="L260" s="5">
        <v>508.01</v>
      </c>
      <c r="M260">
        <v>29</v>
      </c>
      <c r="N260">
        <v>16</v>
      </c>
      <c r="O260">
        <v>6</v>
      </c>
      <c r="P260">
        <v>1</v>
      </c>
      <c r="Q260">
        <v>29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50</v>
      </c>
      <c r="X260">
        <v>76</v>
      </c>
      <c r="Y260">
        <v>0</v>
      </c>
      <c r="Z260">
        <f t="shared" si="24"/>
        <v>78</v>
      </c>
      <c r="AA260">
        <f t="shared" si="25"/>
        <v>1.288888888888889</v>
      </c>
      <c r="AB260">
        <f t="shared" si="26"/>
        <v>0</v>
      </c>
      <c r="AC260" t="str">
        <f t="shared" si="27"/>
        <v>Low</v>
      </c>
      <c r="AD260" t="str">
        <f t="shared" si="28"/>
        <v>Upsell premium bundle</v>
      </c>
      <c r="AE260">
        <f t="shared" si="29"/>
        <v>22</v>
      </c>
    </row>
    <row r="261" spans="1:31" x14ac:dyDescent="0.35">
      <c r="A261" t="s">
        <v>319</v>
      </c>
      <c r="B261" s="4">
        <v>46049</v>
      </c>
      <c r="C261" s="4">
        <v>46143</v>
      </c>
      <c r="D261" t="s">
        <v>66</v>
      </c>
      <c r="E261">
        <v>47</v>
      </c>
      <c r="F261" t="s">
        <v>43</v>
      </c>
      <c r="G261" t="s">
        <v>40</v>
      </c>
      <c r="H261" t="s">
        <v>41</v>
      </c>
      <c r="I261" t="s">
        <v>36</v>
      </c>
      <c r="J261">
        <v>3</v>
      </c>
      <c r="K261" s="5">
        <v>149.22</v>
      </c>
      <c r="L261" s="5">
        <v>0</v>
      </c>
      <c r="M261">
        <v>27</v>
      </c>
      <c r="N261">
        <v>11</v>
      </c>
      <c r="O261">
        <v>2</v>
      </c>
      <c r="P261">
        <v>2</v>
      </c>
      <c r="Q261">
        <v>16</v>
      </c>
      <c r="R261">
        <v>0</v>
      </c>
      <c r="S261">
        <v>0</v>
      </c>
      <c r="T261">
        <v>1</v>
      </c>
      <c r="U261">
        <v>0</v>
      </c>
      <c r="V261">
        <v>0</v>
      </c>
      <c r="W261" t="s">
        <v>52</v>
      </c>
      <c r="X261">
        <v>73</v>
      </c>
      <c r="Y261">
        <v>0</v>
      </c>
      <c r="Z261">
        <f t="shared" si="24"/>
        <v>57</v>
      </c>
      <c r="AA261">
        <f t="shared" si="25"/>
        <v>1.303030303030303</v>
      </c>
      <c r="AB261">
        <f t="shared" si="26"/>
        <v>0</v>
      </c>
      <c r="AC261" t="str">
        <f t="shared" si="27"/>
        <v>Low</v>
      </c>
      <c r="AD261" t="str">
        <f t="shared" si="28"/>
        <v>Upsell premium bundle</v>
      </c>
      <c r="AE261">
        <f t="shared" si="29"/>
        <v>43</v>
      </c>
    </row>
    <row r="262" spans="1:31" x14ac:dyDescent="0.35">
      <c r="A262" t="s">
        <v>320</v>
      </c>
      <c r="B262" s="4">
        <v>45770</v>
      </c>
      <c r="C262" s="4">
        <v>46143</v>
      </c>
      <c r="D262" t="s">
        <v>47</v>
      </c>
      <c r="E262">
        <v>23</v>
      </c>
      <c r="F262" t="s">
        <v>33</v>
      </c>
      <c r="G262" t="s">
        <v>67</v>
      </c>
      <c r="H262" t="s">
        <v>58</v>
      </c>
      <c r="I262" t="s">
        <v>49</v>
      </c>
      <c r="J262">
        <v>12</v>
      </c>
      <c r="K262" s="5">
        <v>786.01</v>
      </c>
      <c r="L262" s="5">
        <v>383.16</v>
      </c>
      <c r="M262">
        <v>8</v>
      </c>
      <c r="N262">
        <v>3</v>
      </c>
      <c r="O262">
        <v>0</v>
      </c>
      <c r="P262">
        <v>0</v>
      </c>
      <c r="Q262">
        <v>15</v>
      </c>
      <c r="R262">
        <v>3</v>
      </c>
      <c r="S262">
        <v>1</v>
      </c>
      <c r="T262">
        <v>1</v>
      </c>
      <c r="U262">
        <v>0</v>
      </c>
      <c r="V262">
        <v>0</v>
      </c>
      <c r="W262" t="s">
        <v>45</v>
      </c>
      <c r="X262">
        <v>-9</v>
      </c>
      <c r="Y262">
        <v>1</v>
      </c>
      <c r="Z262">
        <f t="shared" si="24"/>
        <v>24</v>
      </c>
      <c r="AA262">
        <f t="shared" si="25"/>
        <v>0.54761904761904767</v>
      </c>
      <c r="AB262">
        <f t="shared" si="26"/>
        <v>62</v>
      </c>
      <c r="AC262" t="str">
        <f t="shared" si="27"/>
        <v>Medium</v>
      </c>
      <c r="AD262" t="str">
        <f t="shared" si="28"/>
        <v>Nudge core feature adoption</v>
      </c>
      <c r="AE262">
        <f t="shared" si="29"/>
        <v>76</v>
      </c>
    </row>
    <row r="263" spans="1:31" x14ac:dyDescent="0.35">
      <c r="A263" t="s">
        <v>321</v>
      </c>
      <c r="B263" s="4">
        <v>44764</v>
      </c>
      <c r="C263" s="4">
        <v>46143</v>
      </c>
      <c r="D263" t="s">
        <v>47</v>
      </c>
      <c r="E263">
        <v>28</v>
      </c>
      <c r="F263" t="s">
        <v>43</v>
      </c>
      <c r="G263" t="s">
        <v>63</v>
      </c>
      <c r="H263" t="s">
        <v>41</v>
      </c>
      <c r="I263" t="s">
        <v>36</v>
      </c>
      <c r="J263">
        <v>45</v>
      </c>
      <c r="K263" s="5">
        <v>50.91</v>
      </c>
      <c r="L263" s="5">
        <v>53.38</v>
      </c>
      <c r="M263">
        <v>30</v>
      </c>
      <c r="N263">
        <v>18</v>
      </c>
      <c r="O263">
        <v>7</v>
      </c>
      <c r="P263">
        <v>4</v>
      </c>
      <c r="Q263">
        <v>33</v>
      </c>
      <c r="R263">
        <v>3</v>
      </c>
      <c r="S263">
        <v>0</v>
      </c>
      <c r="T263">
        <v>1</v>
      </c>
      <c r="U263">
        <v>0</v>
      </c>
      <c r="V263">
        <v>1</v>
      </c>
      <c r="W263" t="s">
        <v>50</v>
      </c>
      <c r="X263">
        <v>58</v>
      </c>
      <c r="Y263">
        <v>0</v>
      </c>
      <c r="Z263">
        <f t="shared" si="24"/>
        <v>96</v>
      </c>
      <c r="AA263">
        <f t="shared" si="25"/>
        <v>0.84</v>
      </c>
      <c r="AB263">
        <f t="shared" si="26"/>
        <v>0</v>
      </c>
      <c r="AC263" t="str">
        <f t="shared" si="27"/>
        <v>Low</v>
      </c>
      <c r="AD263" t="str">
        <f t="shared" si="28"/>
        <v>Upsell premium bundle</v>
      </c>
      <c r="AE263">
        <f t="shared" si="29"/>
        <v>4</v>
      </c>
    </row>
    <row r="264" spans="1:31" x14ac:dyDescent="0.35">
      <c r="A264" t="s">
        <v>322</v>
      </c>
      <c r="B264" s="4">
        <v>46061</v>
      </c>
      <c r="C264" s="4">
        <v>46143</v>
      </c>
      <c r="D264" t="s">
        <v>47</v>
      </c>
      <c r="E264">
        <v>33</v>
      </c>
      <c r="F264" t="s">
        <v>57</v>
      </c>
      <c r="G264" t="s">
        <v>67</v>
      </c>
      <c r="H264" t="s">
        <v>41</v>
      </c>
      <c r="I264" t="s">
        <v>36</v>
      </c>
      <c r="J264">
        <v>2</v>
      </c>
      <c r="K264" s="5">
        <v>1389.64</v>
      </c>
      <c r="L264" s="5">
        <v>0</v>
      </c>
      <c r="M264">
        <v>5</v>
      </c>
      <c r="N264">
        <v>2</v>
      </c>
      <c r="O264">
        <v>0</v>
      </c>
      <c r="P264">
        <v>0</v>
      </c>
      <c r="Q264">
        <v>10</v>
      </c>
      <c r="R264">
        <v>2</v>
      </c>
      <c r="S264">
        <v>0</v>
      </c>
      <c r="T264">
        <v>1</v>
      </c>
      <c r="U264">
        <v>0</v>
      </c>
      <c r="V264">
        <v>0</v>
      </c>
      <c r="W264" t="s">
        <v>45</v>
      </c>
      <c r="X264">
        <v>79</v>
      </c>
      <c r="Y264">
        <v>1</v>
      </c>
      <c r="Z264">
        <f t="shared" si="24"/>
        <v>16</v>
      </c>
      <c r="AA264">
        <f t="shared" si="25"/>
        <v>0.46875</v>
      </c>
      <c r="AB264">
        <f t="shared" si="26"/>
        <v>9</v>
      </c>
      <c r="AC264" t="str">
        <f t="shared" si="27"/>
        <v>Low</v>
      </c>
      <c r="AD264" t="str">
        <f t="shared" si="28"/>
        <v>Upsell premium bundle</v>
      </c>
      <c r="AE264">
        <f t="shared" si="29"/>
        <v>84</v>
      </c>
    </row>
    <row r="265" spans="1:31" x14ac:dyDescent="0.35">
      <c r="A265" t="s">
        <v>323</v>
      </c>
      <c r="B265" s="4">
        <v>45453</v>
      </c>
      <c r="C265" s="4">
        <v>46143</v>
      </c>
      <c r="D265" t="s">
        <v>66</v>
      </c>
      <c r="E265">
        <v>65</v>
      </c>
      <c r="F265" t="s">
        <v>57</v>
      </c>
      <c r="G265" t="s">
        <v>63</v>
      </c>
      <c r="H265" t="s">
        <v>41</v>
      </c>
      <c r="I265" t="s">
        <v>49</v>
      </c>
      <c r="J265">
        <v>23</v>
      </c>
      <c r="K265" s="5">
        <v>1108.95</v>
      </c>
      <c r="L265" s="5">
        <v>1684.01</v>
      </c>
      <c r="M265">
        <v>19</v>
      </c>
      <c r="N265">
        <v>10</v>
      </c>
      <c r="O265">
        <v>5</v>
      </c>
      <c r="P265">
        <v>2</v>
      </c>
      <c r="Q265">
        <v>16</v>
      </c>
      <c r="R265">
        <v>3</v>
      </c>
      <c r="S265">
        <v>2</v>
      </c>
      <c r="T265">
        <v>0</v>
      </c>
      <c r="U265">
        <v>0</v>
      </c>
      <c r="V265">
        <v>0</v>
      </c>
      <c r="W265" t="s">
        <v>50</v>
      </c>
      <c r="X265">
        <v>-9</v>
      </c>
      <c r="Y265">
        <v>1</v>
      </c>
      <c r="Z265">
        <f t="shared" si="24"/>
        <v>51</v>
      </c>
      <c r="AA265">
        <f t="shared" si="25"/>
        <v>0.660377358490566</v>
      </c>
      <c r="AB265">
        <f t="shared" si="26"/>
        <v>60</v>
      </c>
      <c r="AC265" t="str">
        <f t="shared" si="27"/>
        <v>Medium</v>
      </c>
      <c r="AD265" t="str">
        <f t="shared" si="28"/>
        <v>Nudge core feature adoption</v>
      </c>
      <c r="AE265">
        <f t="shared" si="29"/>
        <v>49</v>
      </c>
    </row>
    <row r="266" spans="1:31" x14ac:dyDescent="0.35">
      <c r="A266" t="s">
        <v>324</v>
      </c>
      <c r="B266" s="4">
        <v>45350</v>
      </c>
      <c r="C266" s="4">
        <v>46143</v>
      </c>
      <c r="D266" t="s">
        <v>39</v>
      </c>
      <c r="E266">
        <v>25</v>
      </c>
      <c r="F266" t="s">
        <v>43</v>
      </c>
      <c r="G266" t="s">
        <v>85</v>
      </c>
      <c r="H266" t="s">
        <v>41</v>
      </c>
      <c r="I266" t="s">
        <v>36</v>
      </c>
      <c r="J266">
        <v>26</v>
      </c>
      <c r="K266" s="5">
        <v>9.59</v>
      </c>
      <c r="L266" s="5">
        <v>0</v>
      </c>
      <c r="M266">
        <v>22</v>
      </c>
      <c r="N266">
        <v>16</v>
      </c>
      <c r="O266">
        <v>4</v>
      </c>
      <c r="P266">
        <v>3</v>
      </c>
      <c r="Q266">
        <v>18</v>
      </c>
      <c r="R266">
        <v>1</v>
      </c>
      <c r="S266">
        <v>1</v>
      </c>
      <c r="T266">
        <v>0</v>
      </c>
      <c r="U266">
        <v>0</v>
      </c>
      <c r="V266">
        <v>1</v>
      </c>
      <c r="W266" t="s">
        <v>52</v>
      </c>
      <c r="X266">
        <v>-7</v>
      </c>
      <c r="Y266">
        <v>1</v>
      </c>
      <c r="Z266">
        <f t="shared" si="24"/>
        <v>68</v>
      </c>
      <c r="AA266">
        <f t="shared" si="25"/>
        <v>0.7142857142857143</v>
      </c>
      <c r="AB266">
        <f t="shared" si="26"/>
        <v>41</v>
      </c>
      <c r="AC266" t="str">
        <f t="shared" si="27"/>
        <v>Medium</v>
      </c>
      <c r="AD266" t="str">
        <f t="shared" si="28"/>
        <v>Nudge core feature adoption</v>
      </c>
      <c r="AE266">
        <f t="shared" si="29"/>
        <v>32</v>
      </c>
    </row>
    <row r="267" spans="1:31" x14ac:dyDescent="0.35">
      <c r="A267" t="s">
        <v>325</v>
      </c>
      <c r="B267" s="4">
        <v>45183</v>
      </c>
      <c r="C267" s="4">
        <v>46143</v>
      </c>
      <c r="D267" t="s">
        <v>47</v>
      </c>
      <c r="E267">
        <v>51</v>
      </c>
      <c r="F267" t="s">
        <v>43</v>
      </c>
      <c r="G267" t="s">
        <v>48</v>
      </c>
      <c r="H267" t="s">
        <v>58</v>
      </c>
      <c r="I267" t="s">
        <v>36</v>
      </c>
      <c r="J267">
        <v>32</v>
      </c>
      <c r="K267" s="5">
        <v>50</v>
      </c>
      <c r="L267" s="5">
        <v>8.02</v>
      </c>
      <c r="M267">
        <v>12</v>
      </c>
      <c r="N267">
        <v>6</v>
      </c>
      <c r="O267">
        <v>0</v>
      </c>
      <c r="P267">
        <v>2</v>
      </c>
      <c r="Q267">
        <v>24</v>
      </c>
      <c r="R267">
        <v>3</v>
      </c>
      <c r="S267">
        <v>0</v>
      </c>
      <c r="T267">
        <v>1</v>
      </c>
      <c r="U267">
        <v>0</v>
      </c>
      <c r="V267">
        <v>0</v>
      </c>
      <c r="W267" t="s">
        <v>55</v>
      </c>
      <c r="X267">
        <v>69</v>
      </c>
      <c r="Y267">
        <v>0</v>
      </c>
      <c r="Z267">
        <f t="shared" si="24"/>
        <v>42</v>
      </c>
      <c r="AA267">
        <f t="shared" si="25"/>
        <v>0.58064516129032262</v>
      </c>
      <c r="AB267">
        <f t="shared" si="26"/>
        <v>0</v>
      </c>
      <c r="AC267" t="str">
        <f t="shared" si="27"/>
        <v>Low</v>
      </c>
      <c r="AD267" t="str">
        <f t="shared" si="28"/>
        <v>Upsell premium bundle</v>
      </c>
      <c r="AE267">
        <f t="shared" si="29"/>
        <v>58</v>
      </c>
    </row>
    <row r="268" spans="1:31" x14ac:dyDescent="0.35">
      <c r="A268" t="s">
        <v>326</v>
      </c>
      <c r="B268" s="4">
        <v>45780</v>
      </c>
      <c r="C268" s="4">
        <v>46143</v>
      </c>
      <c r="D268" t="s">
        <v>72</v>
      </c>
      <c r="E268">
        <v>29</v>
      </c>
      <c r="F268" t="s">
        <v>43</v>
      </c>
      <c r="G268" t="s">
        <v>63</v>
      </c>
      <c r="H268" t="s">
        <v>44</v>
      </c>
      <c r="I268" t="s">
        <v>36</v>
      </c>
      <c r="J268">
        <v>12</v>
      </c>
      <c r="K268" s="5">
        <v>55.12</v>
      </c>
      <c r="L268" s="5">
        <v>2.95</v>
      </c>
      <c r="M268">
        <v>48</v>
      </c>
      <c r="N268">
        <v>15</v>
      </c>
      <c r="O268">
        <v>10</v>
      </c>
      <c r="P268">
        <v>8</v>
      </c>
      <c r="Q268">
        <v>24</v>
      </c>
      <c r="R268">
        <v>3</v>
      </c>
      <c r="S268">
        <v>1</v>
      </c>
      <c r="T268">
        <v>0</v>
      </c>
      <c r="U268">
        <v>1</v>
      </c>
      <c r="V268">
        <v>0</v>
      </c>
      <c r="W268" t="s">
        <v>55</v>
      </c>
      <c r="X268">
        <v>5</v>
      </c>
      <c r="Y268">
        <v>0</v>
      </c>
      <c r="Z268">
        <f t="shared" si="24"/>
        <v>100</v>
      </c>
      <c r="AA268">
        <f t="shared" si="25"/>
        <v>1.7142857142857142</v>
      </c>
      <c r="AB268">
        <f t="shared" si="26"/>
        <v>9</v>
      </c>
      <c r="AC268" t="str">
        <f t="shared" si="27"/>
        <v>Low</v>
      </c>
      <c r="AD268" t="str">
        <f t="shared" si="28"/>
        <v>Upsell premium bundle</v>
      </c>
      <c r="AE268">
        <f t="shared" si="29"/>
        <v>0</v>
      </c>
    </row>
    <row r="269" spans="1:31" x14ac:dyDescent="0.35">
      <c r="A269" t="s">
        <v>327</v>
      </c>
      <c r="B269" s="4">
        <v>45070</v>
      </c>
      <c r="C269" s="4">
        <v>46143</v>
      </c>
      <c r="D269" t="s">
        <v>32</v>
      </c>
      <c r="E269">
        <v>65</v>
      </c>
      <c r="F269" t="s">
        <v>33</v>
      </c>
      <c r="G269" t="s">
        <v>40</v>
      </c>
      <c r="H269" t="s">
        <v>41</v>
      </c>
      <c r="I269" t="s">
        <v>36</v>
      </c>
      <c r="J269">
        <v>35</v>
      </c>
      <c r="K269" s="5">
        <v>0</v>
      </c>
      <c r="L269" s="5">
        <v>187.33</v>
      </c>
      <c r="M269">
        <v>28</v>
      </c>
      <c r="N269">
        <v>9</v>
      </c>
      <c r="O269">
        <v>7</v>
      </c>
      <c r="P269">
        <v>5</v>
      </c>
      <c r="Q269">
        <v>20</v>
      </c>
      <c r="R269">
        <v>0</v>
      </c>
      <c r="S269">
        <v>0</v>
      </c>
      <c r="T269">
        <v>1</v>
      </c>
      <c r="U269">
        <v>1</v>
      </c>
      <c r="V269">
        <v>0</v>
      </c>
      <c r="W269" t="s">
        <v>52</v>
      </c>
      <c r="X269">
        <v>33</v>
      </c>
      <c r="Y269">
        <v>0</v>
      </c>
      <c r="Z269">
        <f t="shared" si="24"/>
        <v>79</v>
      </c>
      <c r="AA269">
        <f t="shared" si="25"/>
        <v>0.7384615384615385</v>
      </c>
      <c r="AB269">
        <f t="shared" si="26"/>
        <v>10</v>
      </c>
      <c r="AC269" t="str">
        <f t="shared" si="27"/>
        <v>Low</v>
      </c>
      <c r="AD269" t="str">
        <f t="shared" si="28"/>
        <v>Upsell premium bundle</v>
      </c>
      <c r="AE269">
        <f t="shared" si="29"/>
        <v>21</v>
      </c>
    </row>
    <row r="270" spans="1:31" x14ac:dyDescent="0.35">
      <c r="A270" t="s">
        <v>328</v>
      </c>
      <c r="B270" s="4">
        <v>45728</v>
      </c>
      <c r="C270" s="4">
        <v>46143</v>
      </c>
      <c r="D270" t="s">
        <v>66</v>
      </c>
      <c r="E270">
        <v>22</v>
      </c>
      <c r="F270" t="s">
        <v>61</v>
      </c>
      <c r="G270" t="s">
        <v>34</v>
      </c>
      <c r="H270" t="s">
        <v>41</v>
      </c>
      <c r="I270" t="s">
        <v>54</v>
      </c>
      <c r="J270">
        <v>13</v>
      </c>
      <c r="K270" s="5">
        <v>3567.93</v>
      </c>
      <c r="L270" s="5">
        <v>1816.26</v>
      </c>
      <c r="M270">
        <v>22</v>
      </c>
      <c r="N270">
        <v>15</v>
      </c>
      <c r="O270">
        <v>2</v>
      </c>
      <c r="P270">
        <v>1</v>
      </c>
      <c r="Q270">
        <v>22</v>
      </c>
      <c r="R270">
        <v>0</v>
      </c>
      <c r="S270">
        <v>0</v>
      </c>
      <c r="T270">
        <v>1</v>
      </c>
      <c r="U270">
        <v>1</v>
      </c>
      <c r="V270">
        <v>0</v>
      </c>
      <c r="W270" t="s">
        <v>52</v>
      </c>
      <c r="X270">
        <v>38</v>
      </c>
      <c r="Y270">
        <v>0</v>
      </c>
      <c r="Z270">
        <f t="shared" si="24"/>
        <v>66</v>
      </c>
      <c r="AA270">
        <f t="shared" si="25"/>
        <v>1.0232558139534884</v>
      </c>
      <c r="AB270">
        <f t="shared" si="26"/>
        <v>19</v>
      </c>
      <c r="AC270" t="str">
        <f t="shared" si="27"/>
        <v>Low</v>
      </c>
      <c r="AD270" t="str">
        <f t="shared" si="28"/>
        <v>Upsell premium bundle</v>
      </c>
      <c r="AE270">
        <f t="shared" si="29"/>
        <v>34</v>
      </c>
    </row>
    <row r="271" spans="1:31" x14ac:dyDescent="0.35">
      <c r="A271" t="s">
        <v>329</v>
      </c>
      <c r="B271" s="4">
        <v>45957</v>
      </c>
      <c r="C271" s="4">
        <v>46143</v>
      </c>
      <c r="D271" t="s">
        <v>72</v>
      </c>
      <c r="E271">
        <v>47</v>
      </c>
      <c r="F271" t="s">
        <v>57</v>
      </c>
      <c r="G271" t="s">
        <v>48</v>
      </c>
      <c r="H271" t="s">
        <v>41</v>
      </c>
      <c r="I271" t="s">
        <v>36</v>
      </c>
      <c r="J271">
        <v>6</v>
      </c>
      <c r="K271" s="5">
        <v>912.07</v>
      </c>
      <c r="L271" s="5">
        <v>0</v>
      </c>
      <c r="M271">
        <v>20</v>
      </c>
      <c r="N271">
        <v>10</v>
      </c>
      <c r="O271">
        <v>2</v>
      </c>
      <c r="P271">
        <v>2</v>
      </c>
      <c r="Q271">
        <v>2</v>
      </c>
      <c r="R271">
        <v>2</v>
      </c>
      <c r="S271">
        <v>0</v>
      </c>
      <c r="T271">
        <v>1</v>
      </c>
      <c r="U271">
        <v>0</v>
      </c>
      <c r="V271">
        <v>1</v>
      </c>
      <c r="W271" t="s">
        <v>37</v>
      </c>
      <c r="X271">
        <v>8</v>
      </c>
      <c r="Y271">
        <v>1</v>
      </c>
      <c r="Z271">
        <f t="shared" si="24"/>
        <v>43</v>
      </c>
      <c r="AA271">
        <f t="shared" si="25"/>
        <v>0.61111111111111116</v>
      </c>
      <c r="AB271">
        <f t="shared" si="26"/>
        <v>34</v>
      </c>
      <c r="AC271" t="str">
        <f t="shared" si="27"/>
        <v>Low</v>
      </c>
      <c r="AD271" t="str">
        <f t="shared" si="28"/>
        <v>Upsell premium bundle</v>
      </c>
      <c r="AE271">
        <f t="shared" si="29"/>
        <v>57</v>
      </c>
    </row>
    <row r="272" spans="1:31" x14ac:dyDescent="0.35">
      <c r="A272" t="s">
        <v>330</v>
      </c>
      <c r="B272" s="4">
        <v>44959</v>
      </c>
      <c r="C272" s="4">
        <v>46143</v>
      </c>
      <c r="D272" t="s">
        <v>66</v>
      </c>
      <c r="E272">
        <v>59</v>
      </c>
      <c r="F272" t="s">
        <v>61</v>
      </c>
      <c r="G272" t="s">
        <v>34</v>
      </c>
      <c r="H272" t="s">
        <v>58</v>
      </c>
      <c r="I272" t="s">
        <v>36</v>
      </c>
      <c r="J272">
        <v>39</v>
      </c>
      <c r="K272" s="5">
        <v>5147.18</v>
      </c>
      <c r="L272" s="5">
        <v>1122.1199999999999</v>
      </c>
      <c r="M272">
        <v>53</v>
      </c>
      <c r="N272">
        <v>27</v>
      </c>
      <c r="O272">
        <v>12</v>
      </c>
      <c r="P272">
        <v>8</v>
      </c>
      <c r="Q272">
        <v>39</v>
      </c>
      <c r="R272">
        <v>3</v>
      </c>
      <c r="S272">
        <v>0</v>
      </c>
      <c r="T272">
        <v>1</v>
      </c>
      <c r="U272">
        <v>0</v>
      </c>
      <c r="V272">
        <v>1</v>
      </c>
      <c r="W272" t="s">
        <v>50</v>
      </c>
      <c r="X272">
        <v>15</v>
      </c>
      <c r="Y272">
        <v>0</v>
      </c>
      <c r="Z272">
        <f t="shared" si="24"/>
        <v>100</v>
      </c>
      <c r="AA272">
        <f t="shared" si="25"/>
        <v>1.3333333333333333</v>
      </c>
      <c r="AB272">
        <f t="shared" si="26"/>
        <v>0</v>
      </c>
      <c r="AC272" t="str">
        <f t="shared" si="27"/>
        <v>Low</v>
      </c>
      <c r="AD272" t="str">
        <f t="shared" si="28"/>
        <v>Upsell premium bundle</v>
      </c>
      <c r="AE272">
        <f t="shared" si="29"/>
        <v>0</v>
      </c>
    </row>
    <row r="273" spans="1:31" x14ac:dyDescent="0.35">
      <c r="A273" t="s">
        <v>331</v>
      </c>
      <c r="B273" s="4">
        <v>45408</v>
      </c>
      <c r="C273" s="4">
        <v>46143</v>
      </c>
      <c r="D273" t="s">
        <v>66</v>
      </c>
      <c r="E273">
        <v>38</v>
      </c>
      <c r="F273" t="s">
        <v>61</v>
      </c>
      <c r="G273" t="s">
        <v>85</v>
      </c>
      <c r="H273" t="s">
        <v>41</v>
      </c>
      <c r="I273" t="s">
        <v>36</v>
      </c>
      <c r="J273">
        <v>24</v>
      </c>
      <c r="K273" s="5">
        <v>1755.37</v>
      </c>
      <c r="L273" s="5">
        <v>3920.36</v>
      </c>
      <c r="M273">
        <v>20</v>
      </c>
      <c r="N273">
        <v>14</v>
      </c>
      <c r="O273">
        <v>4</v>
      </c>
      <c r="P273">
        <v>3</v>
      </c>
      <c r="Q273">
        <v>4</v>
      </c>
      <c r="R273">
        <v>0</v>
      </c>
      <c r="S273">
        <v>0</v>
      </c>
      <c r="T273">
        <v>1</v>
      </c>
      <c r="U273">
        <v>1</v>
      </c>
      <c r="V273">
        <v>1</v>
      </c>
      <c r="W273" t="s">
        <v>45</v>
      </c>
      <c r="X273">
        <v>37</v>
      </c>
      <c r="Y273">
        <v>0</v>
      </c>
      <c r="Z273">
        <f t="shared" si="24"/>
        <v>59</v>
      </c>
      <c r="AA273">
        <f t="shared" si="25"/>
        <v>0.44444444444444442</v>
      </c>
      <c r="AB273">
        <f t="shared" si="26"/>
        <v>6</v>
      </c>
      <c r="AC273" t="str">
        <f t="shared" si="27"/>
        <v>Low</v>
      </c>
      <c r="AD273" t="str">
        <f t="shared" si="28"/>
        <v>Upsell premium bundle</v>
      </c>
      <c r="AE273">
        <f t="shared" si="29"/>
        <v>41</v>
      </c>
    </row>
    <row r="274" spans="1:31" x14ac:dyDescent="0.35">
      <c r="A274" t="s">
        <v>332</v>
      </c>
      <c r="B274" s="4">
        <v>45099</v>
      </c>
      <c r="C274" s="4">
        <v>46143</v>
      </c>
      <c r="D274" t="s">
        <v>39</v>
      </c>
      <c r="E274">
        <v>26</v>
      </c>
      <c r="F274" t="s">
        <v>33</v>
      </c>
      <c r="G274" t="s">
        <v>63</v>
      </c>
      <c r="H274" t="s">
        <v>35</v>
      </c>
      <c r="I274" t="s">
        <v>36</v>
      </c>
      <c r="J274">
        <v>34</v>
      </c>
      <c r="K274" s="5">
        <v>375.91</v>
      </c>
      <c r="L274" s="5">
        <v>257</v>
      </c>
      <c r="M274">
        <v>33</v>
      </c>
      <c r="N274">
        <v>10</v>
      </c>
      <c r="O274">
        <v>9</v>
      </c>
      <c r="P274">
        <v>5</v>
      </c>
      <c r="Q274">
        <v>24</v>
      </c>
      <c r="R274">
        <v>2</v>
      </c>
      <c r="S274">
        <v>0</v>
      </c>
      <c r="T274">
        <v>0</v>
      </c>
      <c r="U274">
        <v>0</v>
      </c>
      <c r="V274">
        <v>1</v>
      </c>
      <c r="W274" t="s">
        <v>52</v>
      </c>
      <c r="X274">
        <v>60</v>
      </c>
      <c r="Y274">
        <v>0</v>
      </c>
      <c r="Z274">
        <f t="shared" si="24"/>
        <v>90</v>
      </c>
      <c r="AA274">
        <f t="shared" si="25"/>
        <v>0.890625</v>
      </c>
      <c r="AB274">
        <f t="shared" si="26"/>
        <v>0</v>
      </c>
      <c r="AC274" t="str">
        <f t="shared" si="27"/>
        <v>Low</v>
      </c>
      <c r="AD274" t="str">
        <f t="shared" si="28"/>
        <v>Upsell premium bundle</v>
      </c>
      <c r="AE274">
        <f t="shared" si="29"/>
        <v>10</v>
      </c>
    </row>
    <row r="275" spans="1:31" x14ac:dyDescent="0.35">
      <c r="A275" t="s">
        <v>333</v>
      </c>
      <c r="B275" s="4">
        <v>45396</v>
      </c>
      <c r="C275" s="4">
        <v>46143</v>
      </c>
      <c r="D275" t="s">
        <v>66</v>
      </c>
      <c r="E275">
        <v>69</v>
      </c>
      <c r="F275" t="s">
        <v>43</v>
      </c>
      <c r="G275" t="s">
        <v>40</v>
      </c>
      <c r="H275" t="s">
        <v>35</v>
      </c>
      <c r="I275" t="s">
        <v>49</v>
      </c>
      <c r="J275">
        <v>24</v>
      </c>
      <c r="K275" s="5">
        <v>0</v>
      </c>
      <c r="L275" s="5">
        <v>107.79</v>
      </c>
      <c r="M275">
        <v>16</v>
      </c>
      <c r="N275">
        <v>5</v>
      </c>
      <c r="O275">
        <v>4</v>
      </c>
      <c r="P275">
        <v>0</v>
      </c>
      <c r="Q275">
        <v>18</v>
      </c>
      <c r="R275">
        <v>0</v>
      </c>
      <c r="S275">
        <v>0</v>
      </c>
      <c r="T275">
        <v>1</v>
      </c>
      <c r="U275">
        <v>1</v>
      </c>
      <c r="V275">
        <v>0</v>
      </c>
      <c r="W275" t="s">
        <v>45</v>
      </c>
      <c r="X275">
        <v>44</v>
      </c>
      <c r="Y275">
        <v>0</v>
      </c>
      <c r="Z275">
        <f t="shared" si="24"/>
        <v>50</v>
      </c>
      <c r="AA275">
        <f t="shared" si="25"/>
        <v>0.62962962962962965</v>
      </c>
      <c r="AB275">
        <f t="shared" si="26"/>
        <v>22</v>
      </c>
      <c r="AC275" t="str">
        <f t="shared" si="27"/>
        <v>Low</v>
      </c>
      <c r="AD275" t="str">
        <f t="shared" si="28"/>
        <v>Upsell premium bundle</v>
      </c>
      <c r="AE275">
        <f t="shared" si="29"/>
        <v>50</v>
      </c>
    </row>
    <row r="276" spans="1:31" x14ac:dyDescent="0.35">
      <c r="A276" t="s">
        <v>334</v>
      </c>
      <c r="B276" s="4">
        <v>45701</v>
      </c>
      <c r="C276" s="4">
        <v>46143</v>
      </c>
      <c r="D276" t="s">
        <v>39</v>
      </c>
      <c r="E276">
        <v>27</v>
      </c>
      <c r="F276" t="s">
        <v>57</v>
      </c>
      <c r="G276" t="s">
        <v>85</v>
      </c>
      <c r="H276" t="s">
        <v>41</v>
      </c>
      <c r="I276" t="s">
        <v>54</v>
      </c>
      <c r="J276">
        <v>14</v>
      </c>
      <c r="K276" s="5">
        <v>1747.52</v>
      </c>
      <c r="L276" s="5">
        <v>819.63</v>
      </c>
      <c r="M276">
        <v>23</v>
      </c>
      <c r="N276">
        <v>7</v>
      </c>
      <c r="O276">
        <v>2</v>
      </c>
      <c r="P276">
        <v>2</v>
      </c>
      <c r="Q276">
        <v>29</v>
      </c>
      <c r="R276">
        <v>1</v>
      </c>
      <c r="S276">
        <v>1</v>
      </c>
      <c r="T276">
        <v>1</v>
      </c>
      <c r="U276">
        <v>0</v>
      </c>
      <c r="V276">
        <v>1</v>
      </c>
      <c r="W276" t="s">
        <v>45</v>
      </c>
      <c r="X276">
        <v>32</v>
      </c>
      <c r="Y276">
        <v>0</v>
      </c>
      <c r="Z276">
        <f t="shared" si="24"/>
        <v>69</v>
      </c>
      <c r="AA276">
        <f t="shared" si="25"/>
        <v>1.1818181818181819</v>
      </c>
      <c r="AB276">
        <f t="shared" si="26"/>
        <v>37</v>
      </c>
      <c r="AC276" t="str">
        <f t="shared" si="27"/>
        <v>Low</v>
      </c>
      <c r="AD276" t="str">
        <f t="shared" si="28"/>
        <v>Upsell premium bundle</v>
      </c>
      <c r="AE276">
        <f t="shared" si="29"/>
        <v>31</v>
      </c>
    </row>
    <row r="277" spans="1:31" x14ac:dyDescent="0.35">
      <c r="A277" t="s">
        <v>335</v>
      </c>
      <c r="B277" s="4">
        <v>45901</v>
      </c>
      <c r="C277" s="4">
        <v>46143</v>
      </c>
      <c r="D277" t="s">
        <v>66</v>
      </c>
      <c r="E277">
        <v>46</v>
      </c>
      <c r="F277" t="s">
        <v>43</v>
      </c>
      <c r="G277" t="s">
        <v>34</v>
      </c>
      <c r="H277" t="s">
        <v>58</v>
      </c>
      <c r="I277" t="s">
        <v>36</v>
      </c>
      <c r="J277">
        <v>8</v>
      </c>
      <c r="K277" s="5">
        <v>56.12</v>
      </c>
      <c r="L277" s="5">
        <v>117.84</v>
      </c>
      <c r="M277">
        <v>40</v>
      </c>
      <c r="N277">
        <v>11</v>
      </c>
      <c r="O277">
        <v>4</v>
      </c>
      <c r="P277">
        <v>2</v>
      </c>
      <c r="Q277">
        <v>25</v>
      </c>
      <c r="R277">
        <v>1</v>
      </c>
      <c r="S277">
        <v>0</v>
      </c>
      <c r="T277">
        <v>1</v>
      </c>
      <c r="U277">
        <v>1</v>
      </c>
      <c r="V277">
        <v>0</v>
      </c>
      <c r="W277" t="s">
        <v>52</v>
      </c>
      <c r="X277">
        <v>13</v>
      </c>
      <c r="Y277">
        <v>0</v>
      </c>
      <c r="Z277">
        <f t="shared" si="24"/>
        <v>90</v>
      </c>
      <c r="AA277">
        <f t="shared" si="25"/>
        <v>1.7105263157894737</v>
      </c>
      <c r="AB277">
        <f t="shared" si="26"/>
        <v>4</v>
      </c>
      <c r="AC277" t="str">
        <f t="shared" si="27"/>
        <v>Low</v>
      </c>
      <c r="AD277" t="str">
        <f t="shared" si="28"/>
        <v>Upsell premium bundle</v>
      </c>
      <c r="AE277">
        <f t="shared" si="29"/>
        <v>10</v>
      </c>
    </row>
    <row r="278" spans="1:31" x14ac:dyDescent="0.35">
      <c r="A278" t="s">
        <v>336</v>
      </c>
      <c r="B278" s="4">
        <v>45542</v>
      </c>
      <c r="C278" s="4">
        <v>46143</v>
      </c>
      <c r="D278" t="s">
        <v>39</v>
      </c>
      <c r="E278">
        <v>62</v>
      </c>
      <c r="F278" t="s">
        <v>77</v>
      </c>
      <c r="G278" t="s">
        <v>40</v>
      </c>
      <c r="H278" t="s">
        <v>58</v>
      </c>
      <c r="I278" t="s">
        <v>54</v>
      </c>
      <c r="J278">
        <v>20</v>
      </c>
      <c r="K278" s="5">
        <v>19849.080000000002</v>
      </c>
      <c r="L278" s="5">
        <v>3471.51</v>
      </c>
      <c r="M278">
        <v>26</v>
      </c>
      <c r="N278">
        <v>16</v>
      </c>
      <c r="O278">
        <v>1</v>
      </c>
      <c r="P278">
        <v>3</v>
      </c>
      <c r="Q278">
        <v>26</v>
      </c>
      <c r="R278">
        <v>0</v>
      </c>
      <c r="S278">
        <v>1</v>
      </c>
      <c r="T278">
        <v>1</v>
      </c>
      <c r="U278">
        <v>0</v>
      </c>
      <c r="V278">
        <v>1</v>
      </c>
      <c r="W278" t="s">
        <v>37</v>
      </c>
      <c r="X278">
        <v>37</v>
      </c>
      <c r="Y278">
        <v>0</v>
      </c>
      <c r="Z278">
        <f t="shared" si="24"/>
        <v>76</v>
      </c>
      <c r="AA278">
        <f t="shared" si="25"/>
        <v>1.04</v>
      </c>
      <c r="AB278">
        <f t="shared" si="26"/>
        <v>13</v>
      </c>
      <c r="AC278" t="str">
        <f t="shared" si="27"/>
        <v>Low</v>
      </c>
      <c r="AD278" t="str">
        <f t="shared" si="28"/>
        <v>Upsell premium bundle</v>
      </c>
      <c r="AE278">
        <f t="shared" si="29"/>
        <v>24</v>
      </c>
    </row>
    <row r="279" spans="1:31" x14ac:dyDescent="0.35">
      <c r="A279" t="s">
        <v>337</v>
      </c>
      <c r="B279" s="4">
        <v>45791</v>
      </c>
      <c r="C279" s="4">
        <v>46143</v>
      </c>
      <c r="D279" t="s">
        <v>39</v>
      </c>
      <c r="E279">
        <v>35</v>
      </c>
      <c r="F279" t="s">
        <v>43</v>
      </c>
      <c r="G279" t="s">
        <v>63</v>
      </c>
      <c r="H279" t="s">
        <v>41</v>
      </c>
      <c r="I279" t="s">
        <v>36</v>
      </c>
      <c r="J279">
        <v>11</v>
      </c>
      <c r="K279" s="5">
        <v>106.48</v>
      </c>
      <c r="L279" s="5">
        <v>24.94</v>
      </c>
      <c r="M279">
        <v>13</v>
      </c>
      <c r="N279">
        <v>8</v>
      </c>
      <c r="O279">
        <v>3</v>
      </c>
      <c r="P279">
        <v>2</v>
      </c>
      <c r="Q279">
        <v>13</v>
      </c>
      <c r="R279">
        <v>2</v>
      </c>
      <c r="S279">
        <v>0</v>
      </c>
      <c r="T279">
        <v>1</v>
      </c>
      <c r="U279">
        <v>0</v>
      </c>
      <c r="V279">
        <v>1</v>
      </c>
      <c r="W279" t="s">
        <v>45</v>
      </c>
      <c r="X279">
        <v>65</v>
      </c>
      <c r="Y279">
        <v>0</v>
      </c>
      <c r="Z279">
        <f t="shared" si="24"/>
        <v>45</v>
      </c>
      <c r="AA279">
        <f t="shared" si="25"/>
        <v>0.63414634146341464</v>
      </c>
      <c r="AB279">
        <f t="shared" si="26"/>
        <v>5</v>
      </c>
      <c r="AC279" t="str">
        <f t="shared" si="27"/>
        <v>Low</v>
      </c>
      <c r="AD279" t="str">
        <f t="shared" si="28"/>
        <v>Upsell premium bundle</v>
      </c>
      <c r="AE279">
        <f t="shared" si="29"/>
        <v>55</v>
      </c>
    </row>
    <row r="280" spans="1:31" x14ac:dyDescent="0.35">
      <c r="A280" t="s">
        <v>338</v>
      </c>
      <c r="B280" s="4">
        <v>45922</v>
      </c>
      <c r="C280" s="4">
        <v>46143</v>
      </c>
      <c r="D280" t="s">
        <v>60</v>
      </c>
      <c r="E280">
        <v>57</v>
      </c>
      <c r="F280" t="s">
        <v>43</v>
      </c>
      <c r="G280" t="s">
        <v>34</v>
      </c>
      <c r="H280" t="s">
        <v>35</v>
      </c>
      <c r="I280" t="s">
        <v>49</v>
      </c>
      <c r="J280">
        <v>7</v>
      </c>
      <c r="K280" s="5">
        <v>56.72</v>
      </c>
      <c r="L280" s="5">
        <v>0</v>
      </c>
      <c r="M280">
        <v>44</v>
      </c>
      <c r="N280">
        <v>29</v>
      </c>
      <c r="O280">
        <v>3</v>
      </c>
      <c r="P280">
        <v>5</v>
      </c>
      <c r="Q280">
        <v>35</v>
      </c>
      <c r="R280">
        <v>0</v>
      </c>
      <c r="S280">
        <v>0</v>
      </c>
      <c r="T280">
        <v>0</v>
      </c>
      <c r="U280">
        <v>1</v>
      </c>
      <c r="V280">
        <v>1</v>
      </c>
      <c r="W280" t="s">
        <v>37</v>
      </c>
      <c r="X280">
        <v>21</v>
      </c>
      <c r="Y280">
        <v>0</v>
      </c>
      <c r="Z280">
        <f t="shared" si="24"/>
        <v>100</v>
      </c>
      <c r="AA280">
        <f t="shared" si="25"/>
        <v>2.1351351351351351</v>
      </c>
      <c r="AB280">
        <f t="shared" si="26"/>
        <v>14</v>
      </c>
      <c r="AC280" t="str">
        <f t="shared" si="27"/>
        <v>Low</v>
      </c>
      <c r="AD280" t="str">
        <f t="shared" si="28"/>
        <v>Upsell premium bundle</v>
      </c>
      <c r="AE280">
        <f t="shared" si="29"/>
        <v>0</v>
      </c>
    </row>
    <row r="281" spans="1:31" x14ac:dyDescent="0.35">
      <c r="A281" t="s">
        <v>339</v>
      </c>
      <c r="B281" s="4">
        <v>44924</v>
      </c>
      <c r="C281" s="4">
        <v>46143</v>
      </c>
      <c r="D281" t="s">
        <v>72</v>
      </c>
      <c r="E281">
        <v>54</v>
      </c>
      <c r="F281" t="s">
        <v>57</v>
      </c>
      <c r="G281" t="s">
        <v>67</v>
      </c>
      <c r="H281" t="s">
        <v>44</v>
      </c>
      <c r="I281" t="s">
        <v>36</v>
      </c>
      <c r="J281">
        <v>40</v>
      </c>
      <c r="K281" s="5">
        <v>316.18</v>
      </c>
      <c r="L281" s="5">
        <v>228.17</v>
      </c>
      <c r="M281">
        <v>54</v>
      </c>
      <c r="N281">
        <v>38</v>
      </c>
      <c r="O281">
        <v>8</v>
      </c>
      <c r="P281">
        <v>7</v>
      </c>
      <c r="Q281">
        <v>36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50</v>
      </c>
      <c r="X281">
        <v>63</v>
      </c>
      <c r="Y281">
        <v>0</v>
      </c>
      <c r="Z281">
        <f t="shared" si="24"/>
        <v>100</v>
      </c>
      <c r="AA281">
        <f t="shared" si="25"/>
        <v>1.2857142857142858</v>
      </c>
      <c r="AB281">
        <f t="shared" si="26"/>
        <v>0</v>
      </c>
      <c r="AC281" t="str">
        <f t="shared" si="27"/>
        <v>Low</v>
      </c>
      <c r="AD281" t="str">
        <f t="shared" si="28"/>
        <v>Upsell premium bundle</v>
      </c>
      <c r="AE281">
        <f t="shared" si="29"/>
        <v>0</v>
      </c>
    </row>
    <row r="282" spans="1:31" x14ac:dyDescent="0.35">
      <c r="A282" t="s">
        <v>340</v>
      </c>
      <c r="B282" s="4">
        <v>44702</v>
      </c>
      <c r="C282" s="4">
        <v>46143</v>
      </c>
      <c r="D282" t="s">
        <v>72</v>
      </c>
      <c r="E282">
        <v>22</v>
      </c>
      <c r="F282" t="s">
        <v>57</v>
      </c>
      <c r="G282" t="s">
        <v>67</v>
      </c>
      <c r="H282" t="s">
        <v>41</v>
      </c>
      <c r="I282" t="s">
        <v>36</v>
      </c>
      <c r="J282">
        <v>48</v>
      </c>
      <c r="K282" s="5">
        <v>1291.83</v>
      </c>
      <c r="L282" s="5">
        <v>1538.14</v>
      </c>
      <c r="M282">
        <v>24</v>
      </c>
      <c r="N282">
        <v>15</v>
      </c>
      <c r="O282">
        <v>6</v>
      </c>
      <c r="P282">
        <v>3</v>
      </c>
      <c r="Q282">
        <v>15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50</v>
      </c>
      <c r="X282">
        <v>47</v>
      </c>
      <c r="Y282">
        <v>1</v>
      </c>
      <c r="Z282">
        <f t="shared" si="24"/>
        <v>62</v>
      </c>
      <c r="AA282">
        <f t="shared" si="25"/>
        <v>0.5</v>
      </c>
      <c r="AB282">
        <f t="shared" si="26"/>
        <v>0</v>
      </c>
      <c r="AC282" t="str">
        <f t="shared" si="27"/>
        <v>Low</v>
      </c>
      <c r="AD282" t="str">
        <f t="shared" si="28"/>
        <v>Upsell premium bundle</v>
      </c>
      <c r="AE282">
        <f t="shared" si="29"/>
        <v>38</v>
      </c>
    </row>
    <row r="283" spans="1:31" x14ac:dyDescent="0.35">
      <c r="A283" t="s">
        <v>341</v>
      </c>
      <c r="B283" s="4">
        <v>44817</v>
      </c>
      <c r="C283" s="4">
        <v>46143</v>
      </c>
      <c r="D283" t="s">
        <v>32</v>
      </c>
      <c r="E283">
        <v>18</v>
      </c>
      <c r="F283" t="s">
        <v>77</v>
      </c>
      <c r="G283" t="s">
        <v>85</v>
      </c>
      <c r="H283" t="s">
        <v>41</v>
      </c>
      <c r="I283" t="s">
        <v>36</v>
      </c>
      <c r="J283">
        <v>44</v>
      </c>
      <c r="K283" s="5">
        <v>11148.12</v>
      </c>
      <c r="L283" s="5">
        <v>15988.39</v>
      </c>
      <c r="M283">
        <v>15</v>
      </c>
      <c r="N283">
        <v>10</v>
      </c>
      <c r="O283">
        <v>1</v>
      </c>
      <c r="P283">
        <v>1</v>
      </c>
      <c r="Q283">
        <v>19</v>
      </c>
      <c r="R283">
        <v>4</v>
      </c>
      <c r="S283">
        <v>0</v>
      </c>
      <c r="T283">
        <v>1</v>
      </c>
      <c r="U283">
        <v>0</v>
      </c>
      <c r="V283">
        <v>1</v>
      </c>
      <c r="W283" t="s">
        <v>37</v>
      </c>
      <c r="X283">
        <v>28</v>
      </c>
      <c r="Y283">
        <v>0</v>
      </c>
      <c r="Z283">
        <f t="shared" si="24"/>
        <v>50</v>
      </c>
      <c r="AA283">
        <f t="shared" si="25"/>
        <v>0.45945945945945948</v>
      </c>
      <c r="AB283">
        <f t="shared" si="26"/>
        <v>8</v>
      </c>
      <c r="AC283" t="str">
        <f t="shared" si="27"/>
        <v>Low</v>
      </c>
      <c r="AD283" t="str">
        <f t="shared" si="28"/>
        <v>Upsell premium bundle</v>
      </c>
      <c r="AE283">
        <f t="shared" si="29"/>
        <v>50</v>
      </c>
    </row>
    <row r="284" spans="1:31" x14ac:dyDescent="0.35">
      <c r="A284" t="s">
        <v>342</v>
      </c>
      <c r="B284" s="4">
        <v>45341</v>
      </c>
      <c r="C284" s="4">
        <v>46143</v>
      </c>
      <c r="D284" t="s">
        <v>60</v>
      </c>
      <c r="E284">
        <v>54</v>
      </c>
      <c r="F284" t="s">
        <v>77</v>
      </c>
      <c r="G284" t="s">
        <v>67</v>
      </c>
      <c r="H284" t="s">
        <v>41</v>
      </c>
      <c r="I284" t="s">
        <v>36</v>
      </c>
      <c r="J284">
        <v>26</v>
      </c>
      <c r="K284" s="5">
        <v>13798.81</v>
      </c>
      <c r="L284" s="5">
        <v>0</v>
      </c>
      <c r="M284">
        <v>45</v>
      </c>
      <c r="N284">
        <v>24</v>
      </c>
      <c r="O284">
        <v>4</v>
      </c>
      <c r="P284">
        <v>3</v>
      </c>
      <c r="Q284">
        <v>35</v>
      </c>
      <c r="R284">
        <v>0</v>
      </c>
      <c r="S284">
        <v>1</v>
      </c>
      <c r="T284">
        <v>1</v>
      </c>
      <c r="U284">
        <v>1</v>
      </c>
      <c r="V284">
        <v>1</v>
      </c>
      <c r="W284" t="s">
        <v>55</v>
      </c>
      <c r="X284">
        <v>72</v>
      </c>
      <c r="Y284">
        <v>0</v>
      </c>
      <c r="Z284">
        <f t="shared" si="24"/>
        <v>100</v>
      </c>
      <c r="AA284">
        <f t="shared" si="25"/>
        <v>1.4285714285714286</v>
      </c>
      <c r="AB284">
        <f t="shared" si="26"/>
        <v>0</v>
      </c>
      <c r="AC284" t="str">
        <f t="shared" si="27"/>
        <v>Low</v>
      </c>
      <c r="AD284" t="str">
        <f t="shared" si="28"/>
        <v>Upsell premium bundle</v>
      </c>
      <c r="AE284">
        <f t="shared" si="29"/>
        <v>0</v>
      </c>
    </row>
    <row r="285" spans="1:31" x14ac:dyDescent="0.35">
      <c r="A285" t="s">
        <v>343</v>
      </c>
      <c r="B285" s="4">
        <v>46009</v>
      </c>
      <c r="C285" s="4">
        <v>46143</v>
      </c>
      <c r="D285" t="s">
        <v>39</v>
      </c>
      <c r="E285">
        <v>37</v>
      </c>
      <c r="F285" t="s">
        <v>57</v>
      </c>
      <c r="G285" t="s">
        <v>48</v>
      </c>
      <c r="H285" t="s">
        <v>41</v>
      </c>
      <c r="I285" t="s">
        <v>36</v>
      </c>
      <c r="J285">
        <v>4</v>
      </c>
      <c r="K285" s="5">
        <v>1781.62</v>
      </c>
      <c r="L285" s="5">
        <v>0</v>
      </c>
      <c r="M285">
        <v>23</v>
      </c>
      <c r="N285">
        <v>16</v>
      </c>
      <c r="O285">
        <v>3</v>
      </c>
      <c r="P285">
        <v>3</v>
      </c>
      <c r="Q285">
        <v>14</v>
      </c>
      <c r="R285">
        <v>1</v>
      </c>
      <c r="S285">
        <v>0</v>
      </c>
      <c r="T285">
        <v>0</v>
      </c>
      <c r="U285">
        <v>1</v>
      </c>
      <c r="V285">
        <v>0</v>
      </c>
      <c r="W285" t="s">
        <v>55</v>
      </c>
      <c r="X285">
        <v>36</v>
      </c>
      <c r="Y285">
        <v>0</v>
      </c>
      <c r="Z285">
        <f t="shared" si="24"/>
        <v>65</v>
      </c>
      <c r="AA285">
        <f t="shared" si="25"/>
        <v>1.088235294117647</v>
      </c>
      <c r="AB285">
        <f t="shared" si="26"/>
        <v>13</v>
      </c>
      <c r="AC285" t="str">
        <f t="shared" si="27"/>
        <v>Low</v>
      </c>
      <c r="AD285" t="str">
        <f t="shared" si="28"/>
        <v>Upsell premium bundle</v>
      </c>
      <c r="AE285">
        <f t="shared" si="29"/>
        <v>35</v>
      </c>
    </row>
    <row r="286" spans="1:31" x14ac:dyDescent="0.35">
      <c r="A286" t="s">
        <v>344</v>
      </c>
      <c r="B286" s="4">
        <v>44774</v>
      </c>
      <c r="C286" s="4">
        <v>46143</v>
      </c>
      <c r="D286" t="s">
        <v>66</v>
      </c>
      <c r="E286">
        <v>52</v>
      </c>
      <c r="F286" t="s">
        <v>33</v>
      </c>
      <c r="G286" t="s">
        <v>40</v>
      </c>
      <c r="H286" t="s">
        <v>58</v>
      </c>
      <c r="I286" t="s">
        <v>36</v>
      </c>
      <c r="J286">
        <v>45</v>
      </c>
      <c r="K286" s="5">
        <v>426.96</v>
      </c>
      <c r="L286" s="5">
        <v>0</v>
      </c>
      <c r="M286">
        <v>50</v>
      </c>
      <c r="N286">
        <v>21</v>
      </c>
      <c r="O286">
        <v>6</v>
      </c>
      <c r="P286">
        <v>9</v>
      </c>
      <c r="Q286">
        <v>26</v>
      </c>
      <c r="R286">
        <v>0</v>
      </c>
      <c r="S286">
        <v>0</v>
      </c>
      <c r="T286">
        <v>1</v>
      </c>
      <c r="U286">
        <v>1</v>
      </c>
      <c r="V286">
        <v>1</v>
      </c>
      <c r="W286" t="s">
        <v>50</v>
      </c>
      <c r="X286">
        <v>-9</v>
      </c>
      <c r="Y286">
        <v>0</v>
      </c>
      <c r="Z286">
        <f t="shared" si="24"/>
        <v>100</v>
      </c>
      <c r="AA286">
        <f t="shared" si="25"/>
        <v>1.0133333333333334</v>
      </c>
      <c r="AB286">
        <f t="shared" si="26"/>
        <v>13</v>
      </c>
      <c r="AC286" t="str">
        <f t="shared" si="27"/>
        <v>Low</v>
      </c>
      <c r="AD286" t="str">
        <f t="shared" si="28"/>
        <v>Upsell premium bundle</v>
      </c>
      <c r="AE286">
        <f t="shared" si="29"/>
        <v>0</v>
      </c>
    </row>
    <row r="287" spans="1:31" x14ac:dyDescent="0.35">
      <c r="A287" t="s">
        <v>345</v>
      </c>
      <c r="B287" s="4">
        <v>44761</v>
      </c>
      <c r="C287" s="4">
        <v>46143</v>
      </c>
      <c r="D287" t="s">
        <v>66</v>
      </c>
      <c r="E287">
        <v>23</v>
      </c>
      <c r="F287" t="s">
        <v>33</v>
      </c>
      <c r="G287" t="s">
        <v>40</v>
      </c>
      <c r="H287" t="s">
        <v>44</v>
      </c>
      <c r="I287" t="s">
        <v>36</v>
      </c>
      <c r="J287">
        <v>46</v>
      </c>
      <c r="K287" s="5">
        <v>536.48</v>
      </c>
      <c r="L287" s="5">
        <v>261.7</v>
      </c>
      <c r="M287">
        <v>38</v>
      </c>
      <c r="N287">
        <v>16</v>
      </c>
      <c r="O287">
        <v>3</v>
      </c>
      <c r="P287">
        <v>1</v>
      </c>
      <c r="Q287">
        <v>33</v>
      </c>
      <c r="R287">
        <v>0</v>
      </c>
      <c r="S287">
        <v>1</v>
      </c>
      <c r="T287">
        <v>0</v>
      </c>
      <c r="U287">
        <v>0</v>
      </c>
      <c r="V287">
        <v>0</v>
      </c>
      <c r="W287" t="s">
        <v>45</v>
      </c>
      <c r="X287">
        <v>71</v>
      </c>
      <c r="Y287">
        <v>0</v>
      </c>
      <c r="Z287">
        <f t="shared" si="24"/>
        <v>88</v>
      </c>
      <c r="AA287">
        <f t="shared" si="25"/>
        <v>0.93421052631578949</v>
      </c>
      <c r="AB287">
        <f t="shared" si="26"/>
        <v>0</v>
      </c>
      <c r="AC287" t="str">
        <f t="shared" si="27"/>
        <v>Low</v>
      </c>
      <c r="AD287" t="str">
        <f t="shared" si="28"/>
        <v>Upsell premium bundle</v>
      </c>
      <c r="AE287">
        <f t="shared" si="29"/>
        <v>12</v>
      </c>
    </row>
    <row r="288" spans="1:31" x14ac:dyDescent="0.35">
      <c r="A288" t="s">
        <v>346</v>
      </c>
      <c r="B288" s="4">
        <v>46062</v>
      </c>
      <c r="C288" s="4">
        <v>46143</v>
      </c>
      <c r="D288" t="s">
        <v>72</v>
      </c>
      <c r="E288">
        <v>52</v>
      </c>
      <c r="F288" t="s">
        <v>33</v>
      </c>
      <c r="G288" t="s">
        <v>67</v>
      </c>
      <c r="H288" t="s">
        <v>58</v>
      </c>
      <c r="I288" t="s">
        <v>36</v>
      </c>
      <c r="J288">
        <v>2</v>
      </c>
      <c r="K288" s="5">
        <v>243.06</v>
      </c>
      <c r="L288" s="5">
        <v>183.43</v>
      </c>
      <c r="M288">
        <v>35</v>
      </c>
      <c r="N288">
        <v>25</v>
      </c>
      <c r="O288">
        <v>6</v>
      </c>
      <c r="P288">
        <v>5</v>
      </c>
      <c r="Q288">
        <v>37</v>
      </c>
      <c r="R288">
        <v>1</v>
      </c>
      <c r="S288">
        <v>0</v>
      </c>
      <c r="T288">
        <v>0</v>
      </c>
      <c r="U288">
        <v>0</v>
      </c>
      <c r="V288">
        <v>1</v>
      </c>
      <c r="W288" t="s">
        <v>50</v>
      </c>
      <c r="X288">
        <v>86</v>
      </c>
      <c r="Y288">
        <v>0</v>
      </c>
      <c r="Z288">
        <f t="shared" si="24"/>
        <v>100</v>
      </c>
      <c r="AA288">
        <f t="shared" si="25"/>
        <v>2.25</v>
      </c>
      <c r="AB288">
        <f t="shared" si="26"/>
        <v>0</v>
      </c>
      <c r="AC288" t="str">
        <f t="shared" si="27"/>
        <v>Low</v>
      </c>
      <c r="AD288" t="str">
        <f t="shared" si="28"/>
        <v>Upsell premium bundle</v>
      </c>
      <c r="AE288">
        <f t="shared" si="29"/>
        <v>0</v>
      </c>
    </row>
    <row r="289" spans="1:31" x14ac:dyDescent="0.35">
      <c r="A289" t="s">
        <v>347</v>
      </c>
      <c r="B289" s="4">
        <v>46006</v>
      </c>
      <c r="C289" s="4">
        <v>46143</v>
      </c>
      <c r="D289" t="s">
        <v>66</v>
      </c>
      <c r="E289">
        <v>58</v>
      </c>
      <c r="F289" t="s">
        <v>43</v>
      </c>
      <c r="G289" t="s">
        <v>67</v>
      </c>
      <c r="H289" t="s">
        <v>41</v>
      </c>
      <c r="I289" t="s">
        <v>36</v>
      </c>
      <c r="J289">
        <v>4</v>
      </c>
      <c r="K289" s="5">
        <v>118.9</v>
      </c>
      <c r="L289" s="5">
        <v>82.8</v>
      </c>
      <c r="M289">
        <v>19</v>
      </c>
      <c r="N289">
        <v>5</v>
      </c>
      <c r="O289">
        <v>4</v>
      </c>
      <c r="P289">
        <v>4</v>
      </c>
      <c r="Q289">
        <v>12</v>
      </c>
      <c r="R289">
        <v>1</v>
      </c>
      <c r="S289">
        <v>0</v>
      </c>
      <c r="T289">
        <v>1</v>
      </c>
      <c r="U289">
        <v>1</v>
      </c>
      <c r="V289">
        <v>1</v>
      </c>
      <c r="W289" t="s">
        <v>37</v>
      </c>
      <c r="X289">
        <v>-2</v>
      </c>
      <c r="Y289">
        <v>0</v>
      </c>
      <c r="Z289">
        <f t="shared" si="24"/>
        <v>61</v>
      </c>
      <c r="AA289">
        <f t="shared" si="25"/>
        <v>0.91176470588235292</v>
      </c>
      <c r="AB289">
        <f t="shared" si="26"/>
        <v>33</v>
      </c>
      <c r="AC289" t="str">
        <f t="shared" si="27"/>
        <v>Low</v>
      </c>
      <c r="AD289" t="str">
        <f t="shared" si="28"/>
        <v>Upsell premium bundle</v>
      </c>
      <c r="AE289">
        <f t="shared" si="29"/>
        <v>39</v>
      </c>
    </row>
    <row r="290" spans="1:31" x14ac:dyDescent="0.35">
      <c r="A290" t="s">
        <v>348</v>
      </c>
      <c r="B290" s="4">
        <v>45244</v>
      </c>
      <c r="C290" s="4">
        <v>46143</v>
      </c>
      <c r="D290" t="s">
        <v>72</v>
      </c>
      <c r="E290">
        <v>34</v>
      </c>
      <c r="F290" t="s">
        <v>43</v>
      </c>
      <c r="G290" t="s">
        <v>63</v>
      </c>
      <c r="H290" t="s">
        <v>41</v>
      </c>
      <c r="I290" t="s">
        <v>36</v>
      </c>
      <c r="J290">
        <v>29</v>
      </c>
      <c r="K290" s="5">
        <v>0</v>
      </c>
      <c r="L290" s="5">
        <v>108.66</v>
      </c>
      <c r="M290">
        <v>15</v>
      </c>
      <c r="N290">
        <v>9</v>
      </c>
      <c r="O290">
        <v>2</v>
      </c>
      <c r="P290">
        <v>1</v>
      </c>
      <c r="Q290">
        <v>7</v>
      </c>
      <c r="R290">
        <v>3</v>
      </c>
      <c r="S290">
        <v>2</v>
      </c>
      <c r="T290">
        <v>0</v>
      </c>
      <c r="U290">
        <v>1</v>
      </c>
      <c r="V290">
        <v>0</v>
      </c>
      <c r="W290" t="s">
        <v>37</v>
      </c>
      <c r="X290">
        <v>14</v>
      </c>
      <c r="Y290">
        <v>1</v>
      </c>
      <c r="Z290">
        <f t="shared" si="24"/>
        <v>41</v>
      </c>
      <c r="AA290">
        <f t="shared" si="25"/>
        <v>0.3728813559322034</v>
      </c>
      <c r="AB290">
        <f t="shared" si="26"/>
        <v>46</v>
      </c>
      <c r="AC290" t="str">
        <f t="shared" si="27"/>
        <v>Medium</v>
      </c>
      <c r="AD290" t="str">
        <f t="shared" si="28"/>
        <v>Nudge core feature adoption</v>
      </c>
      <c r="AE290">
        <f t="shared" si="29"/>
        <v>59</v>
      </c>
    </row>
    <row r="291" spans="1:31" x14ac:dyDescent="0.35">
      <c r="A291" t="s">
        <v>349</v>
      </c>
      <c r="B291" s="4">
        <v>44875</v>
      </c>
      <c r="C291" s="4">
        <v>46143</v>
      </c>
      <c r="D291" t="s">
        <v>72</v>
      </c>
      <c r="E291">
        <v>37</v>
      </c>
      <c r="F291" t="s">
        <v>57</v>
      </c>
      <c r="G291" t="s">
        <v>85</v>
      </c>
      <c r="H291" t="s">
        <v>41</v>
      </c>
      <c r="I291" t="s">
        <v>36</v>
      </c>
      <c r="J291">
        <v>42</v>
      </c>
      <c r="K291" s="5">
        <v>589.57000000000005</v>
      </c>
      <c r="L291" s="5">
        <v>361.95</v>
      </c>
      <c r="M291">
        <v>23</v>
      </c>
      <c r="N291">
        <v>8</v>
      </c>
      <c r="O291">
        <v>6</v>
      </c>
      <c r="P291">
        <v>0</v>
      </c>
      <c r="Q291">
        <v>21</v>
      </c>
      <c r="R291">
        <v>0</v>
      </c>
      <c r="S291">
        <v>0</v>
      </c>
      <c r="T291">
        <v>0</v>
      </c>
      <c r="U291">
        <v>1</v>
      </c>
      <c r="V291">
        <v>0</v>
      </c>
      <c r="W291" t="s">
        <v>50</v>
      </c>
      <c r="X291">
        <v>-7</v>
      </c>
      <c r="Y291">
        <v>1</v>
      </c>
      <c r="Z291">
        <f t="shared" si="24"/>
        <v>65</v>
      </c>
      <c r="AA291">
        <f t="shared" si="25"/>
        <v>0.61111111111111116</v>
      </c>
      <c r="AB291">
        <f t="shared" si="26"/>
        <v>36</v>
      </c>
      <c r="AC291" t="str">
        <f t="shared" si="27"/>
        <v>Low</v>
      </c>
      <c r="AD291" t="str">
        <f t="shared" si="28"/>
        <v>Upsell premium bundle</v>
      </c>
      <c r="AE291">
        <f t="shared" si="29"/>
        <v>35</v>
      </c>
    </row>
    <row r="292" spans="1:31" x14ac:dyDescent="0.35">
      <c r="A292" t="s">
        <v>350</v>
      </c>
      <c r="B292" s="4">
        <v>45255</v>
      </c>
      <c r="C292" s="4">
        <v>46143</v>
      </c>
      <c r="D292" t="s">
        <v>39</v>
      </c>
      <c r="E292">
        <v>42</v>
      </c>
      <c r="F292" t="s">
        <v>57</v>
      </c>
      <c r="G292" t="s">
        <v>48</v>
      </c>
      <c r="H292" t="s">
        <v>41</v>
      </c>
      <c r="I292" t="s">
        <v>49</v>
      </c>
      <c r="J292">
        <v>29</v>
      </c>
      <c r="K292" s="5">
        <v>954.73</v>
      </c>
      <c r="L292" s="5">
        <v>400.71</v>
      </c>
      <c r="M292">
        <v>38</v>
      </c>
      <c r="N292">
        <v>16</v>
      </c>
      <c r="O292">
        <v>8</v>
      </c>
      <c r="P292">
        <v>1</v>
      </c>
      <c r="Q292">
        <v>24</v>
      </c>
      <c r="R292">
        <v>4</v>
      </c>
      <c r="S292">
        <v>2</v>
      </c>
      <c r="T292">
        <v>0</v>
      </c>
      <c r="U292">
        <v>0</v>
      </c>
      <c r="V292">
        <v>0</v>
      </c>
      <c r="W292" t="s">
        <v>37</v>
      </c>
      <c r="X292">
        <v>6</v>
      </c>
      <c r="Y292">
        <v>1</v>
      </c>
      <c r="Z292">
        <f t="shared" si="24"/>
        <v>86</v>
      </c>
      <c r="AA292">
        <f t="shared" si="25"/>
        <v>1.0508474576271187</v>
      </c>
      <c r="AB292">
        <f t="shared" si="26"/>
        <v>47</v>
      </c>
      <c r="AC292" t="str">
        <f t="shared" si="27"/>
        <v>Medium</v>
      </c>
      <c r="AD292" t="str">
        <f t="shared" si="28"/>
        <v>Nudge core feature adoption</v>
      </c>
      <c r="AE292">
        <f t="shared" si="29"/>
        <v>14</v>
      </c>
    </row>
    <row r="293" spans="1:31" x14ac:dyDescent="0.35">
      <c r="A293" t="s">
        <v>351</v>
      </c>
      <c r="B293" s="4">
        <v>45475</v>
      </c>
      <c r="C293" s="4">
        <v>46143</v>
      </c>
      <c r="D293" t="s">
        <v>60</v>
      </c>
      <c r="E293">
        <v>69</v>
      </c>
      <c r="F293" t="s">
        <v>57</v>
      </c>
      <c r="G293" t="s">
        <v>48</v>
      </c>
      <c r="H293" t="s">
        <v>44</v>
      </c>
      <c r="I293" t="s">
        <v>36</v>
      </c>
      <c r="J293">
        <v>22</v>
      </c>
      <c r="K293" s="5">
        <v>2096.63</v>
      </c>
      <c r="L293" s="5">
        <v>1369.73</v>
      </c>
      <c r="M293">
        <v>54</v>
      </c>
      <c r="N293">
        <v>31</v>
      </c>
      <c r="O293">
        <v>3</v>
      </c>
      <c r="P293">
        <v>9</v>
      </c>
      <c r="Q293">
        <v>28</v>
      </c>
      <c r="R293">
        <v>0</v>
      </c>
      <c r="S293">
        <v>0</v>
      </c>
      <c r="T293">
        <v>1</v>
      </c>
      <c r="U293">
        <v>1</v>
      </c>
      <c r="V293">
        <v>1</v>
      </c>
      <c r="W293" t="s">
        <v>52</v>
      </c>
      <c r="X293">
        <v>51</v>
      </c>
      <c r="Y293">
        <v>0</v>
      </c>
      <c r="Z293">
        <f t="shared" si="24"/>
        <v>100</v>
      </c>
      <c r="AA293">
        <f t="shared" si="25"/>
        <v>1.5769230769230769</v>
      </c>
      <c r="AB293">
        <f t="shared" si="26"/>
        <v>0</v>
      </c>
      <c r="AC293" t="str">
        <f t="shared" si="27"/>
        <v>Low</v>
      </c>
      <c r="AD293" t="str">
        <f t="shared" si="28"/>
        <v>Upsell premium bundle</v>
      </c>
      <c r="AE293">
        <f t="shared" si="29"/>
        <v>0</v>
      </c>
    </row>
    <row r="294" spans="1:31" x14ac:dyDescent="0.35">
      <c r="A294" t="s">
        <v>352</v>
      </c>
      <c r="B294" s="4">
        <v>45197</v>
      </c>
      <c r="C294" s="4">
        <v>46143</v>
      </c>
      <c r="D294" t="s">
        <v>39</v>
      </c>
      <c r="E294">
        <v>58</v>
      </c>
      <c r="F294" t="s">
        <v>61</v>
      </c>
      <c r="G294" t="s">
        <v>85</v>
      </c>
      <c r="H294" t="s">
        <v>58</v>
      </c>
      <c r="I294" t="s">
        <v>36</v>
      </c>
      <c r="J294">
        <v>31</v>
      </c>
      <c r="K294" s="5">
        <v>1496.19</v>
      </c>
      <c r="L294" s="5">
        <v>4146.4399999999996</v>
      </c>
      <c r="M294">
        <v>25</v>
      </c>
      <c r="N294">
        <v>11</v>
      </c>
      <c r="O294">
        <v>3</v>
      </c>
      <c r="P294">
        <v>4</v>
      </c>
      <c r="Q294">
        <v>25</v>
      </c>
      <c r="R294">
        <v>2</v>
      </c>
      <c r="S294">
        <v>4</v>
      </c>
      <c r="T294">
        <v>1</v>
      </c>
      <c r="U294">
        <v>0</v>
      </c>
      <c r="V294">
        <v>1</v>
      </c>
      <c r="W294" t="s">
        <v>55</v>
      </c>
      <c r="X294">
        <v>-17</v>
      </c>
      <c r="Y294">
        <v>1</v>
      </c>
      <c r="Z294">
        <f t="shared" si="24"/>
        <v>74</v>
      </c>
      <c r="AA294">
        <f t="shared" si="25"/>
        <v>0.81967213114754101</v>
      </c>
      <c r="AB294">
        <f t="shared" si="26"/>
        <v>46</v>
      </c>
      <c r="AC294" t="str">
        <f t="shared" si="27"/>
        <v>Medium</v>
      </c>
      <c r="AD294" t="str">
        <f t="shared" si="28"/>
        <v>Nudge core feature adoption</v>
      </c>
      <c r="AE294">
        <f t="shared" si="29"/>
        <v>26</v>
      </c>
    </row>
    <row r="295" spans="1:31" x14ac:dyDescent="0.35">
      <c r="A295" t="s">
        <v>353</v>
      </c>
      <c r="B295" s="4">
        <v>45704</v>
      </c>
      <c r="C295" s="4">
        <v>46143</v>
      </c>
      <c r="D295" t="s">
        <v>39</v>
      </c>
      <c r="E295">
        <v>26</v>
      </c>
      <c r="F295" t="s">
        <v>57</v>
      </c>
      <c r="G295" t="s">
        <v>85</v>
      </c>
      <c r="H295" t="s">
        <v>44</v>
      </c>
      <c r="I295" t="s">
        <v>36</v>
      </c>
      <c r="J295">
        <v>14</v>
      </c>
      <c r="K295" s="5">
        <v>1184.75</v>
      </c>
      <c r="L295" s="5">
        <v>1170.01</v>
      </c>
      <c r="M295">
        <v>41</v>
      </c>
      <c r="N295">
        <v>21</v>
      </c>
      <c r="O295">
        <v>5</v>
      </c>
      <c r="P295">
        <v>5</v>
      </c>
      <c r="Q295">
        <v>34</v>
      </c>
      <c r="R295">
        <v>0</v>
      </c>
      <c r="S295">
        <v>1</v>
      </c>
      <c r="T295">
        <v>1</v>
      </c>
      <c r="U295">
        <v>0</v>
      </c>
      <c r="V295">
        <v>1</v>
      </c>
      <c r="W295" t="s">
        <v>37</v>
      </c>
      <c r="X295">
        <v>-3</v>
      </c>
      <c r="Y295">
        <v>0</v>
      </c>
      <c r="Z295">
        <f t="shared" si="24"/>
        <v>100</v>
      </c>
      <c r="AA295">
        <f t="shared" si="25"/>
        <v>1.7045454545454546</v>
      </c>
      <c r="AB295">
        <f t="shared" si="26"/>
        <v>18</v>
      </c>
      <c r="AC295" t="str">
        <f t="shared" si="27"/>
        <v>Low</v>
      </c>
      <c r="AD295" t="str">
        <f t="shared" si="28"/>
        <v>Upsell premium bundle</v>
      </c>
      <c r="AE295">
        <f t="shared" si="29"/>
        <v>0</v>
      </c>
    </row>
    <row r="296" spans="1:31" x14ac:dyDescent="0.35">
      <c r="A296" t="s">
        <v>354</v>
      </c>
      <c r="B296" s="4">
        <v>45936</v>
      </c>
      <c r="C296" s="4">
        <v>46143</v>
      </c>
      <c r="D296" t="s">
        <v>60</v>
      </c>
      <c r="E296">
        <v>72</v>
      </c>
      <c r="F296" t="s">
        <v>61</v>
      </c>
      <c r="G296" t="s">
        <v>34</v>
      </c>
      <c r="H296" t="s">
        <v>44</v>
      </c>
      <c r="I296" t="s">
        <v>36</v>
      </c>
      <c r="J296">
        <v>6</v>
      </c>
      <c r="K296" s="5">
        <v>0</v>
      </c>
      <c r="L296" s="5">
        <v>260.60000000000002</v>
      </c>
      <c r="M296">
        <v>38</v>
      </c>
      <c r="N296">
        <v>28</v>
      </c>
      <c r="O296">
        <v>9</v>
      </c>
      <c r="P296">
        <v>5</v>
      </c>
      <c r="Q296">
        <v>31</v>
      </c>
      <c r="R296">
        <v>3</v>
      </c>
      <c r="S296">
        <v>3</v>
      </c>
      <c r="T296">
        <v>1</v>
      </c>
      <c r="U296">
        <v>1</v>
      </c>
      <c r="V296">
        <v>1</v>
      </c>
      <c r="W296" t="s">
        <v>52</v>
      </c>
      <c r="X296">
        <v>22</v>
      </c>
      <c r="Y296">
        <v>0</v>
      </c>
      <c r="Z296">
        <f t="shared" si="24"/>
        <v>100</v>
      </c>
      <c r="AA296">
        <f t="shared" si="25"/>
        <v>1.9166666666666667</v>
      </c>
      <c r="AB296">
        <f t="shared" si="26"/>
        <v>17</v>
      </c>
      <c r="AC296" t="str">
        <f t="shared" si="27"/>
        <v>Low</v>
      </c>
      <c r="AD296" t="str">
        <f t="shared" si="28"/>
        <v>Upsell premium bundle</v>
      </c>
      <c r="AE296">
        <f t="shared" si="29"/>
        <v>0</v>
      </c>
    </row>
    <row r="297" spans="1:31" x14ac:dyDescent="0.35">
      <c r="A297" t="s">
        <v>355</v>
      </c>
      <c r="B297" s="4">
        <v>44799</v>
      </c>
      <c r="C297" s="4">
        <v>46143</v>
      </c>
      <c r="D297" t="s">
        <v>66</v>
      </c>
      <c r="E297">
        <v>67</v>
      </c>
      <c r="F297" t="s">
        <v>43</v>
      </c>
      <c r="G297" t="s">
        <v>85</v>
      </c>
      <c r="H297" t="s">
        <v>35</v>
      </c>
      <c r="I297" t="s">
        <v>36</v>
      </c>
      <c r="J297">
        <v>44</v>
      </c>
      <c r="K297" s="5">
        <v>41.53</v>
      </c>
      <c r="L297" s="5">
        <v>35.590000000000003</v>
      </c>
      <c r="M297">
        <v>38</v>
      </c>
      <c r="N297">
        <v>12</v>
      </c>
      <c r="O297">
        <v>6</v>
      </c>
      <c r="P297">
        <v>3</v>
      </c>
      <c r="Q297">
        <v>29</v>
      </c>
      <c r="R297">
        <v>1</v>
      </c>
      <c r="S297">
        <v>0</v>
      </c>
      <c r="T297">
        <v>0</v>
      </c>
      <c r="U297">
        <v>0</v>
      </c>
      <c r="V297">
        <v>1</v>
      </c>
      <c r="W297" t="s">
        <v>45</v>
      </c>
      <c r="X297">
        <v>73</v>
      </c>
      <c r="Y297">
        <v>0</v>
      </c>
      <c r="Z297">
        <f t="shared" si="24"/>
        <v>95</v>
      </c>
      <c r="AA297">
        <f t="shared" si="25"/>
        <v>0.90540540540540537</v>
      </c>
      <c r="AB297">
        <f t="shared" si="26"/>
        <v>0</v>
      </c>
      <c r="AC297" t="str">
        <f t="shared" si="27"/>
        <v>Low</v>
      </c>
      <c r="AD297" t="str">
        <f t="shared" si="28"/>
        <v>Upsell premium bundle</v>
      </c>
      <c r="AE297">
        <f t="shared" si="29"/>
        <v>5</v>
      </c>
    </row>
    <row r="298" spans="1:31" x14ac:dyDescent="0.35">
      <c r="A298" t="s">
        <v>356</v>
      </c>
      <c r="B298" s="4">
        <v>45252</v>
      </c>
      <c r="C298" s="4">
        <v>46143</v>
      </c>
      <c r="D298" t="s">
        <v>32</v>
      </c>
      <c r="E298">
        <v>29</v>
      </c>
      <c r="F298" t="s">
        <v>61</v>
      </c>
      <c r="G298" t="s">
        <v>48</v>
      </c>
      <c r="H298" t="s">
        <v>41</v>
      </c>
      <c r="I298" t="s">
        <v>36</v>
      </c>
      <c r="J298">
        <v>29</v>
      </c>
      <c r="K298" s="5">
        <v>8287.15</v>
      </c>
      <c r="L298" s="5">
        <v>1379.53</v>
      </c>
      <c r="M298">
        <v>12</v>
      </c>
      <c r="N298">
        <v>7</v>
      </c>
      <c r="O298">
        <v>3</v>
      </c>
      <c r="P298">
        <v>1</v>
      </c>
      <c r="Q298">
        <v>16</v>
      </c>
      <c r="R298">
        <v>2</v>
      </c>
      <c r="S298">
        <v>1</v>
      </c>
      <c r="T298">
        <v>1</v>
      </c>
      <c r="U298">
        <v>0</v>
      </c>
      <c r="V298">
        <v>0</v>
      </c>
      <c r="W298" t="s">
        <v>55</v>
      </c>
      <c r="X298">
        <v>3</v>
      </c>
      <c r="Y298">
        <v>0</v>
      </c>
      <c r="Z298">
        <f t="shared" si="24"/>
        <v>38</v>
      </c>
      <c r="AA298">
        <f t="shared" si="25"/>
        <v>0.47457627118644069</v>
      </c>
      <c r="AB298">
        <f t="shared" si="26"/>
        <v>46</v>
      </c>
      <c r="AC298" t="str">
        <f t="shared" si="27"/>
        <v>Medium</v>
      </c>
      <c r="AD298" t="str">
        <f t="shared" si="28"/>
        <v>Nudge core feature adoption</v>
      </c>
      <c r="AE298">
        <f t="shared" si="29"/>
        <v>62</v>
      </c>
    </row>
    <row r="299" spans="1:31" x14ac:dyDescent="0.35">
      <c r="A299" t="s">
        <v>357</v>
      </c>
      <c r="B299" s="4">
        <v>44911</v>
      </c>
      <c r="C299" s="4">
        <v>46143</v>
      </c>
      <c r="D299" t="s">
        <v>39</v>
      </c>
      <c r="E299">
        <v>32</v>
      </c>
      <c r="F299" t="s">
        <v>33</v>
      </c>
      <c r="G299" t="s">
        <v>48</v>
      </c>
      <c r="H299" t="s">
        <v>41</v>
      </c>
      <c r="I299" t="s">
        <v>36</v>
      </c>
      <c r="J299">
        <v>41</v>
      </c>
      <c r="K299" s="5">
        <v>209.36</v>
      </c>
      <c r="L299" s="5">
        <v>298.2</v>
      </c>
      <c r="M299">
        <v>11</v>
      </c>
      <c r="N299">
        <v>3</v>
      </c>
      <c r="O299">
        <v>1</v>
      </c>
      <c r="P299">
        <v>0</v>
      </c>
      <c r="Q299">
        <v>9</v>
      </c>
      <c r="R299">
        <v>0</v>
      </c>
      <c r="S299">
        <v>1</v>
      </c>
      <c r="T299">
        <v>1</v>
      </c>
      <c r="U299">
        <v>0</v>
      </c>
      <c r="V299">
        <v>1</v>
      </c>
      <c r="W299" t="s">
        <v>37</v>
      </c>
      <c r="X299">
        <v>24</v>
      </c>
      <c r="Y299">
        <v>1</v>
      </c>
      <c r="Z299">
        <f t="shared" si="24"/>
        <v>31</v>
      </c>
      <c r="AA299">
        <f t="shared" si="25"/>
        <v>0.28169014084507044</v>
      </c>
      <c r="AB299">
        <f t="shared" si="26"/>
        <v>42</v>
      </c>
      <c r="AC299" t="str">
        <f t="shared" si="27"/>
        <v>Medium</v>
      </c>
      <c r="AD299" t="str">
        <f t="shared" si="28"/>
        <v>Nudge core feature adoption</v>
      </c>
      <c r="AE299">
        <f t="shared" si="29"/>
        <v>69</v>
      </c>
    </row>
    <row r="300" spans="1:31" x14ac:dyDescent="0.35">
      <c r="A300" t="s">
        <v>358</v>
      </c>
      <c r="B300" s="4">
        <v>45987</v>
      </c>
      <c r="C300" s="4">
        <v>46143</v>
      </c>
      <c r="D300" t="s">
        <v>72</v>
      </c>
      <c r="E300">
        <v>34</v>
      </c>
      <c r="F300" t="s">
        <v>33</v>
      </c>
      <c r="G300" t="s">
        <v>34</v>
      </c>
      <c r="H300" t="s">
        <v>41</v>
      </c>
      <c r="I300" t="s">
        <v>36</v>
      </c>
      <c r="J300">
        <v>5</v>
      </c>
      <c r="K300" s="5">
        <v>563.75</v>
      </c>
      <c r="L300" s="5">
        <v>282.05</v>
      </c>
      <c r="M300">
        <v>30</v>
      </c>
      <c r="N300">
        <v>9</v>
      </c>
      <c r="O300">
        <v>5</v>
      </c>
      <c r="P300">
        <v>1</v>
      </c>
      <c r="Q300">
        <v>12</v>
      </c>
      <c r="R300">
        <v>2</v>
      </c>
      <c r="S300">
        <v>1</v>
      </c>
      <c r="T300">
        <v>1</v>
      </c>
      <c r="U300">
        <v>1</v>
      </c>
      <c r="V300">
        <v>0</v>
      </c>
      <c r="W300" t="s">
        <v>52</v>
      </c>
      <c r="X300">
        <v>10</v>
      </c>
      <c r="Y300">
        <v>1</v>
      </c>
      <c r="Z300">
        <f t="shared" si="24"/>
        <v>66</v>
      </c>
      <c r="AA300">
        <f t="shared" si="25"/>
        <v>1.2</v>
      </c>
      <c r="AB300">
        <f t="shared" si="26"/>
        <v>32</v>
      </c>
      <c r="AC300" t="str">
        <f t="shared" si="27"/>
        <v>Low</v>
      </c>
      <c r="AD300" t="str">
        <f t="shared" si="28"/>
        <v>Upsell premium bundle</v>
      </c>
      <c r="AE300">
        <f t="shared" si="29"/>
        <v>34</v>
      </c>
    </row>
    <row r="301" spans="1:31" x14ac:dyDescent="0.35">
      <c r="A301" t="s">
        <v>359</v>
      </c>
      <c r="B301" s="4">
        <v>45056</v>
      </c>
      <c r="C301" s="4">
        <v>46143</v>
      </c>
      <c r="D301" t="s">
        <v>66</v>
      </c>
      <c r="E301">
        <v>52</v>
      </c>
      <c r="F301" t="s">
        <v>33</v>
      </c>
      <c r="G301" t="s">
        <v>40</v>
      </c>
      <c r="H301" t="s">
        <v>41</v>
      </c>
      <c r="I301" t="s">
        <v>36</v>
      </c>
      <c r="J301">
        <v>36</v>
      </c>
      <c r="K301" s="5">
        <v>437.59</v>
      </c>
      <c r="L301" s="5">
        <v>233.79</v>
      </c>
      <c r="M301">
        <v>24</v>
      </c>
      <c r="N301">
        <v>11</v>
      </c>
      <c r="O301">
        <v>2</v>
      </c>
      <c r="P301">
        <v>2</v>
      </c>
      <c r="Q301">
        <v>31</v>
      </c>
      <c r="R301">
        <v>0</v>
      </c>
      <c r="S301">
        <v>0</v>
      </c>
      <c r="T301">
        <v>1</v>
      </c>
      <c r="U301">
        <v>0</v>
      </c>
      <c r="V301">
        <v>0</v>
      </c>
      <c r="W301" t="s">
        <v>45</v>
      </c>
      <c r="X301">
        <v>25</v>
      </c>
      <c r="Y301">
        <v>0</v>
      </c>
      <c r="Z301">
        <f t="shared" si="24"/>
        <v>67</v>
      </c>
      <c r="AA301">
        <f t="shared" si="25"/>
        <v>0.83333333333333337</v>
      </c>
      <c r="AB301">
        <f t="shared" si="26"/>
        <v>19</v>
      </c>
      <c r="AC301" t="str">
        <f t="shared" si="27"/>
        <v>Low</v>
      </c>
      <c r="AD301" t="str">
        <f t="shared" si="28"/>
        <v>Upsell premium bundle</v>
      </c>
      <c r="AE301">
        <f t="shared" si="29"/>
        <v>33</v>
      </c>
    </row>
    <row r="302" spans="1:31" x14ac:dyDescent="0.35">
      <c r="A302" t="s">
        <v>360</v>
      </c>
      <c r="B302" s="4">
        <v>45911</v>
      </c>
      <c r="C302" s="4">
        <v>46143</v>
      </c>
      <c r="D302" t="s">
        <v>47</v>
      </c>
      <c r="E302">
        <v>22</v>
      </c>
      <c r="F302" t="s">
        <v>57</v>
      </c>
      <c r="G302" t="s">
        <v>48</v>
      </c>
      <c r="H302" t="s">
        <v>58</v>
      </c>
      <c r="I302" t="s">
        <v>36</v>
      </c>
      <c r="J302">
        <v>7</v>
      </c>
      <c r="K302" s="5">
        <v>1719.24</v>
      </c>
      <c r="L302" s="5">
        <v>264.02999999999997</v>
      </c>
      <c r="M302">
        <v>5</v>
      </c>
      <c r="N302">
        <v>3</v>
      </c>
      <c r="O302">
        <v>0</v>
      </c>
      <c r="P302">
        <v>0</v>
      </c>
      <c r="Q302">
        <v>16</v>
      </c>
      <c r="R302">
        <v>0</v>
      </c>
      <c r="S302">
        <v>0</v>
      </c>
      <c r="T302">
        <v>0</v>
      </c>
      <c r="U302">
        <v>1</v>
      </c>
      <c r="V302">
        <v>0</v>
      </c>
      <c r="W302" t="s">
        <v>45</v>
      </c>
      <c r="X302">
        <v>29</v>
      </c>
      <c r="Y302">
        <v>0</v>
      </c>
      <c r="Z302">
        <f t="shared" si="24"/>
        <v>30</v>
      </c>
      <c r="AA302">
        <f t="shared" si="25"/>
        <v>0.56756756756756754</v>
      </c>
      <c r="AB302">
        <f t="shared" si="26"/>
        <v>22</v>
      </c>
      <c r="AC302" t="str">
        <f t="shared" si="27"/>
        <v>Low</v>
      </c>
      <c r="AD302" t="str">
        <f t="shared" si="28"/>
        <v>Upsell premium bundle</v>
      </c>
      <c r="AE302">
        <f t="shared" si="29"/>
        <v>70</v>
      </c>
    </row>
    <row r="303" spans="1:31" x14ac:dyDescent="0.35">
      <c r="A303" t="s">
        <v>361</v>
      </c>
      <c r="B303" s="4">
        <v>45587</v>
      </c>
      <c r="C303" s="4">
        <v>46143</v>
      </c>
      <c r="D303" t="s">
        <v>39</v>
      </c>
      <c r="E303">
        <v>62</v>
      </c>
      <c r="F303" t="s">
        <v>57</v>
      </c>
      <c r="G303" t="s">
        <v>63</v>
      </c>
      <c r="H303" t="s">
        <v>44</v>
      </c>
      <c r="I303" t="s">
        <v>36</v>
      </c>
      <c r="J303">
        <v>18</v>
      </c>
      <c r="K303" s="5">
        <v>1924.43</v>
      </c>
      <c r="L303" s="5">
        <v>1737.05</v>
      </c>
      <c r="M303">
        <v>28</v>
      </c>
      <c r="N303">
        <v>11</v>
      </c>
      <c r="O303">
        <v>1</v>
      </c>
      <c r="P303">
        <v>3</v>
      </c>
      <c r="Q303">
        <v>27</v>
      </c>
      <c r="R303">
        <v>0</v>
      </c>
      <c r="S303">
        <v>0</v>
      </c>
      <c r="T303">
        <v>1</v>
      </c>
      <c r="U303">
        <v>0</v>
      </c>
      <c r="V303">
        <v>0</v>
      </c>
      <c r="W303" t="s">
        <v>37</v>
      </c>
      <c r="X303">
        <v>64</v>
      </c>
      <c r="Y303">
        <v>0</v>
      </c>
      <c r="Z303">
        <f t="shared" si="24"/>
        <v>68</v>
      </c>
      <c r="AA303">
        <f t="shared" si="25"/>
        <v>1.1458333333333333</v>
      </c>
      <c r="AB303">
        <f t="shared" si="26"/>
        <v>0</v>
      </c>
      <c r="AC303" t="str">
        <f t="shared" si="27"/>
        <v>Low</v>
      </c>
      <c r="AD303" t="str">
        <f t="shared" si="28"/>
        <v>Upsell premium bundle</v>
      </c>
      <c r="AE303">
        <f t="shared" si="29"/>
        <v>32</v>
      </c>
    </row>
    <row r="304" spans="1:31" x14ac:dyDescent="0.35">
      <c r="A304" t="s">
        <v>362</v>
      </c>
      <c r="B304" s="4">
        <v>45758</v>
      </c>
      <c r="C304" s="4">
        <v>46143</v>
      </c>
      <c r="D304" t="s">
        <v>72</v>
      </c>
      <c r="E304">
        <v>62</v>
      </c>
      <c r="F304" t="s">
        <v>57</v>
      </c>
      <c r="G304" t="s">
        <v>63</v>
      </c>
      <c r="H304" t="s">
        <v>41</v>
      </c>
      <c r="I304" t="s">
        <v>36</v>
      </c>
      <c r="J304">
        <v>12</v>
      </c>
      <c r="K304" s="5">
        <v>848.42</v>
      </c>
      <c r="L304" s="5">
        <v>434.28</v>
      </c>
      <c r="M304">
        <v>26</v>
      </c>
      <c r="N304">
        <v>14</v>
      </c>
      <c r="O304">
        <v>5</v>
      </c>
      <c r="P304">
        <v>4</v>
      </c>
      <c r="Q304">
        <v>10</v>
      </c>
      <c r="R304">
        <v>1</v>
      </c>
      <c r="S304">
        <v>0</v>
      </c>
      <c r="T304">
        <v>0</v>
      </c>
      <c r="U304">
        <v>1</v>
      </c>
      <c r="V304">
        <v>1</v>
      </c>
      <c r="W304" t="s">
        <v>50</v>
      </c>
      <c r="X304">
        <v>37</v>
      </c>
      <c r="Y304">
        <v>0</v>
      </c>
      <c r="Z304">
        <f t="shared" si="24"/>
        <v>74</v>
      </c>
      <c r="AA304">
        <f t="shared" si="25"/>
        <v>0.8571428571428571</v>
      </c>
      <c r="AB304">
        <f t="shared" si="26"/>
        <v>8</v>
      </c>
      <c r="AC304" t="str">
        <f t="shared" si="27"/>
        <v>Low</v>
      </c>
      <c r="AD304" t="str">
        <f t="shared" si="28"/>
        <v>Upsell premium bundle</v>
      </c>
      <c r="AE304">
        <f t="shared" si="29"/>
        <v>26</v>
      </c>
    </row>
    <row r="305" spans="1:31" x14ac:dyDescent="0.35">
      <c r="A305" t="s">
        <v>363</v>
      </c>
      <c r="B305" s="4">
        <v>45200</v>
      </c>
      <c r="C305" s="4">
        <v>46143</v>
      </c>
      <c r="D305" t="s">
        <v>47</v>
      </c>
      <c r="E305">
        <v>69</v>
      </c>
      <c r="F305" t="s">
        <v>61</v>
      </c>
      <c r="G305" t="s">
        <v>67</v>
      </c>
      <c r="H305" t="s">
        <v>44</v>
      </c>
      <c r="I305" t="s">
        <v>36</v>
      </c>
      <c r="J305">
        <v>31</v>
      </c>
      <c r="K305" s="5">
        <v>3217.51</v>
      </c>
      <c r="L305" s="5">
        <v>2404.35</v>
      </c>
      <c r="M305">
        <v>45</v>
      </c>
      <c r="N305">
        <v>20</v>
      </c>
      <c r="O305">
        <v>6</v>
      </c>
      <c r="P305">
        <v>6</v>
      </c>
      <c r="Q305">
        <v>28</v>
      </c>
      <c r="R305">
        <v>2</v>
      </c>
      <c r="S305">
        <v>1</v>
      </c>
      <c r="T305">
        <v>1</v>
      </c>
      <c r="U305">
        <v>0</v>
      </c>
      <c r="V305">
        <v>1</v>
      </c>
      <c r="W305" t="s">
        <v>52</v>
      </c>
      <c r="X305">
        <v>11</v>
      </c>
      <c r="Y305">
        <v>0</v>
      </c>
      <c r="Z305">
        <f t="shared" si="24"/>
        <v>100</v>
      </c>
      <c r="AA305">
        <f t="shared" si="25"/>
        <v>1.1967213114754098</v>
      </c>
      <c r="AB305">
        <f t="shared" si="26"/>
        <v>0</v>
      </c>
      <c r="AC305" t="str">
        <f t="shared" si="27"/>
        <v>Low</v>
      </c>
      <c r="AD305" t="str">
        <f t="shared" si="28"/>
        <v>Upsell premium bundle</v>
      </c>
      <c r="AE305">
        <f t="shared" si="29"/>
        <v>0</v>
      </c>
    </row>
    <row r="306" spans="1:31" x14ac:dyDescent="0.35">
      <c r="A306" t="s">
        <v>364</v>
      </c>
      <c r="B306" s="4">
        <v>45207</v>
      </c>
      <c r="C306" s="4">
        <v>46143</v>
      </c>
      <c r="D306" t="s">
        <v>32</v>
      </c>
      <c r="E306">
        <v>24</v>
      </c>
      <c r="F306" t="s">
        <v>43</v>
      </c>
      <c r="G306" t="s">
        <v>40</v>
      </c>
      <c r="H306" t="s">
        <v>44</v>
      </c>
      <c r="I306" t="s">
        <v>36</v>
      </c>
      <c r="J306">
        <v>31</v>
      </c>
      <c r="K306" s="5">
        <v>0</v>
      </c>
      <c r="L306" s="5">
        <v>0</v>
      </c>
      <c r="M306">
        <v>38</v>
      </c>
      <c r="N306">
        <v>10</v>
      </c>
      <c r="O306">
        <v>11</v>
      </c>
      <c r="P306">
        <v>5</v>
      </c>
      <c r="Q306">
        <v>29</v>
      </c>
      <c r="R306">
        <v>1</v>
      </c>
      <c r="S306">
        <v>1</v>
      </c>
      <c r="T306">
        <v>1</v>
      </c>
      <c r="U306">
        <v>1</v>
      </c>
      <c r="V306">
        <v>1</v>
      </c>
      <c r="W306" t="s">
        <v>50</v>
      </c>
      <c r="X306">
        <v>67</v>
      </c>
      <c r="Y306">
        <v>0</v>
      </c>
      <c r="Z306">
        <f t="shared" si="24"/>
        <v>100</v>
      </c>
      <c r="AA306">
        <f t="shared" si="25"/>
        <v>1.098360655737705</v>
      </c>
      <c r="AB306">
        <f t="shared" si="26"/>
        <v>0</v>
      </c>
      <c r="AC306" t="str">
        <f t="shared" si="27"/>
        <v>Low</v>
      </c>
      <c r="AD306" t="str">
        <f t="shared" si="28"/>
        <v>Upsell premium bundle</v>
      </c>
      <c r="AE306">
        <f t="shared" si="29"/>
        <v>0</v>
      </c>
    </row>
    <row r="307" spans="1:31" x14ac:dyDescent="0.35">
      <c r="A307" t="s">
        <v>365</v>
      </c>
      <c r="B307" s="4">
        <v>45328</v>
      </c>
      <c r="C307" s="4">
        <v>46143</v>
      </c>
      <c r="D307" t="s">
        <v>39</v>
      </c>
      <c r="E307">
        <v>71</v>
      </c>
      <c r="F307" t="s">
        <v>57</v>
      </c>
      <c r="G307" t="s">
        <v>40</v>
      </c>
      <c r="H307" t="s">
        <v>41</v>
      </c>
      <c r="I307" t="s">
        <v>54</v>
      </c>
      <c r="J307">
        <v>27</v>
      </c>
      <c r="K307" s="5">
        <v>160.13999999999999</v>
      </c>
      <c r="L307" s="5">
        <v>618.72</v>
      </c>
      <c r="M307">
        <v>27</v>
      </c>
      <c r="N307">
        <v>17</v>
      </c>
      <c r="O307">
        <v>4</v>
      </c>
      <c r="P307">
        <v>5</v>
      </c>
      <c r="Q307">
        <v>18</v>
      </c>
      <c r="R307">
        <v>2</v>
      </c>
      <c r="S307">
        <v>1</v>
      </c>
      <c r="T307">
        <v>0</v>
      </c>
      <c r="U307">
        <v>0</v>
      </c>
      <c r="V307">
        <v>1</v>
      </c>
      <c r="W307" t="s">
        <v>55</v>
      </c>
      <c r="X307">
        <v>-26</v>
      </c>
      <c r="Y307">
        <v>1</v>
      </c>
      <c r="Z307">
        <f t="shared" si="24"/>
        <v>77</v>
      </c>
      <c r="AA307">
        <f t="shared" si="25"/>
        <v>0.78947368421052633</v>
      </c>
      <c r="AB307">
        <f t="shared" si="26"/>
        <v>61</v>
      </c>
      <c r="AC307" t="str">
        <f t="shared" si="27"/>
        <v>Medium</v>
      </c>
      <c r="AD307" t="str">
        <f t="shared" si="28"/>
        <v>Nudge core feature adoption</v>
      </c>
      <c r="AE307">
        <f t="shared" si="29"/>
        <v>23</v>
      </c>
    </row>
    <row r="308" spans="1:31" x14ac:dyDescent="0.35">
      <c r="A308" t="s">
        <v>366</v>
      </c>
      <c r="B308" s="4">
        <v>44798</v>
      </c>
      <c r="C308" s="4">
        <v>46143</v>
      </c>
      <c r="D308" t="s">
        <v>66</v>
      </c>
      <c r="E308">
        <v>36</v>
      </c>
      <c r="F308" t="s">
        <v>61</v>
      </c>
      <c r="G308" t="s">
        <v>67</v>
      </c>
      <c r="H308" t="s">
        <v>58</v>
      </c>
      <c r="I308" t="s">
        <v>36</v>
      </c>
      <c r="J308">
        <v>44</v>
      </c>
      <c r="K308" s="5">
        <v>3405.41</v>
      </c>
      <c r="L308" s="5">
        <v>6130.28</v>
      </c>
      <c r="M308">
        <v>34</v>
      </c>
      <c r="N308">
        <v>8</v>
      </c>
      <c r="O308">
        <v>2</v>
      </c>
      <c r="P308">
        <v>2</v>
      </c>
      <c r="Q308">
        <v>29</v>
      </c>
      <c r="R308">
        <v>0</v>
      </c>
      <c r="S308">
        <v>1</v>
      </c>
      <c r="T308">
        <v>1</v>
      </c>
      <c r="U308">
        <v>0</v>
      </c>
      <c r="V308">
        <v>0</v>
      </c>
      <c r="W308" t="s">
        <v>37</v>
      </c>
      <c r="X308">
        <v>78</v>
      </c>
      <c r="Y308">
        <v>0</v>
      </c>
      <c r="Z308">
        <f t="shared" si="24"/>
        <v>74</v>
      </c>
      <c r="AA308">
        <f t="shared" si="25"/>
        <v>0.85135135135135132</v>
      </c>
      <c r="AB308">
        <f t="shared" si="26"/>
        <v>0</v>
      </c>
      <c r="AC308" t="str">
        <f t="shared" si="27"/>
        <v>Low</v>
      </c>
      <c r="AD308" t="str">
        <f t="shared" si="28"/>
        <v>Upsell premium bundle</v>
      </c>
      <c r="AE308">
        <f t="shared" si="29"/>
        <v>26</v>
      </c>
    </row>
    <row r="309" spans="1:31" x14ac:dyDescent="0.35">
      <c r="A309" t="s">
        <v>367</v>
      </c>
      <c r="B309" s="4">
        <v>46008</v>
      </c>
      <c r="C309" s="4">
        <v>46143</v>
      </c>
      <c r="D309" t="s">
        <v>32</v>
      </c>
      <c r="E309">
        <v>19</v>
      </c>
      <c r="F309" t="s">
        <v>33</v>
      </c>
      <c r="G309" t="s">
        <v>48</v>
      </c>
      <c r="H309" t="s">
        <v>41</v>
      </c>
      <c r="I309" t="s">
        <v>36</v>
      </c>
      <c r="J309">
        <v>4</v>
      </c>
      <c r="K309" s="5">
        <v>219.99</v>
      </c>
      <c r="L309" s="5">
        <v>15.95</v>
      </c>
      <c r="M309">
        <v>29</v>
      </c>
      <c r="N309">
        <v>15</v>
      </c>
      <c r="O309">
        <v>3</v>
      </c>
      <c r="P309">
        <v>2</v>
      </c>
      <c r="Q309">
        <v>21</v>
      </c>
      <c r="R309">
        <v>1</v>
      </c>
      <c r="S309">
        <v>1</v>
      </c>
      <c r="T309">
        <v>1</v>
      </c>
      <c r="U309">
        <v>1</v>
      </c>
      <c r="V309">
        <v>1</v>
      </c>
      <c r="W309" t="s">
        <v>55</v>
      </c>
      <c r="X309">
        <v>-18</v>
      </c>
      <c r="Y309">
        <v>0</v>
      </c>
      <c r="Z309">
        <f t="shared" si="24"/>
        <v>83</v>
      </c>
      <c r="AA309">
        <f t="shared" si="25"/>
        <v>1.4705882352941178</v>
      </c>
      <c r="AB309">
        <f t="shared" si="26"/>
        <v>40</v>
      </c>
      <c r="AC309" t="str">
        <f t="shared" si="27"/>
        <v>Medium</v>
      </c>
      <c r="AD309" t="str">
        <f t="shared" si="28"/>
        <v>Nudge core feature adoption</v>
      </c>
      <c r="AE309">
        <f t="shared" si="29"/>
        <v>17</v>
      </c>
    </row>
    <row r="310" spans="1:31" x14ac:dyDescent="0.35">
      <c r="A310" t="s">
        <v>368</v>
      </c>
      <c r="B310" s="4">
        <v>45868</v>
      </c>
      <c r="C310" s="4">
        <v>46143</v>
      </c>
      <c r="D310" t="s">
        <v>72</v>
      </c>
      <c r="E310">
        <v>60</v>
      </c>
      <c r="F310" t="s">
        <v>33</v>
      </c>
      <c r="G310" t="s">
        <v>48</v>
      </c>
      <c r="H310" t="s">
        <v>41</v>
      </c>
      <c r="I310" t="s">
        <v>49</v>
      </c>
      <c r="J310">
        <v>9</v>
      </c>
      <c r="K310" s="5">
        <v>479.06</v>
      </c>
      <c r="L310" s="5">
        <v>347.79</v>
      </c>
      <c r="M310">
        <v>0</v>
      </c>
      <c r="N310">
        <v>0</v>
      </c>
      <c r="O310">
        <v>0</v>
      </c>
      <c r="P310">
        <v>0</v>
      </c>
      <c r="Q310">
        <v>5</v>
      </c>
      <c r="R310">
        <v>0</v>
      </c>
      <c r="S310">
        <v>1</v>
      </c>
      <c r="T310">
        <v>0</v>
      </c>
      <c r="U310">
        <v>0</v>
      </c>
      <c r="V310">
        <v>1</v>
      </c>
      <c r="W310" t="s">
        <v>50</v>
      </c>
      <c r="X310">
        <v>28</v>
      </c>
      <c r="Y310">
        <v>1</v>
      </c>
      <c r="Z310">
        <f t="shared" si="24"/>
        <v>12</v>
      </c>
      <c r="AA310">
        <f t="shared" si="25"/>
        <v>0.12820512820512819</v>
      </c>
      <c r="AB310">
        <f t="shared" si="26"/>
        <v>63</v>
      </c>
      <c r="AC310" t="str">
        <f t="shared" si="27"/>
        <v>Medium</v>
      </c>
      <c r="AD310" t="str">
        <f t="shared" si="28"/>
        <v>Nudge core feature adoption</v>
      </c>
      <c r="AE310">
        <f t="shared" si="29"/>
        <v>88</v>
      </c>
    </row>
    <row r="311" spans="1:31" x14ac:dyDescent="0.35">
      <c r="A311" t="s">
        <v>369</v>
      </c>
      <c r="B311" s="4">
        <v>44747</v>
      </c>
      <c r="C311" s="4">
        <v>46143</v>
      </c>
      <c r="D311" t="s">
        <v>60</v>
      </c>
      <c r="E311">
        <v>41</v>
      </c>
      <c r="F311" t="s">
        <v>43</v>
      </c>
      <c r="G311" t="s">
        <v>48</v>
      </c>
      <c r="H311" t="s">
        <v>44</v>
      </c>
      <c r="I311" t="s">
        <v>36</v>
      </c>
      <c r="J311">
        <v>46</v>
      </c>
      <c r="K311" s="5">
        <v>89</v>
      </c>
      <c r="L311" s="5">
        <v>0</v>
      </c>
      <c r="M311">
        <v>50</v>
      </c>
      <c r="N311">
        <v>14</v>
      </c>
      <c r="O311">
        <v>14</v>
      </c>
      <c r="P311">
        <v>7</v>
      </c>
      <c r="Q311">
        <v>26</v>
      </c>
      <c r="R311">
        <v>0</v>
      </c>
      <c r="S311">
        <v>1</v>
      </c>
      <c r="T311">
        <v>1</v>
      </c>
      <c r="U311">
        <v>1</v>
      </c>
      <c r="V311">
        <v>1</v>
      </c>
      <c r="W311" t="s">
        <v>50</v>
      </c>
      <c r="X311">
        <v>55</v>
      </c>
      <c r="Y311">
        <v>0</v>
      </c>
      <c r="Z311">
        <f t="shared" si="24"/>
        <v>100</v>
      </c>
      <c r="AA311">
        <f t="shared" si="25"/>
        <v>1</v>
      </c>
      <c r="AB311">
        <f t="shared" si="26"/>
        <v>0</v>
      </c>
      <c r="AC311" t="str">
        <f t="shared" si="27"/>
        <v>Low</v>
      </c>
      <c r="AD311" t="str">
        <f t="shared" si="28"/>
        <v>Upsell premium bundle</v>
      </c>
      <c r="AE311">
        <f t="shared" si="29"/>
        <v>0</v>
      </c>
    </row>
    <row r="312" spans="1:31" x14ac:dyDescent="0.35">
      <c r="A312" t="s">
        <v>370</v>
      </c>
      <c r="B312" s="4">
        <v>46085</v>
      </c>
      <c r="C312" s="4">
        <v>46143</v>
      </c>
      <c r="D312" t="s">
        <v>66</v>
      </c>
      <c r="E312">
        <v>37</v>
      </c>
      <c r="F312" t="s">
        <v>33</v>
      </c>
      <c r="G312" t="s">
        <v>40</v>
      </c>
      <c r="H312" t="s">
        <v>44</v>
      </c>
      <c r="I312" t="s">
        <v>36</v>
      </c>
      <c r="J312">
        <v>1</v>
      </c>
      <c r="K312" s="5">
        <v>62.81</v>
      </c>
      <c r="L312" s="5">
        <v>386.32</v>
      </c>
      <c r="M312">
        <v>50</v>
      </c>
      <c r="N312">
        <v>24</v>
      </c>
      <c r="O312">
        <v>5</v>
      </c>
      <c r="P312">
        <v>8</v>
      </c>
      <c r="Q312">
        <v>26</v>
      </c>
      <c r="R312">
        <v>0</v>
      </c>
      <c r="S312">
        <v>1</v>
      </c>
      <c r="T312">
        <v>1</v>
      </c>
      <c r="U312">
        <v>1</v>
      </c>
      <c r="V312">
        <v>0</v>
      </c>
      <c r="W312" t="s">
        <v>37</v>
      </c>
      <c r="X312">
        <v>10</v>
      </c>
      <c r="Y312">
        <v>0</v>
      </c>
      <c r="Z312">
        <f t="shared" si="24"/>
        <v>100</v>
      </c>
      <c r="AA312">
        <f t="shared" si="25"/>
        <v>2.4516129032258065</v>
      </c>
      <c r="AB312">
        <f t="shared" si="26"/>
        <v>11</v>
      </c>
      <c r="AC312" t="str">
        <f t="shared" si="27"/>
        <v>Low</v>
      </c>
      <c r="AD312" t="str">
        <f t="shared" si="28"/>
        <v>Upsell premium bundle</v>
      </c>
      <c r="AE312">
        <f t="shared" si="29"/>
        <v>0</v>
      </c>
    </row>
    <row r="313" spans="1:31" x14ac:dyDescent="0.35">
      <c r="A313" t="s">
        <v>371</v>
      </c>
      <c r="B313" s="4">
        <v>45791</v>
      </c>
      <c r="C313" s="4">
        <v>46143</v>
      </c>
      <c r="D313" t="s">
        <v>39</v>
      </c>
      <c r="E313">
        <v>21</v>
      </c>
      <c r="F313" t="s">
        <v>57</v>
      </c>
      <c r="G313" t="s">
        <v>63</v>
      </c>
      <c r="H313" t="s">
        <v>41</v>
      </c>
      <c r="I313" t="s">
        <v>49</v>
      </c>
      <c r="J313">
        <v>11</v>
      </c>
      <c r="K313" s="5">
        <v>310.17</v>
      </c>
      <c r="L313" s="5">
        <v>875.48</v>
      </c>
      <c r="M313">
        <v>18</v>
      </c>
      <c r="N313">
        <v>11</v>
      </c>
      <c r="O313">
        <v>1</v>
      </c>
      <c r="P313">
        <v>1</v>
      </c>
      <c r="Q313">
        <v>24</v>
      </c>
      <c r="R313">
        <v>0</v>
      </c>
      <c r="S313">
        <v>0</v>
      </c>
      <c r="T313">
        <v>1</v>
      </c>
      <c r="U313">
        <v>0</v>
      </c>
      <c r="V313">
        <v>0</v>
      </c>
      <c r="W313" t="s">
        <v>50</v>
      </c>
      <c r="X313">
        <v>41</v>
      </c>
      <c r="Y313">
        <v>0</v>
      </c>
      <c r="Z313">
        <f t="shared" si="24"/>
        <v>52</v>
      </c>
      <c r="AA313">
        <f t="shared" si="25"/>
        <v>1.024390243902439</v>
      </c>
      <c r="AB313">
        <f t="shared" si="26"/>
        <v>33</v>
      </c>
      <c r="AC313" t="str">
        <f t="shared" si="27"/>
        <v>Low</v>
      </c>
      <c r="AD313" t="str">
        <f t="shared" si="28"/>
        <v>Upsell premium bundle</v>
      </c>
      <c r="AE313">
        <f t="shared" si="29"/>
        <v>48</v>
      </c>
    </row>
    <row r="314" spans="1:31" x14ac:dyDescent="0.35">
      <c r="A314" t="s">
        <v>372</v>
      </c>
      <c r="B314" s="4">
        <v>45406</v>
      </c>
      <c r="C314" s="4">
        <v>46143</v>
      </c>
      <c r="D314" t="s">
        <v>66</v>
      </c>
      <c r="E314">
        <v>28</v>
      </c>
      <c r="F314" t="s">
        <v>57</v>
      </c>
      <c r="G314" t="s">
        <v>34</v>
      </c>
      <c r="H314" t="s">
        <v>41</v>
      </c>
      <c r="I314" t="s">
        <v>36</v>
      </c>
      <c r="J314">
        <v>24</v>
      </c>
      <c r="K314" s="5">
        <v>0</v>
      </c>
      <c r="L314" s="5">
        <v>764.89</v>
      </c>
      <c r="M314">
        <v>23</v>
      </c>
      <c r="N314">
        <v>9</v>
      </c>
      <c r="O314">
        <v>5</v>
      </c>
      <c r="P314">
        <v>2</v>
      </c>
      <c r="Q314">
        <v>13</v>
      </c>
      <c r="R314">
        <v>1</v>
      </c>
      <c r="S314">
        <v>0</v>
      </c>
      <c r="T314">
        <v>0</v>
      </c>
      <c r="U314">
        <v>1</v>
      </c>
      <c r="V314">
        <v>1</v>
      </c>
      <c r="W314" t="s">
        <v>45</v>
      </c>
      <c r="X314">
        <v>29</v>
      </c>
      <c r="Y314">
        <v>0</v>
      </c>
      <c r="Z314">
        <f t="shared" si="24"/>
        <v>67</v>
      </c>
      <c r="AA314">
        <f t="shared" si="25"/>
        <v>0.66666666666666663</v>
      </c>
      <c r="AB314">
        <f t="shared" si="26"/>
        <v>15</v>
      </c>
      <c r="AC314" t="str">
        <f t="shared" si="27"/>
        <v>Low</v>
      </c>
      <c r="AD314" t="str">
        <f t="shared" si="28"/>
        <v>Upsell premium bundle</v>
      </c>
      <c r="AE314">
        <f t="shared" si="29"/>
        <v>33</v>
      </c>
    </row>
    <row r="315" spans="1:31" x14ac:dyDescent="0.35">
      <c r="A315" t="s">
        <v>373</v>
      </c>
      <c r="B315" s="4">
        <v>45305</v>
      </c>
      <c r="C315" s="4">
        <v>46143</v>
      </c>
      <c r="D315" t="s">
        <v>47</v>
      </c>
      <c r="E315">
        <v>60</v>
      </c>
      <c r="F315" t="s">
        <v>33</v>
      </c>
      <c r="G315" t="s">
        <v>63</v>
      </c>
      <c r="H315" t="s">
        <v>41</v>
      </c>
      <c r="I315" t="s">
        <v>49</v>
      </c>
      <c r="J315">
        <v>27</v>
      </c>
      <c r="K315" s="5">
        <v>0</v>
      </c>
      <c r="L315" s="5">
        <v>250.68</v>
      </c>
      <c r="M315">
        <v>43</v>
      </c>
      <c r="N315">
        <v>12</v>
      </c>
      <c r="O315">
        <v>9</v>
      </c>
      <c r="P315">
        <v>9</v>
      </c>
      <c r="Q315">
        <v>38</v>
      </c>
      <c r="R315">
        <v>1</v>
      </c>
      <c r="S315">
        <v>0</v>
      </c>
      <c r="T315">
        <v>1</v>
      </c>
      <c r="U315">
        <v>0</v>
      </c>
      <c r="V315">
        <v>1</v>
      </c>
      <c r="W315" t="s">
        <v>37</v>
      </c>
      <c r="X315">
        <v>71</v>
      </c>
      <c r="Y315">
        <v>0</v>
      </c>
      <c r="Z315">
        <f t="shared" si="24"/>
        <v>100</v>
      </c>
      <c r="AA315">
        <f t="shared" si="25"/>
        <v>1.4210526315789473</v>
      </c>
      <c r="AB315">
        <f t="shared" si="26"/>
        <v>0</v>
      </c>
      <c r="AC315" t="str">
        <f t="shared" si="27"/>
        <v>Low</v>
      </c>
      <c r="AD315" t="str">
        <f t="shared" si="28"/>
        <v>Upsell premium bundle</v>
      </c>
      <c r="AE315">
        <f t="shared" si="29"/>
        <v>0</v>
      </c>
    </row>
    <row r="316" spans="1:31" x14ac:dyDescent="0.35">
      <c r="A316" t="s">
        <v>374</v>
      </c>
      <c r="B316" s="4">
        <v>45777</v>
      </c>
      <c r="C316" s="4">
        <v>46143</v>
      </c>
      <c r="D316" t="s">
        <v>32</v>
      </c>
      <c r="E316">
        <v>19</v>
      </c>
      <c r="F316" t="s">
        <v>57</v>
      </c>
      <c r="G316" t="s">
        <v>40</v>
      </c>
      <c r="H316" t="s">
        <v>58</v>
      </c>
      <c r="I316" t="s">
        <v>36</v>
      </c>
      <c r="J316">
        <v>12</v>
      </c>
      <c r="K316" s="5">
        <v>1917.5</v>
      </c>
      <c r="L316" s="5">
        <v>369.19</v>
      </c>
      <c r="M316">
        <v>25</v>
      </c>
      <c r="N316">
        <v>13</v>
      </c>
      <c r="O316">
        <v>6</v>
      </c>
      <c r="P316">
        <v>4</v>
      </c>
      <c r="Q316">
        <v>18</v>
      </c>
      <c r="R316">
        <v>0</v>
      </c>
      <c r="S316">
        <v>0</v>
      </c>
      <c r="T316">
        <v>0</v>
      </c>
      <c r="U316">
        <v>1</v>
      </c>
      <c r="V316">
        <v>0</v>
      </c>
      <c r="W316" t="s">
        <v>50</v>
      </c>
      <c r="X316">
        <v>15</v>
      </c>
      <c r="Y316">
        <v>0</v>
      </c>
      <c r="Z316">
        <f t="shared" si="24"/>
        <v>74</v>
      </c>
      <c r="AA316">
        <f t="shared" si="25"/>
        <v>1.0238095238095237</v>
      </c>
      <c r="AB316">
        <f t="shared" si="26"/>
        <v>11</v>
      </c>
      <c r="AC316" t="str">
        <f t="shared" si="27"/>
        <v>Low</v>
      </c>
      <c r="AD316" t="str">
        <f t="shared" si="28"/>
        <v>Upsell premium bundle</v>
      </c>
      <c r="AE316">
        <f t="shared" si="29"/>
        <v>26</v>
      </c>
    </row>
    <row r="317" spans="1:31" x14ac:dyDescent="0.35">
      <c r="A317" t="s">
        <v>375</v>
      </c>
      <c r="B317" s="4">
        <v>45657</v>
      </c>
      <c r="C317" s="4">
        <v>46143</v>
      </c>
      <c r="D317" t="s">
        <v>66</v>
      </c>
      <c r="E317">
        <v>33</v>
      </c>
      <c r="F317" t="s">
        <v>57</v>
      </c>
      <c r="G317" t="s">
        <v>40</v>
      </c>
      <c r="H317" t="s">
        <v>58</v>
      </c>
      <c r="I317" t="s">
        <v>36</v>
      </c>
      <c r="J317">
        <v>16</v>
      </c>
      <c r="K317" s="5">
        <v>338.57</v>
      </c>
      <c r="L317" s="5">
        <v>315.08</v>
      </c>
      <c r="M317">
        <v>18</v>
      </c>
      <c r="N317">
        <v>9</v>
      </c>
      <c r="O317">
        <v>4</v>
      </c>
      <c r="P317">
        <v>1</v>
      </c>
      <c r="Q317">
        <v>21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45</v>
      </c>
      <c r="X317">
        <v>88</v>
      </c>
      <c r="Y317">
        <v>0</v>
      </c>
      <c r="Z317">
        <f t="shared" si="24"/>
        <v>51</v>
      </c>
      <c r="AA317">
        <f t="shared" si="25"/>
        <v>0.84782608695652173</v>
      </c>
      <c r="AB317">
        <f t="shared" si="26"/>
        <v>0</v>
      </c>
      <c r="AC317" t="str">
        <f t="shared" si="27"/>
        <v>Low</v>
      </c>
      <c r="AD317" t="str">
        <f t="shared" si="28"/>
        <v>Upsell premium bundle</v>
      </c>
      <c r="AE317">
        <f t="shared" si="29"/>
        <v>49</v>
      </c>
    </row>
    <row r="318" spans="1:31" x14ac:dyDescent="0.35">
      <c r="A318" t="s">
        <v>376</v>
      </c>
      <c r="B318" s="4">
        <v>44858</v>
      </c>
      <c r="C318" s="4">
        <v>46143</v>
      </c>
      <c r="D318" t="s">
        <v>32</v>
      </c>
      <c r="E318">
        <v>34</v>
      </c>
      <c r="F318" t="s">
        <v>43</v>
      </c>
      <c r="G318" t="s">
        <v>34</v>
      </c>
      <c r="H318" t="s">
        <v>41</v>
      </c>
      <c r="I318" t="s">
        <v>36</v>
      </c>
      <c r="J318">
        <v>42</v>
      </c>
      <c r="K318" s="5">
        <v>32.14</v>
      </c>
      <c r="L318" s="5">
        <v>57.67</v>
      </c>
      <c r="M318">
        <v>34</v>
      </c>
      <c r="N318">
        <v>19</v>
      </c>
      <c r="O318">
        <v>2</v>
      </c>
      <c r="P318">
        <v>5</v>
      </c>
      <c r="Q318">
        <v>28</v>
      </c>
      <c r="R318">
        <v>0</v>
      </c>
      <c r="S318">
        <v>0</v>
      </c>
      <c r="T318">
        <v>1</v>
      </c>
      <c r="U318">
        <v>0</v>
      </c>
      <c r="V318">
        <v>0</v>
      </c>
      <c r="W318" t="s">
        <v>52</v>
      </c>
      <c r="X318">
        <v>-9</v>
      </c>
      <c r="Y318">
        <v>0</v>
      </c>
      <c r="Z318">
        <f t="shared" si="24"/>
        <v>85</v>
      </c>
      <c r="AA318">
        <f t="shared" si="25"/>
        <v>0.86111111111111116</v>
      </c>
      <c r="AB318">
        <f t="shared" si="26"/>
        <v>29</v>
      </c>
      <c r="AC318" t="str">
        <f t="shared" si="27"/>
        <v>Low</v>
      </c>
      <c r="AD318" t="str">
        <f t="shared" si="28"/>
        <v>Upsell premium bundle</v>
      </c>
      <c r="AE318">
        <f t="shared" si="29"/>
        <v>15</v>
      </c>
    </row>
    <row r="319" spans="1:31" x14ac:dyDescent="0.35">
      <c r="A319" t="s">
        <v>377</v>
      </c>
      <c r="B319" s="4">
        <v>45093</v>
      </c>
      <c r="C319" s="4">
        <v>46143</v>
      </c>
      <c r="D319" t="s">
        <v>39</v>
      </c>
      <c r="E319">
        <v>26</v>
      </c>
      <c r="F319" t="s">
        <v>43</v>
      </c>
      <c r="G319" t="s">
        <v>34</v>
      </c>
      <c r="H319" t="s">
        <v>44</v>
      </c>
      <c r="I319" t="s">
        <v>36</v>
      </c>
      <c r="J319">
        <v>35</v>
      </c>
      <c r="K319" s="5">
        <v>150.38</v>
      </c>
      <c r="L319" s="5">
        <v>60.91</v>
      </c>
      <c r="M319">
        <v>35</v>
      </c>
      <c r="N319">
        <v>24</v>
      </c>
      <c r="O319">
        <v>5</v>
      </c>
      <c r="P319">
        <v>5</v>
      </c>
      <c r="Q319">
        <v>24</v>
      </c>
      <c r="R319">
        <v>3</v>
      </c>
      <c r="S319">
        <v>0</v>
      </c>
      <c r="T319">
        <v>0</v>
      </c>
      <c r="U319">
        <v>1</v>
      </c>
      <c r="V319">
        <v>1</v>
      </c>
      <c r="W319" t="s">
        <v>45</v>
      </c>
      <c r="X319">
        <v>-23</v>
      </c>
      <c r="Y319">
        <v>0</v>
      </c>
      <c r="Z319">
        <f t="shared" si="24"/>
        <v>100</v>
      </c>
      <c r="AA319">
        <f t="shared" si="25"/>
        <v>0.90769230769230769</v>
      </c>
      <c r="AB319">
        <f t="shared" si="26"/>
        <v>15</v>
      </c>
      <c r="AC319" t="str">
        <f t="shared" si="27"/>
        <v>Low</v>
      </c>
      <c r="AD319" t="str">
        <f t="shared" si="28"/>
        <v>Upsell premium bundle</v>
      </c>
      <c r="AE319">
        <f t="shared" si="29"/>
        <v>0</v>
      </c>
    </row>
    <row r="320" spans="1:31" x14ac:dyDescent="0.35">
      <c r="A320" t="s">
        <v>378</v>
      </c>
      <c r="B320" s="4">
        <v>44736</v>
      </c>
      <c r="C320" s="4">
        <v>46143</v>
      </c>
      <c r="D320" t="s">
        <v>60</v>
      </c>
      <c r="E320">
        <v>27</v>
      </c>
      <c r="F320" t="s">
        <v>43</v>
      </c>
      <c r="G320" t="s">
        <v>63</v>
      </c>
      <c r="H320" t="s">
        <v>41</v>
      </c>
      <c r="I320" t="s">
        <v>36</v>
      </c>
      <c r="J320">
        <v>46</v>
      </c>
      <c r="K320" s="5">
        <v>83.19</v>
      </c>
      <c r="L320" s="5">
        <v>55.93</v>
      </c>
      <c r="M320">
        <v>23</v>
      </c>
      <c r="N320">
        <v>10</v>
      </c>
      <c r="O320">
        <v>6</v>
      </c>
      <c r="P320">
        <v>4</v>
      </c>
      <c r="Q320">
        <v>16</v>
      </c>
      <c r="R320">
        <v>1</v>
      </c>
      <c r="S320">
        <v>2</v>
      </c>
      <c r="T320">
        <v>1</v>
      </c>
      <c r="U320">
        <v>0</v>
      </c>
      <c r="V320">
        <v>0</v>
      </c>
      <c r="W320" t="s">
        <v>37</v>
      </c>
      <c r="X320">
        <v>10</v>
      </c>
      <c r="Y320">
        <v>0</v>
      </c>
      <c r="Z320">
        <f t="shared" si="24"/>
        <v>60</v>
      </c>
      <c r="AA320">
        <f t="shared" si="25"/>
        <v>0.51315789473684215</v>
      </c>
      <c r="AB320">
        <f t="shared" si="26"/>
        <v>44</v>
      </c>
      <c r="AC320" t="str">
        <f t="shared" si="27"/>
        <v>Medium</v>
      </c>
      <c r="AD320" t="str">
        <f t="shared" si="28"/>
        <v>Nudge core feature adoption</v>
      </c>
      <c r="AE320">
        <f t="shared" si="29"/>
        <v>40</v>
      </c>
    </row>
    <row r="321" spans="1:31" x14ac:dyDescent="0.35">
      <c r="A321" t="s">
        <v>379</v>
      </c>
      <c r="B321" s="4">
        <v>45238</v>
      </c>
      <c r="C321" s="4">
        <v>46143</v>
      </c>
      <c r="D321" t="s">
        <v>72</v>
      </c>
      <c r="E321">
        <v>60</v>
      </c>
      <c r="F321" t="s">
        <v>43</v>
      </c>
      <c r="G321" t="s">
        <v>34</v>
      </c>
      <c r="H321" t="s">
        <v>41</v>
      </c>
      <c r="I321" t="s">
        <v>36</v>
      </c>
      <c r="J321">
        <v>30</v>
      </c>
      <c r="K321" s="5">
        <v>14.72</v>
      </c>
      <c r="L321" s="5">
        <v>0</v>
      </c>
      <c r="M321">
        <v>30</v>
      </c>
      <c r="N321">
        <v>17</v>
      </c>
      <c r="O321">
        <v>4</v>
      </c>
      <c r="P321">
        <v>1</v>
      </c>
      <c r="Q321">
        <v>25</v>
      </c>
      <c r="R321">
        <v>0</v>
      </c>
      <c r="S321">
        <v>0</v>
      </c>
      <c r="T321">
        <v>0</v>
      </c>
      <c r="U321">
        <v>1</v>
      </c>
      <c r="V321">
        <v>0</v>
      </c>
      <c r="W321" t="s">
        <v>37</v>
      </c>
      <c r="X321">
        <v>85</v>
      </c>
      <c r="Y321">
        <v>0</v>
      </c>
      <c r="Z321">
        <f t="shared" si="24"/>
        <v>82</v>
      </c>
      <c r="AA321">
        <f t="shared" si="25"/>
        <v>0.91666666666666663</v>
      </c>
      <c r="AB321">
        <f t="shared" si="26"/>
        <v>0</v>
      </c>
      <c r="AC321" t="str">
        <f t="shared" si="27"/>
        <v>Low</v>
      </c>
      <c r="AD321" t="str">
        <f t="shared" si="28"/>
        <v>Upsell premium bundle</v>
      </c>
      <c r="AE321">
        <f t="shared" si="29"/>
        <v>18</v>
      </c>
    </row>
    <row r="322" spans="1:31" x14ac:dyDescent="0.35">
      <c r="A322" t="s">
        <v>380</v>
      </c>
      <c r="B322" s="4">
        <v>45117</v>
      </c>
      <c r="C322" s="4">
        <v>46143</v>
      </c>
      <c r="D322" t="s">
        <v>66</v>
      </c>
      <c r="E322">
        <v>32</v>
      </c>
      <c r="F322" t="s">
        <v>43</v>
      </c>
      <c r="G322" t="s">
        <v>48</v>
      </c>
      <c r="H322" t="s">
        <v>41</v>
      </c>
      <c r="I322" t="s">
        <v>36</v>
      </c>
      <c r="J322">
        <v>34</v>
      </c>
      <c r="K322" s="5">
        <v>67.42</v>
      </c>
      <c r="L322" s="5">
        <v>106.17</v>
      </c>
      <c r="M322">
        <v>16</v>
      </c>
      <c r="N322">
        <v>9</v>
      </c>
      <c r="O322">
        <v>4</v>
      </c>
      <c r="P322">
        <v>3</v>
      </c>
      <c r="Q322">
        <v>18</v>
      </c>
      <c r="R322">
        <v>0</v>
      </c>
      <c r="S322">
        <v>0</v>
      </c>
      <c r="T322">
        <v>0</v>
      </c>
      <c r="U322">
        <v>0</v>
      </c>
      <c r="V322">
        <v>1</v>
      </c>
      <c r="W322" t="s">
        <v>37</v>
      </c>
      <c r="X322">
        <v>91</v>
      </c>
      <c r="Y322">
        <v>0</v>
      </c>
      <c r="Z322">
        <f t="shared" ref="Z322:Z385" si="30">MIN(100,ROUND((M322*1.1+N322*0.7+O322*1.2+P322*1.4+Q322*0.9+U322*8+V322*7),0))</f>
        <v>56</v>
      </c>
      <c r="AA322">
        <f t="shared" ref="AA322:AA385" si="31">IFERROR((M322+Q322)/(30+J322),0)</f>
        <v>0.53125</v>
      </c>
      <c r="AB322">
        <f t="shared" ref="AB322:AB385" si="32">ROUND(MIN(100,MAX(0,60-Z322*0.4-R322*1.5+S322*8-IF(L322&gt;1500,10,0)-X322*0.5+IF(I322="Completed",-8,8)+IF(H322="Free",6,-4))),0)</f>
        <v>0</v>
      </c>
      <c r="AC322" t="str">
        <f t="shared" ref="AC322:AC385" si="33">IF(AB322&gt;=70,"High",IF(AB322&gt;=40,"Medium","Low"))</f>
        <v>Low</v>
      </c>
      <c r="AD322" t="str">
        <f t="shared" ref="AD322:AD385" si="34">IF(AC322="High",IF(Q322&lt;5,"Re-engage with app usage offer",IF(K322&lt;100,"Deposit incentive","Retention call")),IF(AC322="Medium","Nudge core feature adoption","Upsell premium bundle"))</f>
        <v>Upsell premium bundle</v>
      </c>
      <c r="AE322">
        <f t="shared" ref="AE322:AE385" si="35">100-Z322</f>
        <v>44</v>
      </c>
    </row>
    <row r="323" spans="1:31" x14ac:dyDescent="0.35">
      <c r="A323" t="s">
        <v>381</v>
      </c>
      <c r="B323" s="4">
        <v>45363</v>
      </c>
      <c r="C323" s="4">
        <v>46143</v>
      </c>
      <c r="D323" t="s">
        <v>32</v>
      </c>
      <c r="E323">
        <v>42</v>
      </c>
      <c r="F323" t="s">
        <v>33</v>
      </c>
      <c r="G323" t="s">
        <v>67</v>
      </c>
      <c r="H323" t="s">
        <v>58</v>
      </c>
      <c r="I323" t="s">
        <v>49</v>
      </c>
      <c r="J323">
        <v>26</v>
      </c>
      <c r="K323" s="5">
        <v>499.36</v>
      </c>
      <c r="L323" s="5">
        <v>304.58999999999997</v>
      </c>
      <c r="M323">
        <v>33</v>
      </c>
      <c r="N323">
        <v>9</v>
      </c>
      <c r="O323">
        <v>4</v>
      </c>
      <c r="P323">
        <v>4</v>
      </c>
      <c r="Q323">
        <v>21</v>
      </c>
      <c r="R323">
        <v>0</v>
      </c>
      <c r="S323">
        <v>0</v>
      </c>
      <c r="T323">
        <v>1</v>
      </c>
      <c r="U323">
        <v>0</v>
      </c>
      <c r="V323">
        <v>1</v>
      </c>
      <c r="W323" t="s">
        <v>45</v>
      </c>
      <c r="X323">
        <v>-22</v>
      </c>
      <c r="Y323">
        <v>0</v>
      </c>
      <c r="Z323">
        <f t="shared" si="30"/>
        <v>79</v>
      </c>
      <c r="AA323">
        <f t="shared" si="31"/>
        <v>0.9642857142857143</v>
      </c>
      <c r="AB323">
        <f t="shared" si="32"/>
        <v>43</v>
      </c>
      <c r="AC323" t="str">
        <f t="shared" si="33"/>
        <v>Medium</v>
      </c>
      <c r="AD323" t="str">
        <f t="shared" si="34"/>
        <v>Nudge core feature adoption</v>
      </c>
      <c r="AE323">
        <f t="shared" si="35"/>
        <v>21</v>
      </c>
    </row>
    <row r="324" spans="1:31" x14ac:dyDescent="0.35">
      <c r="A324" t="s">
        <v>382</v>
      </c>
      <c r="B324" s="4">
        <v>44937</v>
      </c>
      <c r="C324" s="4">
        <v>46143</v>
      </c>
      <c r="D324" t="s">
        <v>47</v>
      </c>
      <c r="E324">
        <v>40</v>
      </c>
      <c r="F324" t="s">
        <v>57</v>
      </c>
      <c r="G324" t="s">
        <v>63</v>
      </c>
      <c r="H324" t="s">
        <v>58</v>
      </c>
      <c r="I324" t="s">
        <v>36</v>
      </c>
      <c r="J324">
        <v>40</v>
      </c>
      <c r="K324" s="5">
        <v>2507.11</v>
      </c>
      <c r="L324" s="5">
        <v>739.6</v>
      </c>
      <c r="M324">
        <v>36</v>
      </c>
      <c r="N324">
        <v>20</v>
      </c>
      <c r="O324">
        <v>5</v>
      </c>
      <c r="P324">
        <v>1</v>
      </c>
      <c r="Q324">
        <v>33</v>
      </c>
      <c r="R324">
        <v>0</v>
      </c>
      <c r="S324">
        <v>1</v>
      </c>
      <c r="T324">
        <v>0</v>
      </c>
      <c r="U324">
        <v>0</v>
      </c>
      <c r="V324">
        <v>1</v>
      </c>
      <c r="W324" t="s">
        <v>50</v>
      </c>
      <c r="X324">
        <v>5</v>
      </c>
      <c r="Y324">
        <v>0</v>
      </c>
      <c r="Z324">
        <f t="shared" si="30"/>
        <v>98</v>
      </c>
      <c r="AA324">
        <f t="shared" si="31"/>
        <v>0.98571428571428577</v>
      </c>
      <c r="AB324">
        <f t="shared" si="32"/>
        <v>14</v>
      </c>
      <c r="AC324" t="str">
        <f t="shared" si="33"/>
        <v>Low</v>
      </c>
      <c r="AD324" t="str">
        <f t="shared" si="34"/>
        <v>Upsell premium bundle</v>
      </c>
      <c r="AE324">
        <f t="shared" si="35"/>
        <v>2</v>
      </c>
    </row>
    <row r="325" spans="1:31" x14ac:dyDescent="0.35">
      <c r="A325" t="s">
        <v>383</v>
      </c>
      <c r="B325" s="4">
        <v>45702</v>
      </c>
      <c r="C325" s="4">
        <v>46143</v>
      </c>
      <c r="D325" t="s">
        <v>47</v>
      </c>
      <c r="E325">
        <v>58</v>
      </c>
      <c r="F325" t="s">
        <v>33</v>
      </c>
      <c r="G325" t="s">
        <v>48</v>
      </c>
      <c r="H325" t="s">
        <v>41</v>
      </c>
      <c r="I325" t="s">
        <v>36</v>
      </c>
      <c r="J325">
        <v>14</v>
      </c>
      <c r="K325" s="5">
        <v>545</v>
      </c>
      <c r="L325" s="5">
        <v>0</v>
      </c>
      <c r="M325">
        <v>23</v>
      </c>
      <c r="N325">
        <v>9</v>
      </c>
      <c r="O325">
        <v>1</v>
      </c>
      <c r="P325">
        <v>4</v>
      </c>
      <c r="Q325">
        <v>15</v>
      </c>
      <c r="R325">
        <v>1</v>
      </c>
      <c r="S325">
        <v>0</v>
      </c>
      <c r="T325">
        <v>1</v>
      </c>
      <c r="U325">
        <v>0</v>
      </c>
      <c r="V325">
        <v>0</v>
      </c>
      <c r="W325" t="s">
        <v>45</v>
      </c>
      <c r="X325">
        <v>32</v>
      </c>
      <c r="Y325">
        <v>0</v>
      </c>
      <c r="Z325">
        <f t="shared" si="30"/>
        <v>52</v>
      </c>
      <c r="AA325">
        <f t="shared" si="31"/>
        <v>0.86363636363636365</v>
      </c>
      <c r="AB325">
        <f t="shared" si="32"/>
        <v>20</v>
      </c>
      <c r="AC325" t="str">
        <f t="shared" si="33"/>
        <v>Low</v>
      </c>
      <c r="AD325" t="str">
        <f t="shared" si="34"/>
        <v>Upsell premium bundle</v>
      </c>
      <c r="AE325">
        <f t="shared" si="35"/>
        <v>48</v>
      </c>
    </row>
    <row r="326" spans="1:31" x14ac:dyDescent="0.35">
      <c r="A326" t="s">
        <v>384</v>
      </c>
      <c r="B326" s="4">
        <v>45340</v>
      </c>
      <c r="C326" s="4">
        <v>46143</v>
      </c>
      <c r="D326" t="s">
        <v>47</v>
      </c>
      <c r="E326">
        <v>43</v>
      </c>
      <c r="F326" t="s">
        <v>57</v>
      </c>
      <c r="G326" t="s">
        <v>48</v>
      </c>
      <c r="H326" t="s">
        <v>58</v>
      </c>
      <c r="I326" t="s">
        <v>54</v>
      </c>
      <c r="J326">
        <v>26</v>
      </c>
      <c r="K326" s="5">
        <v>597.73</v>
      </c>
      <c r="L326" s="5">
        <v>159.76</v>
      </c>
      <c r="M326">
        <v>48</v>
      </c>
      <c r="N326">
        <v>34</v>
      </c>
      <c r="O326">
        <v>8</v>
      </c>
      <c r="P326">
        <v>0</v>
      </c>
      <c r="Q326">
        <v>36</v>
      </c>
      <c r="R326">
        <v>0</v>
      </c>
      <c r="S326">
        <v>0</v>
      </c>
      <c r="T326">
        <v>0</v>
      </c>
      <c r="U326">
        <v>0</v>
      </c>
      <c r="V326">
        <v>1</v>
      </c>
      <c r="W326" t="s">
        <v>50</v>
      </c>
      <c r="X326">
        <v>29</v>
      </c>
      <c r="Y326">
        <v>0</v>
      </c>
      <c r="Z326">
        <f t="shared" si="30"/>
        <v>100</v>
      </c>
      <c r="AA326">
        <f t="shared" si="31"/>
        <v>1.5</v>
      </c>
      <c r="AB326">
        <f t="shared" si="32"/>
        <v>10</v>
      </c>
      <c r="AC326" t="str">
        <f t="shared" si="33"/>
        <v>Low</v>
      </c>
      <c r="AD326" t="str">
        <f t="shared" si="34"/>
        <v>Upsell premium bundle</v>
      </c>
      <c r="AE326">
        <f t="shared" si="35"/>
        <v>0</v>
      </c>
    </row>
    <row r="327" spans="1:31" x14ac:dyDescent="0.35">
      <c r="A327" t="s">
        <v>385</v>
      </c>
      <c r="B327" s="4">
        <v>45451</v>
      </c>
      <c r="C327" s="4">
        <v>46143</v>
      </c>
      <c r="D327" t="s">
        <v>72</v>
      </c>
      <c r="E327">
        <v>59</v>
      </c>
      <c r="F327" t="s">
        <v>33</v>
      </c>
      <c r="G327" t="s">
        <v>48</v>
      </c>
      <c r="H327" t="s">
        <v>41</v>
      </c>
      <c r="I327" t="s">
        <v>36</v>
      </c>
      <c r="J327">
        <v>23</v>
      </c>
      <c r="K327" s="5">
        <v>65.86</v>
      </c>
      <c r="L327" s="5">
        <v>102.96</v>
      </c>
      <c r="M327">
        <v>12</v>
      </c>
      <c r="N327">
        <v>3</v>
      </c>
      <c r="O327">
        <v>0</v>
      </c>
      <c r="P327">
        <v>2</v>
      </c>
      <c r="Q327">
        <v>11</v>
      </c>
      <c r="R327">
        <v>1</v>
      </c>
      <c r="S327">
        <v>1</v>
      </c>
      <c r="T327">
        <v>1</v>
      </c>
      <c r="U327">
        <v>0</v>
      </c>
      <c r="V327">
        <v>1</v>
      </c>
      <c r="W327" t="s">
        <v>55</v>
      </c>
      <c r="X327">
        <v>-11</v>
      </c>
      <c r="Y327">
        <v>1</v>
      </c>
      <c r="Z327">
        <f t="shared" si="30"/>
        <v>35</v>
      </c>
      <c r="AA327">
        <f t="shared" si="31"/>
        <v>0.43396226415094341</v>
      </c>
      <c r="AB327">
        <f t="shared" si="32"/>
        <v>56</v>
      </c>
      <c r="AC327" t="str">
        <f t="shared" si="33"/>
        <v>Medium</v>
      </c>
      <c r="AD327" t="str">
        <f t="shared" si="34"/>
        <v>Nudge core feature adoption</v>
      </c>
      <c r="AE327">
        <f t="shared" si="35"/>
        <v>65</v>
      </c>
    </row>
    <row r="328" spans="1:31" x14ac:dyDescent="0.35">
      <c r="A328" t="s">
        <v>386</v>
      </c>
      <c r="B328" s="4">
        <v>45048</v>
      </c>
      <c r="C328" s="4">
        <v>46143</v>
      </c>
      <c r="D328" t="s">
        <v>60</v>
      </c>
      <c r="E328">
        <v>44</v>
      </c>
      <c r="F328" t="s">
        <v>61</v>
      </c>
      <c r="G328" t="s">
        <v>67</v>
      </c>
      <c r="H328" t="s">
        <v>41</v>
      </c>
      <c r="I328" t="s">
        <v>36</v>
      </c>
      <c r="J328">
        <v>36</v>
      </c>
      <c r="K328" s="5">
        <v>627.82000000000005</v>
      </c>
      <c r="L328" s="5">
        <v>1341.45</v>
      </c>
      <c r="M328">
        <v>19</v>
      </c>
      <c r="N328">
        <v>9</v>
      </c>
      <c r="O328">
        <v>3</v>
      </c>
      <c r="P328">
        <v>4</v>
      </c>
      <c r="Q328">
        <v>20</v>
      </c>
      <c r="R328">
        <v>0</v>
      </c>
      <c r="S328">
        <v>1</v>
      </c>
      <c r="T328">
        <v>1</v>
      </c>
      <c r="U328">
        <v>1</v>
      </c>
      <c r="V328">
        <v>1</v>
      </c>
      <c r="W328" t="s">
        <v>37</v>
      </c>
      <c r="X328">
        <v>47</v>
      </c>
      <c r="Y328">
        <v>0</v>
      </c>
      <c r="Z328">
        <f t="shared" si="30"/>
        <v>69</v>
      </c>
      <c r="AA328">
        <f t="shared" si="31"/>
        <v>0.59090909090909094</v>
      </c>
      <c r="AB328">
        <f t="shared" si="32"/>
        <v>15</v>
      </c>
      <c r="AC328" t="str">
        <f t="shared" si="33"/>
        <v>Low</v>
      </c>
      <c r="AD328" t="str">
        <f t="shared" si="34"/>
        <v>Upsell premium bundle</v>
      </c>
      <c r="AE328">
        <f t="shared" si="35"/>
        <v>31</v>
      </c>
    </row>
    <row r="329" spans="1:31" x14ac:dyDescent="0.35">
      <c r="A329" t="s">
        <v>387</v>
      </c>
      <c r="B329" s="4">
        <v>45449</v>
      </c>
      <c r="C329" s="4">
        <v>46143</v>
      </c>
      <c r="D329" t="s">
        <v>39</v>
      </c>
      <c r="E329">
        <v>35</v>
      </c>
      <c r="F329" t="s">
        <v>57</v>
      </c>
      <c r="G329" t="s">
        <v>63</v>
      </c>
      <c r="H329" t="s">
        <v>41</v>
      </c>
      <c r="I329" t="s">
        <v>36</v>
      </c>
      <c r="J329">
        <v>23</v>
      </c>
      <c r="K329" s="5">
        <v>146.08000000000001</v>
      </c>
      <c r="L329" s="5">
        <v>0</v>
      </c>
      <c r="M329">
        <v>37</v>
      </c>
      <c r="N329">
        <v>23</v>
      </c>
      <c r="O329">
        <v>4</v>
      </c>
      <c r="P329">
        <v>4</v>
      </c>
      <c r="Q329">
        <v>26</v>
      </c>
      <c r="R329">
        <v>0</v>
      </c>
      <c r="S329">
        <v>0</v>
      </c>
      <c r="T329">
        <v>0</v>
      </c>
      <c r="U329">
        <v>0</v>
      </c>
      <c r="V329">
        <v>1</v>
      </c>
      <c r="W329" t="s">
        <v>50</v>
      </c>
      <c r="X329">
        <v>18</v>
      </c>
      <c r="Y329">
        <v>0</v>
      </c>
      <c r="Z329">
        <f t="shared" si="30"/>
        <v>98</v>
      </c>
      <c r="AA329">
        <f t="shared" si="31"/>
        <v>1.1886792452830188</v>
      </c>
      <c r="AB329">
        <f t="shared" si="32"/>
        <v>10</v>
      </c>
      <c r="AC329" t="str">
        <f t="shared" si="33"/>
        <v>Low</v>
      </c>
      <c r="AD329" t="str">
        <f t="shared" si="34"/>
        <v>Upsell premium bundle</v>
      </c>
      <c r="AE329">
        <f t="shared" si="35"/>
        <v>2</v>
      </c>
    </row>
    <row r="330" spans="1:31" x14ac:dyDescent="0.35">
      <c r="A330" t="s">
        <v>388</v>
      </c>
      <c r="B330" s="4">
        <v>45117</v>
      </c>
      <c r="C330" s="4">
        <v>46143</v>
      </c>
      <c r="D330" t="s">
        <v>39</v>
      </c>
      <c r="E330">
        <v>58</v>
      </c>
      <c r="F330" t="s">
        <v>57</v>
      </c>
      <c r="G330" t="s">
        <v>85</v>
      </c>
      <c r="H330" t="s">
        <v>35</v>
      </c>
      <c r="I330" t="s">
        <v>36</v>
      </c>
      <c r="J330">
        <v>34</v>
      </c>
      <c r="K330" s="5">
        <v>541.36</v>
      </c>
      <c r="L330" s="5">
        <v>44.96</v>
      </c>
      <c r="M330">
        <v>20</v>
      </c>
      <c r="N330">
        <v>14</v>
      </c>
      <c r="O330">
        <v>5</v>
      </c>
      <c r="P330">
        <v>2</v>
      </c>
      <c r="Q330">
        <v>21</v>
      </c>
      <c r="R330">
        <v>2</v>
      </c>
      <c r="S330">
        <v>2</v>
      </c>
      <c r="T330">
        <v>0</v>
      </c>
      <c r="U330">
        <v>1</v>
      </c>
      <c r="V330">
        <v>0</v>
      </c>
      <c r="W330" t="s">
        <v>37</v>
      </c>
      <c r="X330">
        <v>-11</v>
      </c>
      <c r="Y330">
        <v>0</v>
      </c>
      <c r="Z330">
        <f t="shared" si="30"/>
        <v>68</v>
      </c>
      <c r="AA330">
        <f t="shared" si="31"/>
        <v>0.640625</v>
      </c>
      <c r="AB330">
        <f t="shared" si="32"/>
        <v>39</v>
      </c>
      <c r="AC330" t="str">
        <f t="shared" si="33"/>
        <v>Low</v>
      </c>
      <c r="AD330" t="str">
        <f t="shared" si="34"/>
        <v>Upsell premium bundle</v>
      </c>
      <c r="AE330">
        <f t="shared" si="35"/>
        <v>32</v>
      </c>
    </row>
    <row r="331" spans="1:31" x14ac:dyDescent="0.35">
      <c r="A331" t="s">
        <v>389</v>
      </c>
      <c r="B331" s="4">
        <v>45635</v>
      </c>
      <c r="C331" s="4">
        <v>46143</v>
      </c>
      <c r="D331" t="s">
        <v>66</v>
      </c>
      <c r="E331">
        <v>37</v>
      </c>
      <c r="F331" t="s">
        <v>43</v>
      </c>
      <c r="G331" t="s">
        <v>34</v>
      </c>
      <c r="H331" t="s">
        <v>58</v>
      </c>
      <c r="I331" t="s">
        <v>36</v>
      </c>
      <c r="J331">
        <v>16</v>
      </c>
      <c r="K331" s="5">
        <v>0</v>
      </c>
      <c r="L331" s="5">
        <v>116.79</v>
      </c>
      <c r="M331">
        <v>39</v>
      </c>
      <c r="N331">
        <v>21</v>
      </c>
      <c r="O331">
        <v>3</v>
      </c>
      <c r="P331">
        <v>5</v>
      </c>
      <c r="Q331">
        <v>33</v>
      </c>
      <c r="R331">
        <v>0</v>
      </c>
      <c r="S331">
        <v>0</v>
      </c>
      <c r="T331">
        <v>0</v>
      </c>
      <c r="U331">
        <v>1</v>
      </c>
      <c r="V331">
        <v>1</v>
      </c>
      <c r="W331" t="s">
        <v>37</v>
      </c>
      <c r="X331">
        <v>24</v>
      </c>
      <c r="Y331">
        <v>0</v>
      </c>
      <c r="Z331">
        <f t="shared" si="30"/>
        <v>100</v>
      </c>
      <c r="AA331">
        <f t="shared" si="31"/>
        <v>1.5652173913043479</v>
      </c>
      <c r="AB331">
        <f t="shared" si="32"/>
        <v>0</v>
      </c>
      <c r="AC331" t="str">
        <f t="shared" si="33"/>
        <v>Low</v>
      </c>
      <c r="AD331" t="str">
        <f t="shared" si="34"/>
        <v>Upsell premium bundle</v>
      </c>
      <c r="AE331">
        <f t="shared" si="35"/>
        <v>0</v>
      </c>
    </row>
    <row r="332" spans="1:31" x14ac:dyDescent="0.35">
      <c r="A332" t="s">
        <v>390</v>
      </c>
      <c r="B332" s="4">
        <v>45192</v>
      </c>
      <c r="C332" s="4">
        <v>46143</v>
      </c>
      <c r="D332" t="s">
        <v>72</v>
      </c>
      <c r="E332">
        <v>46</v>
      </c>
      <c r="F332" t="s">
        <v>33</v>
      </c>
      <c r="G332" t="s">
        <v>40</v>
      </c>
      <c r="H332" t="s">
        <v>41</v>
      </c>
      <c r="I332" t="s">
        <v>49</v>
      </c>
      <c r="J332">
        <v>31</v>
      </c>
      <c r="K332" s="5">
        <v>737</v>
      </c>
      <c r="L332" s="5">
        <v>146.81</v>
      </c>
      <c r="M332">
        <v>40</v>
      </c>
      <c r="N332">
        <v>27</v>
      </c>
      <c r="O332">
        <v>9</v>
      </c>
      <c r="P332">
        <v>4</v>
      </c>
      <c r="Q332">
        <v>26</v>
      </c>
      <c r="R332">
        <v>0</v>
      </c>
      <c r="S332">
        <v>3</v>
      </c>
      <c r="T332">
        <v>0</v>
      </c>
      <c r="U332">
        <v>0</v>
      </c>
      <c r="V332">
        <v>0</v>
      </c>
      <c r="W332" t="s">
        <v>50</v>
      </c>
      <c r="X332">
        <v>45</v>
      </c>
      <c r="Y332">
        <v>0</v>
      </c>
      <c r="Z332">
        <f t="shared" si="30"/>
        <v>100</v>
      </c>
      <c r="AA332">
        <f t="shared" si="31"/>
        <v>1.0819672131147542</v>
      </c>
      <c r="AB332">
        <f t="shared" si="32"/>
        <v>36</v>
      </c>
      <c r="AC332" t="str">
        <f t="shared" si="33"/>
        <v>Low</v>
      </c>
      <c r="AD332" t="str">
        <f t="shared" si="34"/>
        <v>Upsell premium bundle</v>
      </c>
      <c r="AE332">
        <f t="shared" si="35"/>
        <v>0</v>
      </c>
    </row>
    <row r="333" spans="1:31" x14ac:dyDescent="0.35">
      <c r="A333" t="s">
        <v>391</v>
      </c>
      <c r="B333" s="4">
        <v>44802</v>
      </c>
      <c r="C333" s="4">
        <v>46143</v>
      </c>
      <c r="D333" t="s">
        <v>72</v>
      </c>
      <c r="E333">
        <v>27</v>
      </c>
      <c r="F333" t="s">
        <v>33</v>
      </c>
      <c r="G333" t="s">
        <v>85</v>
      </c>
      <c r="H333" t="s">
        <v>58</v>
      </c>
      <c r="I333" t="s">
        <v>36</v>
      </c>
      <c r="J333">
        <v>44</v>
      </c>
      <c r="K333" s="5">
        <v>0</v>
      </c>
      <c r="L333" s="5">
        <v>271.32</v>
      </c>
      <c r="M333">
        <v>19</v>
      </c>
      <c r="N333">
        <v>11</v>
      </c>
      <c r="O333">
        <v>5</v>
      </c>
      <c r="P333">
        <v>0</v>
      </c>
      <c r="Q333">
        <v>23</v>
      </c>
      <c r="R333">
        <v>0</v>
      </c>
      <c r="S333">
        <v>0</v>
      </c>
      <c r="T333">
        <v>1</v>
      </c>
      <c r="U333">
        <v>0</v>
      </c>
      <c r="V333">
        <v>0</v>
      </c>
      <c r="W333" t="s">
        <v>37</v>
      </c>
      <c r="X333">
        <v>-5</v>
      </c>
      <c r="Y333">
        <v>0</v>
      </c>
      <c r="Z333">
        <f t="shared" si="30"/>
        <v>55</v>
      </c>
      <c r="AA333">
        <f t="shared" si="31"/>
        <v>0.56756756756756754</v>
      </c>
      <c r="AB333">
        <f t="shared" si="32"/>
        <v>29</v>
      </c>
      <c r="AC333" t="str">
        <f t="shared" si="33"/>
        <v>Low</v>
      </c>
      <c r="AD333" t="str">
        <f t="shared" si="34"/>
        <v>Upsell premium bundle</v>
      </c>
      <c r="AE333">
        <f t="shared" si="35"/>
        <v>45</v>
      </c>
    </row>
    <row r="334" spans="1:31" x14ac:dyDescent="0.35">
      <c r="A334" t="s">
        <v>392</v>
      </c>
      <c r="B334" s="4">
        <v>45146</v>
      </c>
      <c r="C334" s="4">
        <v>46143</v>
      </c>
      <c r="D334" t="s">
        <v>32</v>
      </c>
      <c r="E334">
        <v>38</v>
      </c>
      <c r="F334" t="s">
        <v>33</v>
      </c>
      <c r="G334" t="s">
        <v>48</v>
      </c>
      <c r="H334" t="s">
        <v>44</v>
      </c>
      <c r="I334" t="s">
        <v>36</v>
      </c>
      <c r="J334">
        <v>33</v>
      </c>
      <c r="K334" s="5">
        <v>731.21</v>
      </c>
      <c r="L334" s="5">
        <v>0</v>
      </c>
      <c r="M334">
        <v>47</v>
      </c>
      <c r="N334">
        <v>12</v>
      </c>
      <c r="O334">
        <v>3</v>
      </c>
      <c r="P334">
        <v>5</v>
      </c>
      <c r="Q334">
        <v>39</v>
      </c>
      <c r="R334">
        <v>3</v>
      </c>
      <c r="S334">
        <v>1</v>
      </c>
      <c r="T334">
        <v>0</v>
      </c>
      <c r="U334">
        <v>0</v>
      </c>
      <c r="V334">
        <v>0</v>
      </c>
      <c r="W334" t="s">
        <v>50</v>
      </c>
      <c r="X334">
        <v>-6</v>
      </c>
      <c r="Y334">
        <v>1</v>
      </c>
      <c r="Z334">
        <f t="shared" si="30"/>
        <v>100</v>
      </c>
      <c r="AA334">
        <f t="shared" si="31"/>
        <v>1.3650793650793651</v>
      </c>
      <c r="AB334">
        <f t="shared" si="32"/>
        <v>15</v>
      </c>
      <c r="AC334" t="str">
        <f t="shared" si="33"/>
        <v>Low</v>
      </c>
      <c r="AD334" t="str">
        <f t="shared" si="34"/>
        <v>Upsell premium bundle</v>
      </c>
      <c r="AE334">
        <f t="shared" si="35"/>
        <v>0</v>
      </c>
    </row>
    <row r="335" spans="1:31" x14ac:dyDescent="0.35">
      <c r="A335" t="s">
        <v>393</v>
      </c>
      <c r="B335" s="4">
        <v>45685</v>
      </c>
      <c r="C335" s="4">
        <v>46143</v>
      </c>
      <c r="D335" t="s">
        <v>66</v>
      </c>
      <c r="E335">
        <v>45</v>
      </c>
      <c r="F335" t="s">
        <v>61</v>
      </c>
      <c r="G335" t="s">
        <v>34</v>
      </c>
      <c r="H335" t="s">
        <v>41</v>
      </c>
      <c r="I335" t="s">
        <v>36</v>
      </c>
      <c r="J335">
        <v>15</v>
      </c>
      <c r="K335" s="5">
        <v>6169.71</v>
      </c>
      <c r="L335" s="5">
        <v>852.39</v>
      </c>
      <c r="M335">
        <v>25</v>
      </c>
      <c r="N335">
        <v>14</v>
      </c>
      <c r="O335">
        <v>1</v>
      </c>
      <c r="P335">
        <v>1</v>
      </c>
      <c r="Q335">
        <v>12</v>
      </c>
      <c r="R335">
        <v>1</v>
      </c>
      <c r="S335">
        <v>0</v>
      </c>
      <c r="T335">
        <v>0</v>
      </c>
      <c r="U335">
        <v>1</v>
      </c>
      <c r="V335">
        <v>1</v>
      </c>
      <c r="W335" t="s">
        <v>45</v>
      </c>
      <c r="X335">
        <v>13</v>
      </c>
      <c r="Y335">
        <v>0</v>
      </c>
      <c r="Z335">
        <f t="shared" si="30"/>
        <v>66</v>
      </c>
      <c r="AA335">
        <f t="shared" si="31"/>
        <v>0.82222222222222219</v>
      </c>
      <c r="AB335">
        <f t="shared" si="32"/>
        <v>24</v>
      </c>
      <c r="AC335" t="str">
        <f t="shared" si="33"/>
        <v>Low</v>
      </c>
      <c r="AD335" t="str">
        <f t="shared" si="34"/>
        <v>Upsell premium bundle</v>
      </c>
      <c r="AE335">
        <f t="shared" si="35"/>
        <v>34</v>
      </c>
    </row>
    <row r="336" spans="1:31" x14ac:dyDescent="0.35">
      <c r="A336" t="s">
        <v>394</v>
      </c>
      <c r="B336" s="4">
        <v>45018</v>
      </c>
      <c r="C336" s="4">
        <v>46143</v>
      </c>
      <c r="D336" t="s">
        <v>32</v>
      </c>
      <c r="E336">
        <v>28</v>
      </c>
      <c r="F336" t="s">
        <v>57</v>
      </c>
      <c r="G336" t="s">
        <v>34</v>
      </c>
      <c r="H336" t="s">
        <v>58</v>
      </c>
      <c r="I336" t="s">
        <v>36</v>
      </c>
      <c r="J336">
        <v>37</v>
      </c>
      <c r="K336" s="5">
        <v>1933.17</v>
      </c>
      <c r="L336" s="5">
        <v>488.25</v>
      </c>
      <c r="M336">
        <v>17</v>
      </c>
      <c r="N336">
        <v>11</v>
      </c>
      <c r="O336">
        <v>2</v>
      </c>
      <c r="P336">
        <v>1</v>
      </c>
      <c r="Q336">
        <v>16</v>
      </c>
      <c r="R336">
        <v>3</v>
      </c>
      <c r="S336">
        <v>2</v>
      </c>
      <c r="T336">
        <v>0</v>
      </c>
      <c r="U336">
        <v>0</v>
      </c>
      <c r="V336">
        <v>1</v>
      </c>
      <c r="W336" t="s">
        <v>55</v>
      </c>
      <c r="X336">
        <v>-25</v>
      </c>
      <c r="Y336">
        <v>1</v>
      </c>
      <c r="Z336">
        <f t="shared" si="30"/>
        <v>52</v>
      </c>
      <c r="AA336">
        <f t="shared" si="31"/>
        <v>0.4925373134328358</v>
      </c>
      <c r="AB336">
        <f t="shared" si="32"/>
        <v>51</v>
      </c>
      <c r="AC336" t="str">
        <f t="shared" si="33"/>
        <v>Medium</v>
      </c>
      <c r="AD336" t="str">
        <f t="shared" si="34"/>
        <v>Nudge core feature adoption</v>
      </c>
      <c r="AE336">
        <f t="shared" si="35"/>
        <v>48</v>
      </c>
    </row>
    <row r="337" spans="1:31" x14ac:dyDescent="0.35">
      <c r="A337" t="s">
        <v>395</v>
      </c>
      <c r="B337" s="4">
        <v>45968</v>
      </c>
      <c r="C337" s="4">
        <v>46143</v>
      </c>
      <c r="D337" t="s">
        <v>32</v>
      </c>
      <c r="E337">
        <v>60</v>
      </c>
      <c r="F337" t="s">
        <v>57</v>
      </c>
      <c r="G337" t="s">
        <v>40</v>
      </c>
      <c r="H337" t="s">
        <v>58</v>
      </c>
      <c r="I337" t="s">
        <v>36</v>
      </c>
      <c r="J337">
        <v>5</v>
      </c>
      <c r="K337" s="5">
        <v>786.25</v>
      </c>
      <c r="L337" s="5">
        <v>359.6</v>
      </c>
      <c r="M337">
        <v>22</v>
      </c>
      <c r="N337">
        <v>7</v>
      </c>
      <c r="O337">
        <v>3</v>
      </c>
      <c r="P337">
        <v>0</v>
      </c>
      <c r="Q337">
        <v>26</v>
      </c>
      <c r="R337">
        <v>1</v>
      </c>
      <c r="S337">
        <v>1</v>
      </c>
      <c r="T337">
        <v>1</v>
      </c>
      <c r="U337">
        <v>0</v>
      </c>
      <c r="V337">
        <v>0</v>
      </c>
      <c r="W337" t="s">
        <v>55</v>
      </c>
      <c r="X337">
        <v>18</v>
      </c>
      <c r="Y337">
        <v>0</v>
      </c>
      <c r="Z337">
        <f t="shared" si="30"/>
        <v>56</v>
      </c>
      <c r="AA337">
        <f t="shared" si="31"/>
        <v>1.3714285714285714</v>
      </c>
      <c r="AB337">
        <f t="shared" si="32"/>
        <v>23</v>
      </c>
      <c r="AC337" t="str">
        <f t="shared" si="33"/>
        <v>Low</v>
      </c>
      <c r="AD337" t="str">
        <f t="shared" si="34"/>
        <v>Upsell premium bundle</v>
      </c>
      <c r="AE337">
        <f t="shared" si="35"/>
        <v>44</v>
      </c>
    </row>
    <row r="338" spans="1:31" x14ac:dyDescent="0.35">
      <c r="A338" t="s">
        <v>396</v>
      </c>
      <c r="B338" s="4">
        <v>45580</v>
      </c>
      <c r="C338" s="4">
        <v>46143</v>
      </c>
      <c r="D338" t="s">
        <v>72</v>
      </c>
      <c r="E338">
        <v>72</v>
      </c>
      <c r="F338" t="s">
        <v>57</v>
      </c>
      <c r="G338" t="s">
        <v>63</v>
      </c>
      <c r="H338" t="s">
        <v>44</v>
      </c>
      <c r="I338" t="s">
        <v>36</v>
      </c>
      <c r="J338">
        <v>18</v>
      </c>
      <c r="K338" s="5">
        <v>1860.53</v>
      </c>
      <c r="L338" s="5">
        <v>467.8</v>
      </c>
      <c r="M338">
        <v>50</v>
      </c>
      <c r="N338">
        <v>37</v>
      </c>
      <c r="O338">
        <v>9</v>
      </c>
      <c r="P338">
        <v>4</v>
      </c>
      <c r="Q338">
        <v>27</v>
      </c>
      <c r="R338">
        <v>2</v>
      </c>
      <c r="S338">
        <v>0</v>
      </c>
      <c r="T338">
        <v>0</v>
      </c>
      <c r="U338">
        <v>1</v>
      </c>
      <c r="V338">
        <v>1</v>
      </c>
      <c r="W338" t="s">
        <v>37</v>
      </c>
      <c r="X338">
        <v>74</v>
      </c>
      <c r="Y338">
        <v>0</v>
      </c>
      <c r="Z338">
        <f t="shared" si="30"/>
        <v>100</v>
      </c>
      <c r="AA338">
        <f t="shared" si="31"/>
        <v>1.6041666666666667</v>
      </c>
      <c r="AB338">
        <f t="shared" si="32"/>
        <v>0</v>
      </c>
      <c r="AC338" t="str">
        <f t="shared" si="33"/>
        <v>Low</v>
      </c>
      <c r="AD338" t="str">
        <f t="shared" si="34"/>
        <v>Upsell premium bundle</v>
      </c>
      <c r="AE338">
        <f t="shared" si="35"/>
        <v>0</v>
      </c>
    </row>
    <row r="339" spans="1:31" x14ac:dyDescent="0.35">
      <c r="A339" t="s">
        <v>397</v>
      </c>
      <c r="B339" s="4">
        <v>44989</v>
      </c>
      <c r="C339" s="4">
        <v>46143</v>
      </c>
      <c r="D339" t="s">
        <v>32</v>
      </c>
      <c r="E339">
        <v>25</v>
      </c>
      <c r="F339" t="s">
        <v>57</v>
      </c>
      <c r="G339" t="s">
        <v>67</v>
      </c>
      <c r="H339" t="s">
        <v>44</v>
      </c>
      <c r="I339" t="s">
        <v>36</v>
      </c>
      <c r="J339">
        <v>38</v>
      </c>
      <c r="K339" s="5">
        <v>1541.85</v>
      </c>
      <c r="L339" s="5">
        <v>1245.05</v>
      </c>
      <c r="M339">
        <v>46</v>
      </c>
      <c r="N339">
        <v>21</v>
      </c>
      <c r="O339">
        <v>8</v>
      </c>
      <c r="P339">
        <v>7</v>
      </c>
      <c r="Q339">
        <v>22</v>
      </c>
      <c r="R339">
        <v>3</v>
      </c>
      <c r="S339">
        <v>1</v>
      </c>
      <c r="T339">
        <v>1</v>
      </c>
      <c r="U339">
        <v>1</v>
      </c>
      <c r="V339">
        <v>1</v>
      </c>
      <c r="W339" t="s">
        <v>55</v>
      </c>
      <c r="X339">
        <v>42</v>
      </c>
      <c r="Y339">
        <v>0</v>
      </c>
      <c r="Z339">
        <f t="shared" si="30"/>
        <v>100</v>
      </c>
      <c r="AA339">
        <f t="shared" si="31"/>
        <v>1</v>
      </c>
      <c r="AB339">
        <f t="shared" si="32"/>
        <v>0</v>
      </c>
      <c r="AC339" t="str">
        <f t="shared" si="33"/>
        <v>Low</v>
      </c>
      <c r="AD339" t="str">
        <f t="shared" si="34"/>
        <v>Upsell premium bundle</v>
      </c>
      <c r="AE339">
        <f t="shared" si="35"/>
        <v>0</v>
      </c>
    </row>
    <row r="340" spans="1:31" x14ac:dyDescent="0.35">
      <c r="A340" t="s">
        <v>398</v>
      </c>
      <c r="B340" s="4">
        <v>45011</v>
      </c>
      <c r="C340" s="4">
        <v>46143</v>
      </c>
      <c r="D340" t="s">
        <v>47</v>
      </c>
      <c r="E340">
        <v>71</v>
      </c>
      <c r="F340" t="s">
        <v>43</v>
      </c>
      <c r="G340" t="s">
        <v>63</v>
      </c>
      <c r="H340" t="s">
        <v>41</v>
      </c>
      <c r="I340" t="s">
        <v>36</v>
      </c>
      <c r="J340">
        <v>37</v>
      </c>
      <c r="K340" s="5">
        <v>22.65</v>
      </c>
      <c r="L340" s="5">
        <v>9.1199999999999992</v>
      </c>
      <c r="M340">
        <v>20</v>
      </c>
      <c r="N340">
        <v>9</v>
      </c>
      <c r="O340">
        <v>1</v>
      </c>
      <c r="P340">
        <v>2</v>
      </c>
      <c r="Q340">
        <v>16</v>
      </c>
      <c r="R340">
        <v>2</v>
      </c>
      <c r="S340">
        <v>1</v>
      </c>
      <c r="T340">
        <v>1</v>
      </c>
      <c r="U340">
        <v>1</v>
      </c>
      <c r="V340">
        <v>0</v>
      </c>
      <c r="W340" t="s">
        <v>50</v>
      </c>
      <c r="X340">
        <v>-41</v>
      </c>
      <c r="Y340">
        <v>1</v>
      </c>
      <c r="Z340">
        <f t="shared" si="30"/>
        <v>55</v>
      </c>
      <c r="AA340">
        <f t="shared" si="31"/>
        <v>0.53731343283582089</v>
      </c>
      <c r="AB340">
        <f t="shared" si="32"/>
        <v>62</v>
      </c>
      <c r="AC340" t="str">
        <f t="shared" si="33"/>
        <v>Medium</v>
      </c>
      <c r="AD340" t="str">
        <f t="shared" si="34"/>
        <v>Nudge core feature adoption</v>
      </c>
      <c r="AE340">
        <f t="shared" si="35"/>
        <v>45</v>
      </c>
    </row>
    <row r="341" spans="1:31" x14ac:dyDescent="0.35">
      <c r="A341" t="s">
        <v>399</v>
      </c>
      <c r="B341" s="4">
        <v>45086</v>
      </c>
      <c r="C341" s="4">
        <v>46143</v>
      </c>
      <c r="D341" t="s">
        <v>60</v>
      </c>
      <c r="E341">
        <v>64</v>
      </c>
      <c r="F341" t="s">
        <v>33</v>
      </c>
      <c r="G341" t="s">
        <v>63</v>
      </c>
      <c r="H341" t="s">
        <v>58</v>
      </c>
      <c r="I341" t="s">
        <v>36</v>
      </c>
      <c r="J341">
        <v>35</v>
      </c>
      <c r="K341" s="5">
        <v>172.02</v>
      </c>
      <c r="L341" s="5">
        <v>64.760000000000005</v>
      </c>
      <c r="M341">
        <v>38</v>
      </c>
      <c r="N341">
        <v>17</v>
      </c>
      <c r="O341">
        <v>3</v>
      </c>
      <c r="P341">
        <v>7</v>
      </c>
      <c r="Q341">
        <v>43</v>
      </c>
      <c r="R341">
        <v>2</v>
      </c>
      <c r="S341">
        <v>2</v>
      </c>
      <c r="T341">
        <v>1</v>
      </c>
      <c r="U341">
        <v>0</v>
      </c>
      <c r="V341">
        <v>0</v>
      </c>
      <c r="W341" t="s">
        <v>37</v>
      </c>
      <c r="X341">
        <v>79</v>
      </c>
      <c r="Y341">
        <v>0</v>
      </c>
      <c r="Z341">
        <f t="shared" si="30"/>
        <v>100</v>
      </c>
      <c r="AA341">
        <f t="shared" si="31"/>
        <v>1.2461538461538462</v>
      </c>
      <c r="AB341">
        <f t="shared" si="32"/>
        <v>0</v>
      </c>
      <c r="AC341" t="str">
        <f t="shared" si="33"/>
        <v>Low</v>
      </c>
      <c r="AD341" t="str">
        <f t="shared" si="34"/>
        <v>Upsell premium bundle</v>
      </c>
      <c r="AE341">
        <f t="shared" si="35"/>
        <v>0</v>
      </c>
    </row>
    <row r="342" spans="1:31" x14ac:dyDescent="0.35">
      <c r="A342" t="s">
        <v>400</v>
      </c>
      <c r="B342" s="4">
        <v>45121</v>
      </c>
      <c r="C342" s="4">
        <v>46143</v>
      </c>
      <c r="D342" t="s">
        <v>60</v>
      </c>
      <c r="E342">
        <v>46</v>
      </c>
      <c r="F342" t="s">
        <v>57</v>
      </c>
      <c r="G342" t="s">
        <v>63</v>
      </c>
      <c r="H342" t="s">
        <v>41</v>
      </c>
      <c r="I342" t="s">
        <v>36</v>
      </c>
      <c r="J342">
        <v>34</v>
      </c>
      <c r="K342" s="5">
        <v>1186.33</v>
      </c>
      <c r="L342" s="5">
        <v>1376.92</v>
      </c>
      <c r="M342">
        <v>21</v>
      </c>
      <c r="N342">
        <v>5</v>
      </c>
      <c r="O342">
        <v>1</v>
      </c>
      <c r="P342">
        <v>1</v>
      </c>
      <c r="Q342">
        <v>8</v>
      </c>
      <c r="R342">
        <v>0</v>
      </c>
      <c r="S342">
        <v>0</v>
      </c>
      <c r="T342">
        <v>1</v>
      </c>
      <c r="U342">
        <v>0</v>
      </c>
      <c r="V342">
        <v>1</v>
      </c>
      <c r="W342" t="s">
        <v>37</v>
      </c>
      <c r="X342">
        <v>40</v>
      </c>
      <c r="Y342">
        <v>0</v>
      </c>
      <c r="Z342">
        <f t="shared" si="30"/>
        <v>43</v>
      </c>
      <c r="AA342">
        <f t="shared" si="31"/>
        <v>0.453125</v>
      </c>
      <c r="AB342">
        <f t="shared" si="32"/>
        <v>21</v>
      </c>
      <c r="AC342" t="str">
        <f t="shared" si="33"/>
        <v>Low</v>
      </c>
      <c r="AD342" t="str">
        <f t="shared" si="34"/>
        <v>Upsell premium bundle</v>
      </c>
      <c r="AE342">
        <f t="shared" si="35"/>
        <v>57</v>
      </c>
    </row>
    <row r="343" spans="1:31" x14ac:dyDescent="0.35">
      <c r="A343" t="s">
        <v>401</v>
      </c>
      <c r="B343" s="4">
        <v>44894</v>
      </c>
      <c r="C343" s="4">
        <v>46143</v>
      </c>
      <c r="D343" t="s">
        <v>66</v>
      </c>
      <c r="E343">
        <v>51</v>
      </c>
      <c r="F343" t="s">
        <v>33</v>
      </c>
      <c r="G343" t="s">
        <v>48</v>
      </c>
      <c r="H343" t="s">
        <v>44</v>
      </c>
      <c r="I343" t="s">
        <v>36</v>
      </c>
      <c r="J343">
        <v>41</v>
      </c>
      <c r="K343" s="5">
        <v>497.29</v>
      </c>
      <c r="L343" s="5">
        <v>244.8</v>
      </c>
      <c r="M343">
        <v>42</v>
      </c>
      <c r="N343">
        <v>16</v>
      </c>
      <c r="O343">
        <v>2</v>
      </c>
      <c r="P343">
        <v>5</v>
      </c>
      <c r="Q343">
        <v>29</v>
      </c>
      <c r="R343">
        <v>0</v>
      </c>
      <c r="S343">
        <v>0</v>
      </c>
      <c r="T343">
        <v>0</v>
      </c>
      <c r="U343">
        <v>1</v>
      </c>
      <c r="V343">
        <v>0</v>
      </c>
      <c r="W343" t="s">
        <v>45</v>
      </c>
      <c r="X343">
        <v>52</v>
      </c>
      <c r="Y343">
        <v>0</v>
      </c>
      <c r="Z343">
        <f t="shared" si="30"/>
        <v>100</v>
      </c>
      <c r="AA343">
        <f t="shared" si="31"/>
        <v>1</v>
      </c>
      <c r="AB343">
        <f t="shared" si="32"/>
        <v>0</v>
      </c>
      <c r="AC343" t="str">
        <f t="shared" si="33"/>
        <v>Low</v>
      </c>
      <c r="AD343" t="str">
        <f t="shared" si="34"/>
        <v>Upsell premium bundle</v>
      </c>
      <c r="AE343">
        <f t="shared" si="35"/>
        <v>0</v>
      </c>
    </row>
    <row r="344" spans="1:31" x14ac:dyDescent="0.35">
      <c r="A344" t="s">
        <v>402</v>
      </c>
      <c r="B344" s="4">
        <v>45929</v>
      </c>
      <c r="C344" s="4">
        <v>46143</v>
      </c>
      <c r="D344" t="s">
        <v>32</v>
      </c>
      <c r="E344">
        <v>27</v>
      </c>
      <c r="F344" t="s">
        <v>61</v>
      </c>
      <c r="G344" t="s">
        <v>85</v>
      </c>
      <c r="H344" t="s">
        <v>58</v>
      </c>
      <c r="I344" t="s">
        <v>49</v>
      </c>
      <c r="J344">
        <v>7</v>
      </c>
      <c r="K344" s="5">
        <v>4046.32</v>
      </c>
      <c r="L344" s="5">
        <v>2498.21</v>
      </c>
      <c r="M344">
        <v>17</v>
      </c>
      <c r="N344">
        <v>10</v>
      </c>
      <c r="O344">
        <v>2</v>
      </c>
      <c r="P344">
        <v>3</v>
      </c>
      <c r="Q344">
        <v>13</v>
      </c>
      <c r="R344">
        <v>1</v>
      </c>
      <c r="S344">
        <v>0</v>
      </c>
      <c r="T344">
        <v>1</v>
      </c>
      <c r="U344">
        <v>1</v>
      </c>
      <c r="V344">
        <v>0</v>
      </c>
      <c r="W344" t="s">
        <v>37</v>
      </c>
      <c r="X344">
        <v>34</v>
      </c>
      <c r="Y344">
        <v>0</v>
      </c>
      <c r="Z344">
        <f t="shared" si="30"/>
        <v>52</v>
      </c>
      <c r="AA344">
        <f t="shared" si="31"/>
        <v>0.81081081081081086</v>
      </c>
      <c r="AB344">
        <f t="shared" si="32"/>
        <v>15</v>
      </c>
      <c r="AC344" t="str">
        <f t="shared" si="33"/>
        <v>Low</v>
      </c>
      <c r="AD344" t="str">
        <f t="shared" si="34"/>
        <v>Upsell premium bundle</v>
      </c>
      <c r="AE344">
        <f t="shared" si="35"/>
        <v>48</v>
      </c>
    </row>
    <row r="345" spans="1:31" x14ac:dyDescent="0.35">
      <c r="A345" t="s">
        <v>403</v>
      </c>
      <c r="B345" s="4">
        <v>45631</v>
      </c>
      <c r="C345" s="4">
        <v>46143</v>
      </c>
      <c r="D345" t="s">
        <v>72</v>
      </c>
      <c r="E345">
        <v>66</v>
      </c>
      <c r="F345" t="s">
        <v>61</v>
      </c>
      <c r="G345" t="s">
        <v>34</v>
      </c>
      <c r="H345" t="s">
        <v>41</v>
      </c>
      <c r="I345" t="s">
        <v>36</v>
      </c>
      <c r="J345">
        <v>17</v>
      </c>
      <c r="K345" s="5">
        <v>2306.42</v>
      </c>
      <c r="L345" s="5">
        <v>975.12</v>
      </c>
      <c r="M345">
        <v>20</v>
      </c>
      <c r="N345">
        <v>7</v>
      </c>
      <c r="O345">
        <v>4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1</v>
      </c>
      <c r="W345" t="s">
        <v>55</v>
      </c>
      <c r="X345">
        <v>61</v>
      </c>
      <c r="Y345">
        <v>0</v>
      </c>
      <c r="Z345">
        <f t="shared" si="30"/>
        <v>41</v>
      </c>
      <c r="AA345">
        <f t="shared" si="31"/>
        <v>0.46808510638297873</v>
      </c>
      <c r="AB345">
        <f t="shared" si="32"/>
        <v>11</v>
      </c>
      <c r="AC345" t="str">
        <f t="shared" si="33"/>
        <v>Low</v>
      </c>
      <c r="AD345" t="str">
        <f t="shared" si="34"/>
        <v>Upsell premium bundle</v>
      </c>
      <c r="AE345">
        <f t="shared" si="35"/>
        <v>59</v>
      </c>
    </row>
    <row r="346" spans="1:31" x14ac:dyDescent="0.35">
      <c r="A346" t="s">
        <v>404</v>
      </c>
      <c r="B346" s="4">
        <v>44852</v>
      </c>
      <c r="C346" s="4">
        <v>46143</v>
      </c>
      <c r="D346" t="s">
        <v>39</v>
      </c>
      <c r="E346">
        <v>52</v>
      </c>
      <c r="F346" t="s">
        <v>33</v>
      </c>
      <c r="G346" t="s">
        <v>40</v>
      </c>
      <c r="H346" t="s">
        <v>41</v>
      </c>
      <c r="I346" t="s">
        <v>36</v>
      </c>
      <c r="J346">
        <v>43</v>
      </c>
      <c r="K346" s="5">
        <v>597.67999999999995</v>
      </c>
      <c r="L346" s="5">
        <v>305.16000000000003</v>
      </c>
      <c r="M346">
        <v>17</v>
      </c>
      <c r="N346">
        <v>11</v>
      </c>
      <c r="O346">
        <v>5</v>
      </c>
      <c r="P346">
        <v>0</v>
      </c>
      <c r="Q346">
        <v>22</v>
      </c>
      <c r="R346">
        <v>0</v>
      </c>
      <c r="S346">
        <v>0</v>
      </c>
      <c r="T346">
        <v>1</v>
      </c>
      <c r="U346">
        <v>0</v>
      </c>
      <c r="V346">
        <v>0</v>
      </c>
      <c r="W346" t="s">
        <v>55</v>
      </c>
      <c r="X346">
        <v>16</v>
      </c>
      <c r="Y346">
        <v>0</v>
      </c>
      <c r="Z346">
        <f t="shared" si="30"/>
        <v>52</v>
      </c>
      <c r="AA346">
        <f t="shared" si="31"/>
        <v>0.53424657534246578</v>
      </c>
      <c r="AB346">
        <f t="shared" si="32"/>
        <v>29</v>
      </c>
      <c r="AC346" t="str">
        <f t="shared" si="33"/>
        <v>Low</v>
      </c>
      <c r="AD346" t="str">
        <f t="shared" si="34"/>
        <v>Upsell premium bundle</v>
      </c>
      <c r="AE346">
        <f t="shared" si="35"/>
        <v>48</v>
      </c>
    </row>
    <row r="347" spans="1:31" x14ac:dyDescent="0.35">
      <c r="A347" t="s">
        <v>405</v>
      </c>
      <c r="B347" s="4">
        <v>45738</v>
      </c>
      <c r="C347" s="4">
        <v>46143</v>
      </c>
      <c r="D347" t="s">
        <v>47</v>
      </c>
      <c r="E347">
        <v>61</v>
      </c>
      <c r="F347" t="s">
        <v>33</v>
      </c>
      <c r="G347" t="s">
        <v>85</v>
      </c>
      <c r="H347" t="s">
        <v>58</v>
      </c>
      <c r="I347" t="s">
        <v>36</v>
      </c>
      <c r="J347">
        <v>13</v>
      </c>
      <c r="K347" s="5">
        <v>428.1</v>
      </c>
      <c r="L347" s="5">
        <v>357.2</v>
      </c>
      <c r="M347">
        <v>22</v>
      </c>
      <c r="N347">
        <v>10</v>
      </c>
      <c r="O347">
        <v>1</v>
      </c>
      <c r="P347">
        <v>1</v>
      </c>
      <c r="Q347">
        <v>19</v>
      </c>
      <c r="R347">
        <v>0</v>
      </c>
      <c r="S347">
        <v>0</v>
      </c>
      <c r="T347">
        <v>1</v>
      </c>
      <c r="U347">
        <v>1</v>
      </c>
      <c r="V347">
        <v>0</v>
      </c>
      <c r="W347" t="s">
        <v>37</v>
      </c>
      <c r="X347">
        <v>20</v>
      </c>
      <c r="Y347">
        <v>0</v>
      </c>
      <c r="Z347">
        <f t="shared" si="30"/>
        <v>59</v>
      </c>
      <c r="AA347">
        <f t="shared" si="31"/>
        <v>0.95348837209302328</v>
      </c>
      <c r="AB347">
        <f t="shared" si="32"/>
        <v>14</v>
      </c>
      <c r="AC347" t="str">
        <f t="shared" si="33"/>
        <v>Low</v>
      </c>
      <c r="AD347" t="str">
        <f t="shared" si="34"/>
        <v>Upsell premium bundle</v>
      </c>
      <c r="AE347">
        <f t="shared" si="35"/>
        <v>41</v>
      </c>
    </row>
    <row r="348" spans="1:31" x14ac:dyDescent="0.35">
      <c r="A348" t="s">
        <v>406</v>
      </c>
      <c r="B348" s="4">
        <v>44839</v>
      </c>
      <c r="C348" s="4">
        <v>46143</v>
      </c>
      <c r="D348" t="s">
        <v>66</v>
      </c>
      <c r="E348">
        <v>25</v>
      </c>
      <c r="F348" t="s">
        <v>57</v>
      </c>
      <c r="G348" t="s">
        <v>48</v>
      </c>
      <c r="H348" t="s">
        <v>41</v>
      </c>
      <c r="I348" t="s">
        <v>36</v>
      </c>
      <c r="J348">
        <v>43</v>
      </c>
      <c r="K348" s="5">
        <v>1849.63</v>
      </c>
      <c r="L348" s="5">
        <v>1222.08</v>
      </c>
      <c r="M348">
        <v>49</v>
      </c>
      <c r="N348">
        <v>22</v>
      </c>
      <c r="O348">
        <v>5</v>
      </c>
      <c r="P348">
        <v>2</v>
      </c>
      <c r="Q348">
        <v>40</v>
      </c>
      <c r="R348">
        <v>2</v>
      </c>
      <c r="S348">
        <v>0</v>
      </c>
      <c r="T348">
        <v>1</v>
      </c>
      <c r="U348">
        <v>1</v>
      </c>
      <c r="V348">
        <v>1</v>
      </c>
      <c r="W348" t="s">
        <v>52</v>
      </c>
      <c r="X348">
        <v>-17</v>
      </c>
      <c r="Y348">
        <v>0</v>
      </c>
      <c r="Z348">
        <f t="shared" si="30"/>
        <v>100</v>
      </c>
      <c r="AA348">
        <f t="shared" si="31"/>
        <v>1.2191780821917808</v>
      </c>
      <c r="AB348">
        <f t="shared" si="32"/>
        <v>24</v>
      </c>
      <c r="AC348" t="str">
        <f t="shared" si="33"/>
        <v>Low</v>
      </c>
      <c r="AD348" t="str">
        <f t="shared" si="34"/>
        <v>Upsell premium bundle</v>
      </c>
      <c r="AE348">
        <f t="shared" si="35"/>
        <v>0</v>
      </c>
    </row>
    <row r="349" spans="1:31" x14ac:dyDescent="0.35">
      <c r="A349" t="s">
        <v>407</v>
      </c>
      <c r="B349" s="4">
        <v>44724</v>
      </c>
      <c r="C349" s="4">
        <v>46143</v>
      </c>
      <c r="D349" t="s">
        <v>60</v>
      </c>
      <c r="E349">
        <v>38</v>
      </c>
      <c r="F349" t="s">
        <v>33</v>
      </c>
      <c r="G349" t="s">
        <v>48</v>
      </c>
      <c r="H349" t="s">
        <v>41</v>
      </c>
      <c r="I349" t="s">
        <v>36</v>
      </c>
      <c r="J349">
        <v>47</v>
      </c>
      <c r="K349" s="5">
        <v>505.48</v>
      </c>
      <c r="L349" s="5">
        <v>0</v>
      </c>
      <c r="M349">
        <v>33</v>
      </c>
      <c r="N349">
        <v>21</v>
      </c>
      <c r="O349">
        <v>3</v>
      </c>
      <c r="P349">
        <v>2</v>
      </c>
      <c r="Q349">
        <v>28</v>
      </c>
      <c r="R349">
        <v>3</v>
      </c>
      <c r="S349">
        <v>1</v>
      </c>
      <c r="T349">
        <v>1</v>
      </c>
      <c r="U349">
        <v>0</v>
      </c>
      <c r="V349">
        <v>0</v>
      </c>
      <c r="W349" t="s">
        <v>52</v>
      </c>
      <c r="X349">
        <v>20</v>
      </c>
      <c r="Y349">
        <v>0</v>
      </c>
      <c r="Z349">
        <f t="shared" si="30"/>
        <v>83</v>
      </c>
      <c r="AA349">
        <f t="shared" si="31"/>
        <v>0.79220779220779225</v>
      </c>
      <c r="AB349">
        <f t="shared" si="32"/>
        <v>18</v>
      </c>
      <c r="AC349" t="str">
        <f t="shared" si="33"/>
        <v>Low</v>
      </c>
      <c r="AD349" t="str">
        <f t="shared" si="34"/>
        <v>Upsell premium bundle</v>
      </c>
      <c r="AE349">
        <f t="shared" si="35"/>
        <v>17</v>
      </c>
    </row>
    <row r="350" spans="1:31" x14ac:dyDescent="0.35">
      <c r="A350" t="s">
        <v>408</v>
      </c>
      <c r="B350" s="4">
        <v>46012</v>
      </c>
      <c r="C350" s="4">
        <v>46143</v>
      </c>
      <c r="D350" t="s">
        <v>72</v>
      </c>
      <c r="E350">
        <v>52</v>
      </c>
      <c r="F350" t="s">
        <v>57</v>
      </c>
      <c r="G350" t="s">
        <v>40</v>
      </c>
      <c r="H350" t="s">
        <v>35</v>
      </c>
      <c r="I350" t="s">
        <v>36</v>
      </c>
      <c r="J350">
        <v>4</v>
      </c>
      <c r="K350" s="5">
        <v>967</v>
      </c>
      <c r="L350" s="5">
        <v>1272.68</v>
      </c>
      <c r="M350">
        <v>16</v>
      </c>
      <c r="N350">
        <v>6</v>
      </c>
      <c r="O350">
        <v>3</v>
      </c>
      <c r="P350">
        <v>2</v>
      </c>
      <c r="Q350">
        <v>20</v>
      </c>
      <c r="R350">
        <v>4</v>
      </c>
      <c r="S350">
        <v>1</v>
      </c>
      <c r="T350">
        <v>1</v>
      </c>
      <c r="U350">
        <v>0</v>
      </c>
      <c r="V350">
        <v>0</v>
      </c>
      <c r="W350" t="s">
        <v>50</v>
      </c>
      <c r="X350">
        <v>-7</v>
      </c>
      <c r="Y350">
        <v>0</v>
      </c>
      <c r="Z350">
        <f t="shared" si="30"/>
        <v>46</v>
      </c>
      <c r="AA350">
        <f t="shared" si="31"/>
        <v>1.0588235294117647</v>
      </c>
      <c r="AB350">
        <f t="shared" si="32"/>
        <v>35</v>
      </c>
      <c r="AC350" t="str">
        <f t="shared" si="33"/>
        <v>Low</v>
      </c>
      <c r="AD350" t="str">
        <f t="shared" si="34"/>
        <v>Upsell premium bundle</v>
      </c>
      <c r="AE350">
        <f t="shared" si="35"/>
        <v>54</v>
      </c>
    </row>
    <row r="351" spans="1:31" x14ac:dyDescent="0.35">
      <c r="A351" t="s">
        <v>409</v>
      </c>
      <c r="B351" s="4">
        <v>45115</v>
      </c>
      <c r="C351" s="4">
        <v>46143</v>
      </c>
      <c r="D351" t="s">
        <v>39</v>
      </c>
      <c r="E351">
        <v>50</v>
      </c>
      <c r="F351" t="s">
        <v>33</v>
      </c>
      <c r="G351" t="s">
        <v>63</v>
      </c>
      <c r="H351" t="s">
        <v>41</v>
      </c>
      <c r="I351" t="s">
        <v>36</v>
      </c>
      <c r="J351">
        <v>34</v>
      </c>
      <c r="K351" s="5">
        <v>113.82</v>
      </c>
      <c r="L351" s="5">
        <v>99.86</v>
      </c>
      <c r="M351">
        <v>30</v>
      </c>
      <c r="N351">
        <v>21</v>
      </c>
      <c r="O351">
        <v>6</v>
      </c>
      <c r="P351">
        <v>2</v>
      </c>
      <c r="Q351">
        <v>26</v>
      </c>
      <c r="R351">
        <v>3</v>
      </c>
      <c r="S351">
        <v>0</v>
      </c>
      <c r="T351">
        <v>1</v>
      </c>
      <c r="U351">
        <v>1</v>
      </c>
      <c r="V351">
        <v>0</v>
      </c>
      <c r="W351" t="s">
        <v>55</v>
      </c>
      <c r="X351">
        <v>-2</v>
      </c>
      <c r="Y351">
        <v>0</v>
      </c>
      <c r="Z351">
        <f t="shared" si="30"/>
        <v>89</v>
      </c>
      <c r="AA351">
        <f t="shared" si="31"/>
        <v>0.875</v>
      </c>
      <c r="AB351">
        <f t="shared" si="32"/>
        <v>19</v>
      </c>
      <c r="AC351" t="str">
        <f t="shared" si="33"/>
        <v>Low</v>
      </c>
      <c r="AD351" t="str">
        <f t="shared" si="34"/>
        <v>Upsell premium bundle</v>
      </c>
      <c r="AE351">
        <f t="shared" si="35"/>
        <v>11</v>
      </c>
    </row>
    <row r="352" spans="1:31" x14ac:dyDescent="0.35">
      <c r="A352" t="s">
        <v>410</v>
      </c>
      <c r="B352" s="4">
        <v>44886</v>
      </c>
      <c r="C352" s="4">
        <v>46143</v>
      </c>
      <c r="D352" t="s">
        <v>39</v>
      </c>
      <c r="E352">
        <v>61</v>
      </c>
      <c r="F352" t="s">
        <v>43</v>
      </c>
      <c r="G352" t="s">
        <v>48</v>
      </c>
      <c r="H352" t="s">
        <v>41</v>
      </c>
      <c r="I352" t="s">
        <v>36</v>
      </c>
      <c r="J352">
        <v>41</v>
      </c>
      <c r="K352" s="5">
        <v>98.53</v>
      </c>
      <c r="L352" s="5">
        <v>101.42</v>
      </c>
      <c r="M352">
        <v>36</v>
      </c>
      <c r="N352">
        <v>14</v>
      </c>
      <c r="O352">
        <v>5</v>
      </c>
      <c r="P352">
        <v>7</v>
      </c>
      <c r="Q352">
        <v>25</v>
      </c>
      <c r="R352">
        <v>0</v>
      </c>
      <c r="S352">
        <v>0</v>
      </c>
      <c r="T352">
        <v>0</v>
      </c>
      <c r="U352">
        <v>0</v>
      </c>
      <c r="V352">
        <v>1</v>
      </c>
      <c r="W352" t="s">
        <v>37</v>
      </c>
      <c r="X352">
        <v>31</v>
      </c>
      <c r="Y352">
        <v>0</v>
      </c>
      <c r="Z352">
        <f t="shared" si="30"/>
        <v>95</v>
      </c>
      <c r="AA352">
        <f t="shared" si="31"/>
        <v>0.85915492957746475</v>
      </c>
      <c r="AB352">
        <f t="shared" si="32"/>
        <v>5</v>
      </c>
      <c r="AC352" t="str">
        <f t="shared" si="33"/>
        <v>Low</v>
      </c>
      <c r="AD352" t="str">
        <f t="shared" si="34"/>
        <v>Upsell premium bundle</v>
      </c>
      <c r="AE352">
        <f t="shared" si="35"/>
        <v>5</v>
      </c>
    </row>
    <row r="353" spans="1:31" x14ac:dyDescent="0.35">
      <c r="A353" t="s">
        <v>411</v>
      </c>
      <c r="B353" s="4">
        <v>45973</v>
      </c>
      <c r="C353" s="4">
        <v>46143</v>
      </c>
      <c r="D353" t="s">
        <v>39</v>
      </c>
      <c r="E353">
        <v>45</v>
      </c>
      <c r="F353" t="s">
        <v>57</v>
      </c>
      <c r="G353" t="s">
        <v>48</v>
      </c>
      <c r="H353" t="s">
        <v>41</v>
      </c>
      <c r="I353" t="s">
        <v>49</v>
      </c>
      <c r="J353">
        <v>5</v>
      </c>
      <c r="K353" s="5">
        <v>1422.54</v>
      </c>
      <c r="L353" s="5">
        <v>649.22</v>
      </c>
      <c r="M353">
        <v>9</v>
      </c>
      <c r="N353">
        <v>5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1</v>
      </c>
      <c r="W353" t="s">
        <v>55</v>
      </c>
      <c r="X353">
        <v>0</v>
      </c>
      <c r="Y353">
        <v>1</v>
      </c>
      <c r="Z353">
        <f t="shared" si="30"/>
        <v>28</v>
      </c>
      <c r="AA353">
        <f t="shared" si="31"/>
        <v>0.25714285714285712</v>
      </c>
      <c r="AB353">
        <f t="shared" si="32"/>
        <v>61</v>
      </c>
      <c r="AC353" t="str">
        <f t="shared" si="33"/>
        <v>Medium</v>
      </c>
      <c r="AD353" t="str">
        <f t="shared" si="34"/>
        <v>Nudge core feature adoption</v>
      </c>
      <c r="AE353">
        <f t="shared" si="35"/>
        <v>72</v>
      </c>
    </row>
    <row r="354" spans="1:31" x14ac:dyDescent="0.35">
      <c r="A354" t="s">
        <v>412</v>
      </c>
      <c r="B354" s="4">
        <v>46023</v>
      </c>
      <c r="C354" s="4">
        <v>46143</v>
      </c>
      <c r="D354" t="s">
        <v>72</v>
      </c>
      <c r="E354">
        <v>44</v>
      </c>
      <c r="F354" t="s">
        <v>33</v>
      </c>
      <c r="G354" t="s">
        <v>34</v>
      </c>
      <c r="H354" t="s">
        <v>58</v>
      </c>
      <c r="I354" t="s">
        <v>36</v>
      </c>
      <c r="J354">
        <v>4</v>
      </c>
      <c r="K354" s="5">
        <v>109.43</v>
      </c>
      <c r="L354" s="5">
        <v>302.75</v>
      </c>
      <c r="M354">
        <v>30</v>
      </c>
      <c r="N354">
        <v>11</v>
      </c>
      <c r="O354">
        <v>5</v>
      </c>
      <c r="P354">
        <v>1</v>
      </c>
      <c r="Q354">
        <v>10</v>
      </c>
      <c r="R354">
        <v>0</v>
      </c>
      <c r="S354">
        <v>1</v>
      </c>
      <c r="T354">
        <v>1</v>
      </c>
      <c r="U354">
        <v>1</v>
      </c>
      <c r="V354">
        <v>1</v>
      </c>
      <c r="W354" t="s">
        <v>45</v>
      </c>
      <c r="X354">
        <v>14</v>
      </c>
      <c r="Y354">
        <v>0</v>
      </c>
      <c r="Z354">
        <f t="shared" si="30"/>
        <v>72</v>
      </c>
      <c r="AA354">
        <f t="shared" si="31"/>
        <v>1.1764705882352942</v>
      </c>
      <c r="AB354">
        <f t="shared" si="32"/>
        <v>20</v>
      </c>
      <c r="AC354" t="str">
        <f t="shared" si="33"/>
        <v>Low</v>
      </c>
      <c r="AD354" t="str">
        <f t="shared" si="34"/>
        <v>Upsell premium bundle</v>
      </c>
      <c r="AE354">
        <f t="shared" si="35"/>
        <v>28</v>
      </c>
    </row>
    <row r="355" spans="1:31" x14ac:dyDescent="0.35">
      <c r="A355" t="s">
        <v>413</v>
      </c>
      <c r="B355" s="4">
        <v>45241</v>
      </c>
      <c r="C355" s="4">
        <v>46143</v>
      </c>
      <c r="D355" t="s">
        <v>66</v>
      </c>
      <c r="E355">
        <v>44</v>
      </c>
      <c r="F355" t="s">
        <v>43</v>
      </c>
      <c r="G355" t="s">
        <v>34</v>
      </c>
      <c r="H355" t="s">
        <v>41</v>
      </c>
      <c r="I355" t="s">
        <v>54</v>
      </c>
      <c r="J355">
        <v>30</v>
      </c>
      <c r="K355" s="5">
        <v>91.23</v>
      </c>
      <c r="L355" s="5">
        <v>133.13</v>
      </c>
      <c r="M355">
        <v>29</v>
      </c>
      <c r="N355">
        <v>10</v>
      </c>
      <c r="O355">
        <v>6</v>
      </c>
      <c r="P355">
        <v>1</v>
      </c>
      <c r="Q355">
        <v>11</v>
      </c>
      <c r="R355">
        <v>1</v>
      </c>
      <c r="S355">
        <v>0</v>
      </c>
      <c r="T355">
        <v>1</v>
      </c>
      <c r="U355">
        <v>0</v>
      </c>
      <c r="V355">
        <v>1</v>
      </c>
      <c r="W355" t="s">
        <v>45</v>
      </c>
      <c r="X355">
        <v>-3</v>
      </c>
      <c r="Y355">
        <v>1</v>
      </c>
      <c r="Z355">
        <f t="shared" si="30"/>
        <v>64</v>
      </c>
      <c r="AA355">
        <f t="shared" si="31"/>
        <v>0.66666666666666663</v>
      </c>
      <c r="AB355">
        <f t="shared" si="32"/>
        <v>48</v>
      </c>
      <c r="AC355" t="str">
        <f t="shared" si="33"/>
        <v>Medium</v>
      </c>
      <c r="AD355" t="str">
        <f t="shared" si="34"/>
        <v>Nudge core feature adoption</v>
      </c>
      <c r="AE355">
        <f t="shared" si="35"/>
        <v>36</v>
      </c>
    </row>
    <row r="356" spans="1:31" x14ac:dyDescent="0.35">
      <c r="A356" t="s">
        <v>414</v>
      </c>
      <c r="B356" s="4">
        <v>45961</v>
      </c>
      <c r="C356" s="4">
        <v>46143</v>
      </c>
      <c r="D356" t="s">
        <v>47</v>
      </c>
      <c r="E356">
        <v>64</v>
      </c>
      <c r="F356" t="s">
        <v>57</v>
      </c>
      <c r="G356" t="s">
        <v>34</v>
      </c>
      <c r="H356" t="s">
        <v>58</v>
      </c>
      <c r="I356" t="s">
        <v>36</v>
      </c>
      <c r="J356">
        <v>6</v>
      </c>
      <c r="K356" s="5">
        <v>2047.96</v>
      </c>
      <c r="L356" s="5">
        <v>0</v>
      </c>
      <c r="M356">
        <v>24</v>
      </c>
      <c r="N356">
        <v>8</v>
      </c>
      <c r="O356">
        <v>4</v>
      </c>
      <c r="P356">
        <v>0</v>
      </c>
      <c r="Q356">
        <v>19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45</v>
      </c>
      <c r="X356">
        <v>50</v>
      </c>
      <c r="Y356">
        <v>0</v>
      </c>
      <c r="Z356">
        <f t="shared" si="30"/>
        <v>54</v>
      </c>
      <c r="AA356">
        <f t="shared" si="31"/>
        <v>1.1944444444444444</v>
      </c>
      <c r="AB356">
        <f t="shared" si="32"/>
        <v>1</v>
      </c>
      <c r="AC356" t="str">
        <f t="shared" si="33"/>
        <v>Low</v>
      </c>
      <c r="AD356" t="str">
        <f t="shared" si="34"/>
        <v>Upsell premium bundle</v>
      </c>
      <c r="AE356">
        <f t="shared" si="35"/>
        <v>46</v>
      </c>
    </row>
    <row r="357" spans="1:31" x14ac:dyDescent="0.35">
      <c r="A357" t="s">
        <v>415</v>
      </c>
      <c r="B357" s="4">
        <v>46000</v>
      </c>
      <c r="C357" s="4">
        <v>46143</v>
      </c>
      <c r="D357" t="s">
        <v>32</v>
      </c>
      <c r="E357">
        <v>40</v>
      </c>
      <c r="F357" t="s">
        <v>43</v>
      </c>
      <c r="G357" t="s">
        <v>34</v>
      </c>
      <c r="H357" t="s">
        <v>58</v>
      </c>
      <c r="I357" t="s">
        <v>36</v>
      </c>
      <c r="J357">
        <v>4</v>
      </c>
      <c r="K357" s="5">
        <v>49.71</v>
      </c>
      <c r="L357" s="5">
        <v>54.32</v>
      </c>
      <c r="M357">
        <v>30</v>
      </c>
      <c r="N357">
        <v>22</v>
      </c>
      <c r="O357">
        <v>2</v>
      </c>
      <c r="P357">
        <v>5</v>
      </c>
      <c r="Q357">
        <v>25</v>
      </c>
      <c r="R357">
        <v>3</v>
      </c>
      <c r="S357">
        <v>0</v>
      </c>
      <c r="T357">
        <v>1</v>
      </c>
      <c r="U357">
        <v>0</v>
      </c>
      <c r="V357">
        <v>1</v>
      </c>
      <c r="W357" t="s">
        <v>50</v>
      </c>
      <c r="X357">
        <v>60</v>
      </c>
      <c r="Y357">
        <v>0</v>
      </c>
      <c r="Z357">
        <f t="shared" si="30"/>
        <v>87</v>
      </c>
      <c r="AA357">
        <f t="shared" si="31"/>
        <v>1.6176470588235294</v>
      </c>
      <c r="AB357">
        <f t="shared" si="32"/>
        <v>0</v>
      </c>
      <c r="AC357" t="str">
        <f t="shared" si="33"/>
        <v>Low</v>
      </c>
      <c r="AD357" t="str">
        <f t="shared" si="34"/>
        <v>Upsell premium bundle</v>
      </c>
      <c r="AE357">
        <f t="shared" si="35"/>
        <v>13</v>
      </c>
    </row>
    <row r="358" spans="1:31" x14ac:dyDescent="0.35">
      <c r="A358" t="s">
        <v>416</v>
      </c>
      <c r="B358" s="4">
        <v>45494</v>
      </c>
      <c r="C358" s="4">
        <v>46143</v>
      </c>
      <c r="D358" t="s">
        <v>66</v>
      </c>
      <c r="E358">
        <v>55</v>
      </c>
      <c r="F358" t="s">
        <v>77</v>
      </c>
      <c r="G358" t="s">
        <v>34</v>
      </c>
      <c r="H358" t="s">
        <v>41</v>
      </c>
      <c r="I358" t="s">
        <v>36</v>
      </c>
      <c r="J358">
        <v>21</v>
      </c>
      <c r="K358" s="5">
        <v>8582.2099999999991</v>
      </c>
      <c r="L358" s="5">
        <v>0</v>
      </c>
      <c r="M358">
        <v>21</v>
      </c>
      <c r="N358">
        <v>13</v>
      </c>
      <c r="O358">
        <v>2</v>
      </c>
      <c r="P358">
        <v>3</v>
      </c>
      <c r="Q358">
        <v>22</v>
      </c>
      <c r="R358">
        <v>3</v>
      </c>
      <c r="S358">
        <v>1</v>
      </c>
      <c r="T358">
        <v>1</v>
      </c>
      <c r="U358">
        <v>0</v>
      </c>
      <c r="V358">
        <v>0</v>
      </c>
      <c r="W358" t="s">
        <v>37</v>
      </c>
      <c r="X358">
        <v>31</v>
      </c>
      <c r="Y358">
        <v>1</v>
      </c>
      <c r="Z358">
        <f t="shared" si="30"/>
        <v>59</v>
      </c>
      <c r="AA358">
        <f t="shared" si="31"/>
        <v>0.84313725490196079</v>
      </c>
      <c r="AB358">
        <f t="shared" si="32"/>
        <v>22</v>
      </c>
      <c r="AC358" t="str">
        <f t="shared" si="33"/>
        <v>Low</v>
      </c>
      <c r="AD358" t="str">
        <f t="shared" si="34"/>
        <v>Upsell premium bundle</v>
      </c>
      <c r="AE358">
        <f t="shared" si="35"/>
        <v>41</v>
      </c>
    </row>
    <row r="359" spans="1:31" x14ac:dyDescent="0.35">
      <c r="A359" t="s">
        <v>417</v>
      </c>
      <c r="B359" s="4">
        <v>45097</v>
      </c>
      <c r="C359" s="4">
        <v>46143</v>
      </c>
      <c r="D359" t="s">
        <v>47</v>
      </c>
      <c r="E359">
        <v>25</v>
      </c>
      <c r="F359" t="s">
        <v>43</v>
      </c>
      <c r="G359" t="s">
        <v>67</v>
      </c>
      <c r="H359" t="s">
        <v>58</v>
      </c>
      <c r="I359" t="s">
        <v>36</v>
      </c>
      <c r="J359">
        <v>34</v>
      </c>
      <c r="K359" s="5">
        <v>39.57</v>
      </c>
      <c r="L359" s="5">
        <v>32.71</v>
      </c>
      <c r="M359">
        <v>49</v>
      </c>
      <c r="N359">
        <v>36</v>
      </c>
      <c r="O359">
        <v>9</v>
      </c>
      <c r="P359">
        <v>2</v>
      </c>
      <c r="Q359">
        <v>22</v>
      </c>
      <c r="R359">
        <v>3</v>
      </c>
      <c r="S359">
        <v>1</v>
      </c>
      <c r="T359">
        <v>0</v>
      </c>
      <c r="U359">
        <v>0</v>
      </c>
      <c r="V359">
        <v>0</v>
      </c>
      <c r="W359" t="s">
        <v>50</v>
      </c>
      <c r="X359">
        <v>27</v>
      </c>
      <c r="Y359">
        <v>0</v>
      </c>
      <c r="Z359">
        <f t="shared" si="30"/>
        <v>100</v>
      </c>
      <c r="AA359">
        <f t="shared" si="31"/>
        <v>1.109375</v>
      </c>
      <c r="AB359">
        <f t="shared" si="32"/>
        <v>0</v>
      </c>
      <c r="AC359" t="str">
        <f t="shared" si="33"/>
        <v>Low</v>
      </c>
      <c r="AD359" t="str">
        <f t="shared" si="34"/>
        <v>Upsell premium bundle</v>
      </c>
      <c r="AE359">
        <f t="shared" si="35"/>
        <v>0</v>
      </c>
    </row>
    <row r="360" spans="1:31" x14ac:dyDescent="0.35">
      <c r="A360" t="s">
        <v>418</v>
      </c>
      <c r="B360" s="4">
        <v>45643</v>
      </c>
      <c r="C360" s="4">
        <v>46143</v>
      </c>
      <c r="D360" t="s">
        <v>47</v>
      </c>
      <c r="E360">
        <v>61</v>
      </c>
      <c r="F360" t="s">
        <v>61</v>
      </c>
      <c r="G360" t="s">
        <v>67</v>
      </c>
      <c r="H360" t="s">
        <v>41</v>
      </c>
      <c r="I360" t="s">
        <v>36</v>
      </c>
      <c r="J360">
        <v>16</v>
      </c>
      <c r="K360" s="5">
        <v>3785.88</v>
      </c>
      <c r="L360" s="5">
        <v>937.64</v>
      </c>
      <c r="M360">
        <v>18</v>
      </c>
      <c r="N360">
        <v>6</v>
      </c>
      <c r="O360">
        <v>2</v>
      </c>
      <c r="P360">
        <v>1</v>
      </c>
      <c r="Q360">
        <v>10</v>
      </c>
      <c r="R360">
        <v>3</v>
      </c>
      <c r="S360">
        <v>0</v>
      </c>
      <c r="T360">
        <v>0</v>
      </c>
      <c r="U360">
        <v>0</v>
      </c>
      <c r="V360">
        <v>1</v>
      </c>
      <c r="W360" t="s">
        <v>55</v>
      </c>
      <c r="X360">
        <v>2</v>
      </c>
      <c r="Y360">
        <v>1</v>
      </c>
      <c r="Z360">
        <f t="shared" si="30"/>
        <v>44</v>
      </c>
      <c r="AA360">
        <f t="shared" si="31"/>
        <v>0.60869565217391308</v>
      </c>
      <c r="AB360">
        <f t="shared" si="32"/>
        <v>35</v>
      </c>
      <c r="AC360" t="str">
        <f t="shared" si="33"/>
        <v>Low</v>
      </c>
      <c r="AD360" t="str">
        <f t="shared" si="34"/>
        <v>Upsell premium bundle</v>
      </c>
      <c r="AE360">
        <f t="shared" si="35"/>
        <v>56</v>
      </c>
    </row>
    <row r="361" spans="1:31" x14ac:dyDescent="0.35">
      <c r="A361" t="s">
        <v>419</v>
      </c>
      <c r="B361" s="4">
        <v>45995</v>
      </c>
      <c r="C361" s="4">
        <v>46143</v>
      </c>
      <c r="D361" t="s">
        <v>72</v>
      </c>
      <c r="E361">
        <v>28</v>
      </c>
      <c r="F361" t="s">
        <v>43</v>
      </c>
      <c r="G361" t="s">
        <v>63</v>
      </c>
      <c r="H361" t="s">
        <v>44</v>
      </c>
      <c r="I361" t="s">
        <v>49</v>
      </c>
      <c r="J361">
        <v>4</v>
      </c>
      <c r="K361" s="5">
        <v>41.82</v>
      </c>
      <c r="L361" s="5">
        <v>108.67</v>
      </c>
      <c r="M361">
        <v>34</v>
      </c>
      <c r="N361">
        <v>8</v>
      </c>
      <c r="O361">
        <v>9</v>
      </c>
      <c r="P361">
        <v>5</v>
      </c>
      <c r="Q361">
        <v>21</v>
      </c>
      <c r="R361">
        <v>4</v>
      </c>
      <c r="S361">
        <v>2</v>
      </c>
      <c r="T361">
        <v>1</v>
      </c>
      <c r="U361">
        <v>1</v>
      </c>
      <c r="V361">
        <v>1</v>
      </c>
      <c r="W361" t="s">
        <v>37</v>
      </c>
      <c r="X361">
        <v>-26</v>
      </c>
      <c r="Y361">
        <v>1</v>
      </c>
      <c r="Z361">
        <f t="shared" si="30"/>
        <v>95</v>
      </c>
      <c r="AA361">
        <f t="shared" si="31"/>
        <v>1.6176470588235294</v>
      </c>
      <c r="AB361">
        <f t="shared" si="32"/>
        <v>49</v>
      </c>
      <c r="AC361" t="str">
        <f t="shared" si="33"/>
        <v>Medium</v>
      </c>
      <c r="AD361" t="str">
        <f t="shared" si="34"/>
        <v>Nudge core feature adoption</v>
      </c>
      <c r="AE361">
        <f t="shared" si="35"/>
        <v>5</v>
      </c>
    </row>
    <row r="362" spans="1:31" x14ac:dyDescent="0.35">
      <c r="A362" t="s">
        <v>420</v>
      </c>
      <c r="B362" s="4">
        <v>44755</v>
      </c>
      <c r="C362" s="4">
        <v>46143</v>
      </c>
      <c r="D362" t="s">
        <v>47</v>
      </c>
      <c r="E362">
        <v>28</v>
      </c>
      <c r="F362" t="s">
        <v>33</v>
      </c>
      <c r="G362" t="s">
        <v>67</v>
      </c>
      <c r="H362" t="s">
        <v>41</v>
      </c>
      <c r="I362" t="s">
        <v>36</v>
      </c>
      <c r="J362">
        <v>46</v>
      </c>
      <c r="K362" s="5">
        <v>632.21</v>
      </c>
      <c r="L362" s="5">
        <v>275.29000000000002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1</v>
      </c>
      <c r="W362" t="s">
        <v>45</v>
      </c>
      <c r="X362">
        <v>25</v>
      </c>
      <c r="Y362">
        <v>0</v>
      </c>
      <c r="Z362">
        <f t="shared" si="30"/>
        <v>9</v>
      </c>
      <c r="AA362">
        <f t="shared" si="31"/>
        <v>2.6315789473684209E-2</v>
      </c>
      <c r="AB362">
        <f t="shared" si="32"/>
        <v>42</v>
      </c>
      <c r="AC362" t="str">
        <f t="shared" si="33"/>
        <v>Medium</v>
      </c>
      <c r="AD362" t="str">
        <f t="shared" si="34"/>
        <v>Nudge core feature adoption</v>
      </c>
      <c r="AE362">
        <f t="shared" si="35"/>
        <v>91</v>
      </c>
    </row>
    <row r="363" spans="1:31" x14ac:dyDescent="0.35">
      <c r="A363" t="s">
        <v>421</v>
      </c>
      <c r="B363" s="4">
        <v>45516</v>
      </c>
      <c r="C363" s="4">
        <v>46143</v>
      </c>
      <c r="D363" t="s">
        <v>60</v>
      </c>
      <c r="E363">
        <v>34</v>
      </c>
      <c r="F363" t="s">
        <v>33</v>
      </c>
      <c r="G363" t="s">
        <v>34</v>
      </c>
      <c r="H363" t="s">
        <v>35</v>
      </c>
      <c r="I363" t="s">
        <v>36</v>
      </c>
      <c r="J363">
        <v>20</v>
      </c>
      <c r="K363" s="5">
        <v>216.46</v>
      </c>
      <c r="L363" s="5">
        <v>333.29</v>
      </c>
      <c r="M363">
        <v>18</v>
      </c>
      <c r="N363">
        <v>6</v>
      </c>
      <c r="O363">
        <v>2</v>
      </c>
      <c r="P363">
        <v>2</v>
      </c>
      <c r="Q363">
        <v>14</v>
      </c>
      <c r="R363">
        <v>0</v>
      </c>
      <c r="S363">
        <v>1</v>
      </c>
      <c r="T363">
        <v>0</v>
      </c>
      <c r="U363">
        <v>0</v>
      </c>
      <c r="V363">
        <v>0</v>
      </c>
      <c r="W363" t="s">
        <v>50</v>
      </c>
      <c r="X363">
        <v>59</v>
      </c>
      <c r="Y363">
        <v>0</v>
      </c>
      <c r="Z363">
        <f t="shared" si="30"/>
        <v>42</v>
      </c>
      <c r="AA363">
        <f t="shared" si="31"/>
        <v>0.64</v>
      </c>
      <c r="AB363">
        <f t="shared" si="32"/>
        <v>10</v>
      </c>
      <c r="AC363" t="str">
        <f t="shared" si="33"/>
        <v>Low</v>
      </c>
      <c r="AD363" t="str">
        <f t="shared" si="34"/>
        <v>Upsell premium bundle</v>
      </c>
      <c r="AE363">
        <f t="shared" si="35"/>
        <v>58</v>
      </c>
    </row>
    <row r="364" spans="1:31" x14ac:dyDescent="0.35">
      <c r="A364" t="s">
        <v>422</v>
      </c>
      <c r="B364" s="4">
        <v>44785</v>
      </c>
      <c r="C364" s="4">
        <v>46143</v>
      </c>
      <c r="D364" t="s">
        <v>66</v>
      </c>
      <c r="E364">
        <v>50</v>
      </c>
      <c r="F364" t="s">
        <v>43</v>
      </c>
      <c r="G364" t="s">
        <v>40</v>
      </c>
      <c r="H364" t="s">
        <v>41</v>
      </c>
      <c r="I364" t="s">
        <v>49</v>
      </c>
      <c r="J364">
        <v>45</v>
      </c>
      <c r="K364" s="5">
        <v>165.12</v>
      </c>
      <c r="L364" s="5">
        <v>88.35</v>
      </c>
      <c r="M364">
        <v>26</v>
      </c>
      <c r="N364">
        <v>10</v>
      </c>
      <c r="O364">
        <v>3</v>
      </c>
      <c r="P364">
        <v>4</v>
      </c>
      <c r="Q364">
        <v>26</v>
      </c>
      <c r="R364">
        <v>2</v>
      </c>
      <c r="S364">
        <v>3</v>
      </c>
      <c r="T364">
        <v>0</v>
      </c>
      <c r="U364">
        <v>0</v>
      </c>
      <c r="V364">
        <v>0</v>
      </c>
      <c r="W364" t="s">
        <v>45</v>
      </c>
      <c r="X364">
        <v>-17</v>
      </c>
      <c r="Y364">
        <v>1</v>
      </c>
      <c r="Z364">
        <f t="shared" si="30"/>
        <v>68</v>
      </c>
      <c r="AA364">
        <f t="shared" si="31"/>
        <v>0.69333333333333336</v>
      </c>
      <c r="AB364">
        <f t="shared" si="32"/>
        <v>76</v>
      </c>
      <c r="AC364" t="str">
        <f t="shared" si="33"/>
        <v>High</v>
      </c>
      <c r="AD364" t="str">
        <f t="shared" si="34"/>
        <v>Retention call</v>
      </c>
      <c r="AE364">
        <f t="shared" si="35"/>
        <v>32</v>
      </c>
    </row>
    <row r="365" spans="1:31" x14ac:dyDescent="0.35">
      <c r="A365" t="s">
        <v>423</v>
      </c>
      <c r="B365" s="4">
        <v>45632</v>
      </c>
      <c r="C365" s="4">
        <v>46143</v>
      </c>
      <c r="D365" t="s">
        <v>72</v>
      </c>
      <c r="E365">
        <v>50</v>
      </c>
      <c r="F365" t="s">
        <v>57</v>
      </c>
      <c r="G365" t="s">
        <v>67</v>
      </c>
      <c r="H365" t="s">
        <v>44</v>
      </c>
      <c r="I365" t="s">
        <v>36</v>
      </c>
      <c r="J365">
        <v>17</v>
      </c>
      <c r="K365" s="5">
        <v>1039.8499999999999</v>
      </c>
      <c r="L365" s="5">
        <v>1458.3</v>
      </c>
      <c r="M365">
        <v>39</v>
      </c>
      <c r="N365">
        <v>28</v>
      </c>
      <c r="O365">
        <v>8</v>
      </c>
      <c r="P365">
        <v>6</v>
      </c>
      <c r="Q365">
        <v>22</v>
      </c>
      <c r="R365">
        <v>2</v>
      </c>
      <c r="S365">
        <v>0</v>
      </c>
      <c r="T365">
        <v>1</v>
      </c>
      <c r="U365">
        <v>1</v>
      </c>
      <c r="V365">
        <v>0</v>
      </c>
      <c r="W365" t="s">
        <v>55</v>
      </c>
      <c r="X365">
        <v>21</v>
      </c>
      <c r="Y365">
        <v>0</v>
      </c>
      <c r="Z365">
        <f t="shared" si="30"/>
        <v>100</v>
      </c>
      <c r="AA365">
        <f t="shared" si="31"/>
        <v>1.2978723404255319</v>
      </c>
      <c r="AB365">
        <f t="shared" si="32"/>
        <v>0</v>
      </c>
      <c r="AC365" t="str">
        <f t="shared" si="33"/>
        <v>Low</v>
      </c>
      <c r="AD365" t="str">
        <f t="shared" si="34"/>
        <v>Upsell premium bundle</v>
      </c>
      <c r="AE365">
        <f t="shared" si="35"/>
        <v>0</v>
      </c>
    </row>
    <row r="366" spans="1:31" x14ac:dyDescent="0.35">
      <c r="A366" t="s">
        <v>424</v>
      </c>
      <c r="B366" s="4">
        <v>44722</v>
      </c>
      <c r="C366" s="4">
        <v>46143</v>
      </c>
      <c r="D366" t="s">
        <v>39</v>
      </c>
      <c r="E366">
        <v>72</v>
      </c>
      <c r="F366" t="s">
        <v>57</v>
      </c>
      <c r="G366" t="s">
        <v>67</v>
      </c>
      <c r="H366" t="s">
        <v>58</v>
      </c>
      <c r="I366" t="s">
        <v>54</v>
      </c>
      <c r="J366">
        <v>47</v>
      </c>
      <c r="K366" s="5">
        <v>652.12</v>
      </c>
      <c r="L366" s="5">
        <v>740.92</v>
      </c>
      <c r="M366">
        <v>27</v>
      </c>
      <c r="N366">
        <v>6</v>
      </c>
      <c r="O366">
        <v>5</v>
      </c>
      <c r="P366">
        <v>5</v>
      </c>
      <c r="Q366">
        <v>28</v>
      </c>
      <c r="R366">
        <v>0</v>
      </c>
      <c r="S366">
        <v>1</v>
      </c>
      <c r="T366">
        <v>0</v>
      </c>
      <c r="U366">
        <v>0</v>
      </c>
      <c r="V366">
        <v>0</v>
      </c>
      <c r="W366" t="s">
        <v>52</v>
      </c>
      <c r="X366">
        <v>56</v>
      </c>
      <c r="Y366">
        <v>0</v>
      </c>
      <c r="Z366">
        <f t="shared" si="30"/>
        <v>72</v>
      </c>
      <c r="AA366">
        <f t="shared" si="31"/>
        <v>0.7142857142857143</v>
      </c>
      <c r="AB366">
        <f t="shared" si="32"/>
        <v>15</v>
      </c>
      <c r="AC366" t="str">
        <f t="shared" si="33"/>
        <v>Low</v>
      </c>
      <c r="AD366" t="str">
        <f t="shared" si="34"/>
        <v>Upsell premium bundle</v>
      </c>
      <c r="AE366">
        <f t="shared" si="35"/>
        <v>28</v>
      </c>
    </row>
    <row r="367" spans="1:31" x14ac:dyDescent="0.35">
      <c r="A367" t="s">
        <v>425</v>
      </c>
      <c r="B367" s="4">
        <v>45907</v>
      </c>
      <c r="C367" s="4">
        <v>46143</v>
      </c>
      <c r="D367" t="s">
        <v>66</v>
      </c>
      <c r="E367">
        <v>33</v>
      </c>
      <c r="F367" t="s">
        <v>57</v>
      </c>
      <c r="G367" t="s">
        <v>85</v>
      </c>
      <c r="H367" t="s">
        <v>58</v>
      </c>
      <c r="I367" t="s">
        <v>36</v>
      </c>
      <c r="J367">
        <v>7</v>
      </c>
      <c r="K367" s="5">
        <v>1635.6</v>
      </c>
      <c r="L367" s="5">
        <v>104.72</v>
      </c>
      <c r="M367">
        <v>35</v>
      </c>
      <c r="N367">
        <v>20</v>
      </c>
      <c r="O367">
        <v>5</v>
      </c>
      <c r="P367">
        <v>4</v>
      </c>
      <c r="Q367">
        <v>26</v>
      </c>
      <c r="R367">
        <v>0</v>
      </c>
      <c r="S367">
        <v>2</v>
      </c>
      <c r="T367">
        <v>1</v>
      </c>
      <c r="U367">
        <v>0</v>
      </c>
      <c r="V367">
        <v>1</v>
      </c>
      <c r="W367" t="s">
        <v>50</v>
      </c>
      <c r="X367">
        <v>-15</v>
      </c>
      <c r="Y367">
        <v>0</v>
      </c>
      <c r="Z367">
        <f t="shared" si="30"/>
        <v>95</v>
      </c>
      <c r="AA367">
        <f t="shared" si="31"/>
        <v>1.6486486486486487</v>
      </c>
      <c r="AB367">
        <f t="shared" si="32"/>
        <v>34</v>
      </c>
      <c r="AC367" t="str">
        <f t="shared" si="33"/>
        <v>Low</v>
      </c>
      <c r="AD367" t="str">
        <f t="shared" si="34"/>
        <v>Upsell premium bundle</v>
      </c>
      <c r="AE367">
        <f t="shared" si="35"/>
        <v>5</v>
      </c>
    </row>
    <row r="368" spans="1:31" x14ac:dyDescent="0.35">
      <c r="A368" t="s">
        <v>426</v>
      </c>
      <c r="B368" s="4">
        <v>45035</v>
      </c>
      <c r="C368" s="4">
        <v>46143</v>
      </c>
      <c r="D368" t="s">
        <v>32</v>
      </c>
      <c r="E368">
        <v>62</v>
      </c>
      <c r="F368" t="s">
        <v>61</v>
      </c>
      <c r="G368" t="s">
        <v>48</v>
      </c>
      <c r="H368" t="s">
        <v>41</v>
      </c>
      <c r="I368" t="s">
        <v>49</v>
      </c>
      <c r="J368">
        <v>36</v>
      </c>
      <c r="K368" s="5">
        <v>3503.23</v>
      </c>
      <c r="L368" s="5">
        <v>2652.51</v>
      </c>
      <c r="M368">
        <v>27</v>
      </c>
      <c r="N368">
        <v>7</v>
      </c>
      <c r="O368">
        <v>4</v>
      </c>
      <c r="P368">
        <v>1</v>
      </c>
      <c r="Q368">
        <v>30</v>
      </c>
      <c r="R368">
        <v>2</v>
      </c>
      <c r="S368">
        <v>0</v>
      </c>
      <c r="T368">
        <v>1</v>
      </c>
      <c r="U368">
        <v>1</v>
      </c>
      <c r="V368">
        <v>1</v>
      </c>
      <c r="W368" t="s">
        <v>52</v>
      </c>
      <c r="X368">
        <v>61</v>
      </c>
      <c r="Y368">
        <v>0</v>
      </c>
      <c r="Z368">
        <f t="shared" si="30"/>
        <v>83</v>
      </c>
      <c r="AA368">
        <f t="shared" si="31"/>
        <v>0.86363636363636365</v>
      </c>
      <c r="AB368">
        <f t="shared" si="32"/>
        <v>0</v>
      </c>
      <c r="AC368" t="str">
        <f t="shared" si="33"/>
        <v>Low</v>
      </c>
      <c r="AD368" t="str">
        <f t="shared" si="34"/>
        <v>Upsell premium bundle</v>
      </c>
      <c r="AE368">
        <f t="shared" si="35"/>
        <v>17</v>
      </c>
    </row>
    <row r="369" spans="1:31" x14ac:dyDescent="0.35">
      <c r="A369" t="s">
        <v>427</v>
      </c>
      <c r="B369" s="4">
        <v>45498</v>
      </c>
      <c r="C369" s="4">
        <v>46143</v>
      </c>
      <c r="D369" t="s">
        <v>66</v>
      </c>
      <c r="E369">
        <v>39</v>
      </c>
      <c r="F369" t="s">
        <v>33</v>
      </c>
      <c r="G369" t="s">
        <v>40</v>
      </c>
      <c r="H369" t="s">
        <v>41</v>
      </c>
      <c r="I369" t="s">
        <v>36</v>
      </c>
      <c r="J369">
        <v>21</v>
      </c>
      <c r="K369" s="5">
        <v>202.68</v>
      </c>
      <c r="L369" s="5">
        <v>386.62</v>
      </c>
      <c r="M369">
        <v>20</v>
      </c>
      <c r="N369">
        <v>5</v>
      </c>
      <c r="O369">
        <v>3</v>
      </c>
      <c r="P369">
        <v>3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 t="s">
        <v>45</v>
      </c>
      <c r="X369">
        <v>13</v>
      </c>
      <c r="Y369">
        <v>0</v>
      </c>
      <c r="Z369">
        <f t="shared" si="30"/>
        <v>33</v>
      </c>
      <c r="AA369">
        <f t="shared" si="31"/>
        <v>0.39215686274509803</v>
      </c>
      <c r="AB369">
        <f t="shared" si="32"/>
        <v>38</v>
      </c>
      <c r="AC369" t="str">
        <f t="shared" si="33"/>
        <v>Low</v>
      </c>
      <c r="AD369" t="str">
        <f t="shared" si="34"/>
        <v>Upsell premium bundle</v>
      </c>
      <c r="AE369">
        <f t="shared" si="35"/>
        <v>67</v>
      </c>
    </row>
    <row r="370" spans="1:31" x14ac:dyDescent="0.35">
      <c r="A370" t="s">
        <v>428</v>
      </c>
      <c r="B370" s="4">
        <v>46075</v>
      </c>
      <c r="C370" s="4">
        <v>46143</v>
      </c>
      <c r="D370" t="s">
        <v>72</v>
      </c>
      <c r="E370">
        <v>56</v>
      </c>
      <c r="F370" t="s">
        <v>61</v>
      </c>
      <c r="G370" t="s">
        <v>34</v>
      </c>
      <c r="H370" t="s">
        <v>41</v>
      </c>
      <c r="I370" t="s">
        <v>36</v>
      </c>
      <c r="J370">
        <v>2</v>
      </c>
      <c r="K370" s="5">
        <v>4269.33</v>
      </c>
      <c r="L370" s="5">
        <v>1943.97</v>
      </c>
      <c r="M370">
        <v>14</v>
      </c>
      <c r="N370">
        <v>9</v>
      </c>
      <c r="O370">
        <v>2</v>
      </c>
      <c r="P370">
        <v>1</v>
      </c>
      <c r="Q370">
        <v>17</v>
      </c>
      <c r="R370">
        <v>1</v>
      </c>
      <c r="S370">
        <v>0</v>
      </c>
      <c r="T370">
        <v>1</v>
      </c>
      <c r="U370">
        <v>0</v>
      </c>
      <c r="V370">
        <v>1</v>
      </c>
      <c r="W370" t="s">
        <v>37</v>
      </c>
      <c r="X370">
        <v>61</v>
      </c>
      <c r="Y370">
        <v>0</v>
      </c>
      <c r="Z370">
        <f t="shared" si="30"/>
        <v>48</v>
      </c>
      <c r="AA370">
        <f t="shared" si="31"/>
        <v>0.96875</v>
      </c>
      <c r="AB370">
        <f t="shared" si="32"/>
        <v>0</v>
      </c>
      <c r="AC370" t="str">
        <f t="shared" si="33"/>
        <v>Low</v>
      </c>
      <c r="AD370" t="str">
        <f t="shared" si="34"/>
        <v>Upsell premium bundle</v>
      </c>
      <c r="AE370">
        <f t="shared" si="35"/>
        <v>52</v>
      </c>
    </row>
    <row r="371" spans="1:31" x14ac:dyDescent="0.35">
      <c r="A371" t="s">
        <v>429</v>
      </c>
      <c r="B371" s="4">
        <v>45049</v>
      </c>
      <c r="C371" s="4">
        <v>46143</v>
      </c>
      <c r="D371" t="s">
        <v>72</v>
      </c>
      <c r="E371">
        <v>67</v>
      </c>
      <c r="F371" t="s">
        <v>33</v>
      </c>
      <c r="G371" t="s">
        <v>85</v>
      </c>
      <c r="H371" t="s">
        <v>35</v>
      </c>
      <c r="I371" t="s">
        <v>36</v>
      </c>
      <c r="J371">
        <v>36</v>
      </c>
      <c r="K371" s="5">
        <v>609.66999999999996</v>
      </c>
      <c r="L371" s="5">
        <v>165.44</v>
      </c>
      <c r="M371">
        <v>47</v>
      </c>
      <c r="N371">
        <v>31</v>
      </c>
      <c r="O371">
        <v>9</v>
      </c>
      <c r="P371">
        <v>0</v>
      </c>
      <c r="Q371">
        <v>48</v>
      </c>
      <c r="R371">
        <v>2</v>
      </c>
      <c r="S371">
        <v>1</v>
      </c>
      <c r="T371">
        <v>0</v>
      </c>
      <c r="U371">
        <v>1</v>
      </c>
      <c r="V371">
        <v>0</v>
      </c>
      <c r="W371" t="s">
        <v>52</v>
      </c>
      <c r="X371">
        <v>45</v>
      </c>
      <c r="Y371">
        <v>0</v>
      </c>
      <c r="Z371">
        <f t="shared" si="30"/>
        <v>100</v>
      </c>
      <c r="AA371">
        <f t="shared" si="31"/>
        <v>1.4393939393939394</v>
      </c>
      <c r="AB371">
        <f t="shared" si="32"/>
        <v>0</v>
      </c>
      <c r="AC371" t="str">
        <f t="shared" si="33"/>
        <v>Low</v>
      </c>
      <c r="AD371" t="str">
        <f t="shared" si="34"/>
        <v>Upsell premium bundle</v>
      </c>
      <c r="AE371">
        <f t="shared" si="35"/>
        <v>0</v>
      </c>
    </row>
    <row r="372" spans="1:31" x14ac:dyDescent="0.35">
      <c r="A372" t="s">
        <v>430</v>
      </c>
      <c r="B372" s="4">
        <v>45164</v>
      </c>
      <c r="C372" s="4">
        <v>46143</v>
      </c>
      <c r="D372" t="s">
        <v>47</v>
      </c>
      <c r="E372">
        <v>57</v>
      </c>
      <c r="F372" t="s">
        <v>57</v>
      </c>
      <c r="G372" t="s">
        <v>85</v>
      </c>
      <c r="H372" t="s">
        <v>41</v>
      </c>
      <c r="I372" t="s">
        <v>49</v>
      </c>
      <c r="J372">
        <v>32</v>
      </c>
      <c r="K372" s="5">
        <v>1196.08</v>
      </c>
      <c r="L372" s="5">
        <v>291.64</v>
      </c>
      <c r="M372">
        <v>28</v>
      </c>
      <c r="N372">
        <v>17</v>
      </c>
      <c r="O372">
        <v>7</v>
      </c>
      <c r="P372">
        <v>0</v>
      </c>
      <c r="Q372">
        <v>8</v>
      </c>
      <c r="R372">
        <v>1</v>
      </c>
      <c r="S372">
        <v>1</v>
      </c>
      <c r="T372">
        <v>1</v>
      </c>
      <c r="U372">
        <v>0</v>
      </c>
      <c r="V372">
        <v>0</v>
      </c>
      <c r="W372" t="s">
        <v>50</v>
      </c>
      <c r="X372">
        <v>9</v>
      </c>
      <c r="Y372">
        <v>1</v>
      </c>
      <c r="Z372">
        <f t="shared" si="30"/>
        <v>58</v>
      </c>
      <c r="AA372">
        <f t="shared" si="31"/>
        <v>0.58064516129032262</v>
      </c>
      <c r="AB372">
        <f t="shared" si="32"/>
        <v>53</v>
      </c>
      <c r="AC372" t="str">
        <f t="shared" si="33"/>
        <v>Medium</v>
      </c>
      <c r="AD372" t="str">
        <f t="shared" si="34"/>
        <v>Nudge core feature adoption</v>
      </c>
      <c r="AE372">
        <f t="shared" si="35"/>
        <v>42</v>
      </c>
    </row>
    <row r="373" spans="1:31" x14ac:dyDescent="0.35">
      <c r="A373" t="s">
        <v>431</v>
      </c>
      <c r="B373" s="4">
        <v>44988</v>
      </c>
      <c r="C373" s="4">
        <v>46143</v>
      </c>
      <c r="D373" t="s">
        <v>32</v>
      </c>
      <c r="E373">
        <v>45</v>
      </c>
      <c r="F373" t="s">
        <v>33</v>
      </c>
      <c r="G373" t="s">
        <v>67</v>
      </c>
      <c r="H373" t="s">
        <v>58</v>
      </c>
      <c r="I373" t="s">
        <v>36</v>
      </c>
      <c r="J373">
        <v>38</v>
      </c>
      <c r="K373" s="5">
        <v>755.05</v>
      </c>
      <c r="L373" s="5">
        <v>354.07</v>
      </c>
      <c r="M373">
        <v>26</v>
      </c>
      <c r="N373">
        <v>10</v>
      </c>
      <c r="O373">
        <v>5</v>
      </c>
      <c r="P373">
        <v>4</v>
      </c>
      <c r="Q373">
        <v>21</v>
      </c>
      <c r="R373">
        <v>0</v>
      </c>
      <c r="S373">
        <v>1</v>
      </c>
      <c r="T373">
        <v>1</v>
      </c>
      <c r="U373">
        <v>0</v>
      </c>
      <c r="V373">
        <v>0</v>
      </c>
      <c r="W373" t="s">
        <v>55</v>
      </c>
      <c r="X373">
        <v>54</v>
      </c>
      <c r="Y373">
        <v>0</v>
      </c>
      <c r="Z373">
        <f t="shared" si="30"/>
        <v>66</v>
      </c>
      <c r="AA373">
        <f t="shared" si="31"/>
        <v>0.69117647058823528</v>
      </c>
      <c r="AB373">
        <f t="shared" si="32"/>
        <v>3</v>
      </c>
      <c r="AC373" t="str">
        <f t="shared" si="33"/>
        <v>Low</v>
      </c>
      <c r="AD373" t="str">
        <f t="shared" si="34"/>
        <v>Upsell premium bundle</v>
      </c>
      <c r="AE373">
        <f t="shared" si="35"/>
        <v>34</v>
      </c>
    </row>
    <row r="374" spans="1:31" x14ac:dyDescent="0.35">
      <c r="A374" t="s">
        <v>432</v>
      </c>
      <c r="B374" s="4">
        <v>45248</v>
      </c>
      <c r="C374" s="4">
        <v>46143</v>
      </c>
      <c r="D374" t="s">
        <v>66</v>
      </c>
      <c r="E374">
        <v>58</v>
      </c>
      <c r="F374" t="s">
        <v>57</v>
      </c>
      <c r="G374" t="s">
        <v>67</v>
      </c>
      <c r="H374" t="s">
        <v>41</v>
      </c>
      <c r="I374" t="s">
        <v>36</v>
      </c>
      <c r="J374">
        <v>29</v>
      </c>
      <c r="K374" s="5">
        <v>0</v>
      </c>
      <c r="L374" s="5">
        <v>1464.1</v>
      </c>
      <c r="M374">
        <v>39</v>
      </c>
      <c r="N374">
        <v>25</v>
      </c>
      <c r="O374">
        <v>3</v>
      </c>
      <c r="P374">
        <v>1</v>
      </c>
      <c r="Q374">
        <v>33</v>
      </c>
      <c r="R374">
        <v>1</v>
      </c>
      <c r="S374">
        <v>0</v>
      </c>
      <c r="T374">
        <v>0</v>
      </c>
      <c r="U374">
        <v>0</v>
      </c>
      <c r="V374">
        <v>0</v>
      </c>
      <c r="W374" t="s">
        <v>45</v>
      </c>
      <c r="X374">
        <v>87</v>
      </c>
      <c r="Y374">
        <v>0</v>
      </c>
      <c r="Z374">
        <f t="shared" si="30"/>
        <v>95</v>
      </c>
      <c r="AA374">
        <f t="shared" si="31"/>
        <v>1.2203389830508475</v>
      </c>
      <c r="AB374">
        <f t="shared" si="32"/>
        <v>0</v>
      </c>
      <c r="AC374" t="str">
        <f t="shared" si="33"/>
        <v>Low</v>
      </c>
      <c r="AD374" t="str">
        <f t="shared" si="34"/>
        <v>Upsell premium bundle</v>
      </c>
      <c r="AE374">
        <f t="shared" si="35"/>
        <v>5</v>
      </c>
    </row>
    <row r="375" spans="1:31" x14ac:dyDescent="0.35">
      <c r="A375" t="s">
        <v>433</v>
      </c>
      <c r="B375" s="4">
        <v>45104</v>
      </c>
      <c r="C375" s="4">
        <v>46143</v>
      </c>
      <c r="D375" t="s">
        <v>47</v>
      </c>
      <c r="E375">
        <v>19</v>
      </c>
      <c r="F375" t="s">
        <v>43</v>
      </c>
      <c r="G375" t="s">
        <v>40</v>
      </c>
      <c r="H375" t="s">
        <v>41</v>
      </c>
      <c r="I375" t="s">
        <v>36</v>
      </c>
      <c r="J375">
        <v>34</v>
      </c>
      <c r="K375" s="5">
        <v>73.64</v>
      </c>
      <c r="L375" s="5">
        <v>63.47</v>
      </c>
      <c r="M375">
        <v>16</v>
      </c>
      <c r="N375">
        <v>11</v>
      </c>
      <c r="O375">
        <v>3</v>
      </c>
      <c r="P375">
        <v>0</v>
      </c>
      <c r="Q375">
        <v>22</v>
      </c>
      <c r="R375">
        <v>0</v>
      </c>
      <c r="S375">
        <v>1</v>
      </c>
      <c r="T375">
        <v>1</v>
      </c>
      <c r="U375">
        <v>0</v>
      </c>
      <c r="V375">
        <v>0</v>
      </c>
      <c r="W375" t="s">
        <v>52</v>
      </c>
      <c r="X375">
        <v>28</v>
      </c>
      <c r="Y375">
        <v>0</v>
      </c>
      <c r="Z375">
        <f t="shared" si="30"/>
        <v>49</v>
      </c>
      <c r="AA375">
        <f t="shared" si="31"/>
        <v>0.59375</v>
      </c>
      <c r="AB375">
        <f t="shared" si="32"/>
        <v>32</v>
      </c>
      <c r="AC375" t="str">
        <f t="shared" si="33"/>
        <v>Low</v>
      </c>
      <c r="AD375" t="str">
        <f t="shared" si="34"/>
        <v>Upsell premium bundle</v>
      </c>
      <c r="AE375">
        <f t="shared" si="35"/>
        <v>51</v>
      </c>
    </row>
    <row r="376" spans="1:31" x14ac:dyDescent="0.35">
      <c r="A376" t="s">
        <v>434</v>
      </c>
      <c r="B376" s="4">
        <v>45738</v>
      </c>
      <c r="C376" s="4">
        <v>46143</v>
      </c>
      <c r="D376" t="s">
        <v>47</v>
      </c>
      <c r="E376">
        <v>40</v>
      </c>
      <c r="F376" t="s">
        <v>57</v>
      </c>
      <c r="G376" t="s">
        <v>67</v>
      </c>
      <c r="H376" t="s">
        <v>41</v>
      </c>
      <c r="I376" t="s">
        <v>36</v>
      </c>
      <c r="J376">
        <v>13</v>
      </c>
      <c r="K376" s="5">
        <v>1432.07</v>
      </c>
      <c r="L376" s="5">
        <v>356.67</v>
      </c>
      <c r="M376">
        <v>17</v>
      </c>
      <c r="N376">
        <v>9</v>
      </c>
      <c r="O376">
        <v>3</v>
      </c>
      <c r="P376">
        <v>2</v>
      </c>
      <c r="Q376">
        <v>17</v>
      </c>
      <c r="R376">
        <v>5</v>
      </c>
      <c r="S376">
        <v>3</v>
      </c>
      <c r="T376">
        <v>1</v>
      </c>
      <c r="U376">
        <v>0</v>
      </c>
      <c r="V376">
        <v>0</v>
      </c>
      <c r="W376" t="s">
        <v>55</v>
      </c>
      <c r="X376">
        <v>-46</v>
      </c>
      <c r="Y376">
        <v>1</v>
      </c>
      <c r="Z376">
        <f t="shared" si="30"/>
        <v>47</v>
      </c>
      <c r="AA376">
        <f t="shared" si="31"/>
        <v>0.79069767441860461</v>
      </c>
      <c r="AB376">
        <f t="shared" si="32"/>
        <v>79</v>
      </c>
      <c r="AC376" t="str">
        <f t="shared" si="33"/>
        <v>High</v>
      </c>
      <c r="AD376" t="str">
        <f t="shared" si="34"/>
        <v>Retention call</v>
      </c>
      <c r="AE376">
        <f t="shared" si="35"/>
        <v>53</v>
      </c>
    </row>
    <row r="377" spans="1:31" x14ac:dyDescent="0.35">
      <c r="A377" t="s">
        <v>435</v>
      </c>
      <c r="B377" s="4">
        <v>45952</v>
      </c>
      <c r="C377" s="4">
        <v>46143</v>
      </c>
      <c r="D377" t="s">
        <v>39</v>
      </c>
      <c r="E377">
        <v>63</v>
      </c>
      <c r="F377" t="s">
        <v>57</v>
      </c>
      <c r="G377" t="s">
        <v>48</v>
      </c>
      <c r="H377" t="s">
        <v>41</v>
      </c>
      <c r="I377" t="s">
        <v>49</v>
      </c>
      <c r="J377">
        <v>6</v>
      </c>
      <c r="K377" s="5">
        <v>2151.08</v>
      </c>
      <c r="L377" s="5">
        <v>695.29</v>
      </c>
      <c r="M377">
        <v>25</v>
      </c>
      <c r="N377">
        <v>12</v>
      </c>
      <c r="O377">
        <v>1</v>
      </c>
      <c r="P377">
        <v>1</v>
      </c>
      <c r="Q377">
        <v>30</v>
      </c>
      <c r="R377">
        <v>2</v>
      </c>
      <c r="S377">
        <v>0</v>
      </c>
      <c r="T377">
        <v>1</v>
      </c>
      <c r="U377">
        <v>1</v>
      </c>
      <c r="V377">
        <v>0</v>
      </c>
      <c r="W377" t="s">
        <v>55</v>
      </c>
      <c r="X377">
        <v>58</v>
      </c>
      <c r="Y377">
        <v>1</v>
      </c>
      <c r="Z377">
        <f t="shared" si="30"/>
        <v>74</v>
      </c>
      <c r="AA377">
        <f t="shared" si="31"/>
        <v>1.5277777777777777</v>
      </c>
      <c r="AB377">
        <f t="shared" si="32"/>
        <v>12</v>
      </c>
      <c r="AC377" t="str">
        <f t="shared" si="33"/>
        <v>Low</v>
      </c>
      <c r="AD377" t="str">
        <f t="shared" si="34"/>
        <v>Upsell premium bundle</v>
      </c>
      <c r="AE377">
        <f t="shared" si="35"/>
        <v>26</v>
      </c>
    </row>
    <row r="378" spans="1:31" x14ac:dyDescent="0.35">
      <c r="A378" t="s">
        <v>436</v>
      </c>
      <c r="B378" s="4">
        <v>45727</v>
      </c>
      <c r="C378" s="4">
        <v>46143</v>
      </c>
      <c r="D378" t="s">
        <v>66</v>
      </c>
      <c r="E378">
        <v>33</v>
      </c>
      <c r="F378" t="s">
        <v>43</v>
      </c>
      <c r="G378" t="s">
        <v>85</v>
      </c>
      <c r="H378" t="s">
        <v>41</v>
      </c>
      <c r="I378" t="s">
        <v>36</v>
      </c>
      <c r="J378">
        <v>13</v>
      </c>
      <c r="K378" s="5">
        <v>48.09</v>
      </c>
      <c r="L378" s="5">
        <v>48.24</v>
      </c>
      <c r="M378">
        <v>22</v>
      </c>
      <c r="N378">
        <v>5</v>
      </c>
      <c r="O378">
        <v>1</v>
      </c>
      <c r="P378">
        <v>0</v>
      </c>
      <c r="Q378">
        <v>13</v>
      </c>
      <c r="R378">
        <v>0</v>
      </c>
      <c r="S378">
        <v>0</v>
      </c>
      <c r="T378">
        <v>0</v>
      </c>
      <c r="U378">
        <v>0</v>
      </c>
      <c r="V378">
        <v>1</v>
      </c>
      <c r="W378" t="s">
        <v>50</v>
      </c>
      <c r="X378">
        <v>19</v>
      </c>
      <c r="Y378">
        <v>1</v>
      </c>
      <c r="Z378">
        <f t="shared" si="30"/>
        <v>48</v>
      </c>
      <c r="AA378">
        <f t="shared" si="31"/>
        <v>0.81395348837209303</v>
      </c>
      <c r="AB378">
        <f t="shared" si="32"/>
        <v>29</v>
      </c>
      <c r="AC378" t="str">
        <f t="shared" si="33"/>
        <v>Low</v>
      </c>
      <c r="AD378" t="str">
        <f t="shared" si="34"/>
        <v>Upsell premium bundle</v>
      </c>
      <c r="AE378">
        <f t="shared" si="35"/>
        <v>52</v>
      </c>
    </row>
    <row r="379" spans="1:31" x14ac:dyDescent="0.35">
      <c r="A379" t="s">
        <v>437</v>
      </c>
      <c r="B379" s="4">
        <v>46023</v>
      </c>
      <c r="C379" s="4">
        <v>46143</v>
      </c>
      <c r="D379" t="s">
        <v>47</v>
      </c>
      <c r="E379">
        <v>63</v>
      </c>
      <c r="F379" t="s">
        <v>43</v>
      </c>
      <c r="G379" t="s">
        <v>67</v>
      </c>
      <c r="H379" t="s">
        <v>41</v>
      </c>
      <c r="I379" t="s">
        <v>54</v>
      </c>
      <c r="J379">
        <v>4</v>
      </c>
      <c r="K379" s="5">
        <v>118.3</v>
      </c>
      <c r="L379" s="5">
        <v>1.52</v>
      </c>
      <c r="M379">
        <v>6</v>
      </c>
      <c r="N379">
        <v>4</v>
      </c>
      <c r="O379">
        <v>0</v>
      </c>
      <c r="P379">
        <v>0</v>
      </c>
      <c r="Q379">
        <v>6</v>
      </c>
      <c r="R379">
        <v>0</v>
      </c>
      <c r="S379">
        <v>0</v>
      </c>
      <c r="T379">
        <v>1</v>
      </c>
      <c r="U379">
        <v>0</v>
      </c>
      <c r="V379">
        <v>1</v>
      </c>
      <c r="W379" t="s">
        <v>52</v>
      </c>
      <c r="X379">
        <v>27</v>
      </c>
      <c r="Y379">
        <v>0</v>
      </c>
      <c r="Z379">
        <f t="shared" si="30"/>
        <v>22</v>
      </c>
      <c r="AA379">
        <f t="shared" si="31"/>
        <v>0.35294117647058826</v>
      </c>
      <c r="AB379">
        <f t="shared" si="32"/>
        <v>52</v>
      </c>
      <c r="AC379" t="str">
        <f t="shared" si="33"/>
        <v>Medium</v>
      </c>
      <c r="AD379" t="str">
        <f t="shared" si="34"/>
        <v>Nudge core feature adoption</v>
      </c>
      <c r="AE379">
        <f t="shared" si="35"/>
        <v>78</v>
      </c>
    </row>
    <row r="380" spans="1:31" x14ac:dyDescent="0.35">
      <c r="A380" t="s">
        <v>438</v>
      </c>
      <c r="B380" s="4">
        <v>44743</v>
      </c>
      <c r="C380" s="4">
        <v>46143</v>
      </c>
      <c r="D380" t="s">
        <v>66</v>
      </c>
      <c r="E380">
        <v>21</v>
      </c>
      <c r="F380" t="s">
        <v>57</v>
      </c>
      <c r="G380" t="s">
        <v>40</v>
      </c>
      <c r="H380" t="s">
        <v>41</v>
      </c>
      <c r="I380" t="s">
        <v>54</v>
      </c>
      <c r="J380">
        <v>46</v>
      </c>
      <c r="K380" s="5">
        <v>705.36</v>
      </c>
      <c r="L380" s="5">
        <v>838.68</v>
      </c>
      <c r="M380">
        <v>23</v>
      </c>
      <c r="N380">
        <v>13</v>
      </c>
      <c r="O380">
        <v>2</v>
      </c>
      <c r="P380">
        <v>1</v>
      </c>
      <c r="Q380">
        <v>14</v>
      </c>
      <c r="R380">
        <v>0</v>
      </c>
      <c r="S380">
        <v>2</v>
      </c>
      <c r="T380">
        <v>1</v>
      </c>
      <c r="U380">
        <v>0</v>
      </c>
      <c r="V380">
        <v>0</v>
      </c>
      <c r="W380" t="s">
        <v>50</v>
      </c>
      <c r="X380">
        <v>7</v>
      </c>
      <c r="Y380">
        <v>1</v>
      </c>
      <c r="Z380">
        <f t="shared" si="30"/>
        <v>51</v>
      </c>
      <c r="AA380">
        <f t="shared" si="31"/>
        <v>0.48684210526315791</v>
      </c>
      <c r="AB380">
        <f t="shared" si="32"/>
        <v>66</v>
      </c>
      <c r="AC380" t="str">
        <f t="shared" si="33"/>
        <v>Medium</v>
      </c>
      <c r="AD380" t="str">
        <f t="shared" si="34"/>
        <v>Nudge core feature adoption</v>
      </c>
      <c r="AE380">
        <f t="shared" si="35"/>
        <v>49</v>
      </c>
    </row>
    <row r="381" spans="1:31" x14ac:dyDescent="0.35">
      <c r="A381" t="s">
        <v>439</v>
      </c>
      <c r="B381" s="4">
        <v>45592</v>
      </c>
      <c r="C381" s="4">
        <v>46143</v>
      </c>
      <c r="D381" t="s">
        <v>47</v>
      </c>
      <c r="E381">
        <v>44</v>
      </c>
      <c r="F381" t="s">
        <v>61</v>
      </c>
      <c r="G381" t="s">
        <v>34</v>
      </c>
      <c r="H381" t="s">
        <v>41</v>
      </c>
      <c r="I381" t="s">
        <v>36</v>
      </c>
      <c r="J381">
        <v>18</v>
      </c>
      <c r="K381" s="5">
        <v>1068.47</v>
      </c>
      <c r="L381" s="5">
        <v>3211.73</v>
      </c>
      <c r="M381">
        <v>29</v>
      </c>
      <c r="N381">
        <v>8</v>
      </c>
      <c r="O381">
        <v>1</v>
      </c>
      <c r="P381">
        <v>0</v>
      </c>
      <c r="Q381">
        <v>18</v>
      </c>
      <c r="R381">
        <v>2</v>
      </c>
      <c r="S381">
        <v>0</v>
      </c>
      <c r="T381">
        <v>1</v>
      </c>
      <c r="U381">
        <v>0</v>
      </c>
      <c r="V381">
        <v>0</v>
      </c>
      <c r="W381" t="s">
        <v>50</v>
      </c>
      <c r="X381">
        <v>69</v>
      </c>
      <c r="Y381">
        <v>0</v>
      </c>
      <c r="Z381">
        <f t="shared" si="30"/>
        <v>55</v>
      </c>
      <c r="AA381">
        <f t="shared" si="31"/>
        <v>0.97916666666666663</v>
      </c>
      <c r="AB381">
        <f t="shared" si="32"/>
        <v>0</v>
      </c>
      <c r="AC381" t="str">
        <f t="shared" si="33"/>
        <v>Low</v>
      </c>
      <c r="AD381" t="str">
        <f t="shared" si="34"/>
        <v>Upsell premium bundle</v>
      </c>
      <c r="AE381">
        <f t="shared" si="35"/>
        <v>45</v>
      </c>
    </row>
    <row r="382" spans="1:31" x14ac:dyDescent="0.35">
      <c r="A382" t="s">
        <v>440</v>
      </c>
      <c r="B382" s="4">
        <v>45271</v>
      </c>
      <c r="C382" s="4">
        <v>46143</v>
      </c>
      <c r="D382" t="s">
        <v>60</v>
      </c>
      <c r="E382">
        <v>63</v>
      </c>
      <c r="F382" t="s">
        <v>57</v>
      </c>
      <c r="G382" t="s">
        <v>34</v>
      </c>
      <c r="H382" t="s">
        <v>58</v>
      </c>
      <c r="I382" t="s">
        <v>36</v>
      </c>
      <c r="J382">
        <v>29</v>
      </c>
      <c r="K382" s="5">
        <v>857.98</v>
      </c>
      <c r="L382" s="5">
        <v>996.11</v>
      </c>
      <c r="M382">
        <v>36</v>
      </c>
      <c r="N382">
        <v>14</v>
      </c>
      <c r="O382">
        <v>4</v>
      </c>
      <c r="P382">
        <v>1</v>
      </c>
      <c r="Q382">
        <v>21</v>
      </c>
      <c r="R382">
        <v>2</v>
      </c>
      <c r="S382">
        <v>1</v>
      </c>
      <c r="T382">
        <v>1</v>
      </c>
      <c r="U382">
        <v>0</v>
      </c>
      <c r="V382">
        <v>0</v>
      </c>
      <c r="W382" t="s">
        <v>37</v>
      </c>
      <c r="X382">
        <v>52</v>
      </c>
      <c r="Y382">
        <v>0</v>
      </c>
      <c r="Z382">
        <f t="shared" si="30"/>
        <v>75</v>
      </c>
      <c r="AA382">
        <f t="shared" si="31"/>
        <v>0.96610169491525422</v>
      </c>
      <c r="AB382">
        <f t="shared" si="32"/>
        <v>0</v>
      </c>
      <c r="AC382" t="str">
        <f t="shared" si="33"/>
        <v>Low</v>
      </c>
      <c r="AD382" t="str">
        <f t="shared" si="34"/>
        <v>Upsell premium bundle</v>
      </c>
      <c r="AE382">
        <f t="shared" si="35"/>
        <v>25</v>
      </c>
    </row>
    <row r="383" spans="1:31" x14ac:dyDescent="0.35">
      <c r="A383" t="s">
        <v>441</v>
      </c>
      <c r="B383" s="4">
        <v>44968</v>
      </c>
      <c r="C383" s="4">
        <v>46143</v>
      </c>
      <c r="D383" t="s">
        <v>32</v>
      </c>
      <c r="E383">
        <v>43</v>
      </c>
      <c r="F383" t="s">
        <v>33</v>
      </c>
      <c r="G383" t="s">
        <v>63</v>
      </c>
      <c r="H383" t="s">
        <v>58</v>
      </c>
      <c r="I383" t="s">
        <v>36</v>
      </c>
      <c r="J383">
        <v>39</v>
      </c>
      <c r="K383" s="5">
        <v>69.45</v>
      </c>
      <c r="L383" s="5">
        <v>181.52</v>
      </c>
      <c r="M383">
        <v>49</v>
      </c>
      <c r="N383">
        <v>31</v>
      </c>
      <c r="O383">
        <v>8</v>
      </c>
      <c r="P383">
        <v>5</v>
      </c>
      <c r="Q383">
        <v>39</v>
      </c>
      <c r="R383">
        <v>0</v>
      </c>
      <c r="S383">
        <v>0</v>
      </c>
      <c r="T383">
        <v>1</v>
      </c>
      <c r="U383">
        <v>0</v>
      </c>
      <c r="V383">
        <v>1</v>
      </c>
      <c r="W383" t="s">
        <v>52</v>
      </c>
      <c r="X383">
        <v>87</v>
      </c>
      <c r="Y383">
        <v>0</v>
      </c>
      <c r="Z383">
        <f t="shared" si="30"/>
        <v>100</v>
      </c>
      <c r="AA383">
        <f t="shared" si="31"/>
        <v>1.2753623188405796</v>
      </c>
      <c r="AB383">
        <f t="shared" si="32"/>
        <v>0</v>
      </c>
      <c r="AC383" t="str">
        <f t="shared" si="33"/>
        <v>Low</v>
      </c>
      <c r="AD383" t="str">
        <f t="shared" si="34"/>
        <v>Upsell premium bundle</v>
      </c>
      <c r="AE383">
        <f t="shared" si="35"/>
        <v>0</v>
      </c>
    </row>
    <row r="384" spans="1:31" x14ac:dyDescent="0.35">
      <c r="A384" t="s">
        <v>442</v>
      </c>
      <c r="B384" s="4">
        <v>45821</v>
      </c>
      <c r="C384" s="4">
        <v>46143</v>
      </c>
      <c r="D384" t="s">
        <v>72</v>
      </c>
      <c r="E384">
        <v>51</v>
      </c>
      <c r="F384" t="s">
        <v>61</v>
      </c>
      <c r="G384" t="s">
        <v>48</v>
      </c>
      <c r="H384" t="s">
        <v>58</v>
      </c>
      <c r="I384" t="s">
        <v>36</v>
      </c>
      <c r="J384">
        <v>10</v>
      </c>
      <c r="K384" s="5">
        <v>6578.73</v>
      </c>
      <c r="L384" s="5">
        <v>2843.12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45</v>
      </c>
      <c r="X384">
        <v>22</v>
      </c>
      <c r="Y384">
        <v>1</v>
      </c>
      <c r="Z384">
        <f t="shared" si="30"/>
        <v>3</v>
      </c>
      <c r="AA384">
        <f t="shared" si="31"/>
        <v>7.4999999999999997E-2</v>
      </c>
      <c r="AB384">
        <f t="shared" si="32"/>
        <v>26</v>
      </c>
      <c r="AC384" t="str">
        <f t="shared" si="33"/>
        <v>Low</v>
      </c>
      <c r="AD384" t="str">
        <f t="shared" si="34"/>
        <v>Upsell premium bundle</v>
      </c>
      <c r="AE384">
        <f t="shared" si="35"/>
        <v>97</v>
      </c>
    </row>
    <row r="385" spans="1:31" x14ac:dyDescent="0.35">
      <c r="A385" t="s">
        <v>443</v>
      </c>
      <c r="B385" s="4">
        <v>45120</v>
      </c>
      <c r="C385" s="4">
        <v>46143</v>
      </c>
      <c r="D385" t="s">
        <v>39</v>
      </c>
      <c r="E385">
        <v>34</v>
      </c>
      <c r="F385" t="s">
        <v>33</v>
      </c>
      <c r="G385" t="s">
        <v>40</v>
      </c>
      <c r="H385" t="s">
        <v>58</v>
      </c>
      <c r="I385" t="s">
        <v>36</v>
      </c>
      <c r="J385">
        <v>34</v>
      </c>
      <c r="K385" s="5">
        <v>631.07000000000005</v>
      </c>
      <c r="L385" s="5">
        <v>524.67999999999995</v>
      </c>
      <c r="M385">
        <v>15</v>
      </c>
      <c r="N385">
        <v>4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 t="s">
        <v>45</v>
      </c>
      <c r="X385">
        <v>-35</v>
      </c>
      <c r="Y385">
        <v>1</v>
      </c>
      <c r="Z385">
        <f t="shared" si="30"/>
        <v>39</v>
      </c>
      <c r="AA385">
        <f t="shared" si="31"/>
        <v>0.234375</v>
      </c>
      <c r="AB385">
        <f t="shared" si="32"/>
        <v>50</v>
      </c>
      <c r="AC385" t="str">
        <f t="shared" si="33"/>
        <v>Medium</v>
      </c>
      <c r="AD385" t="str">
        <f t="shared" si="34"/>
        <v>Nudge core feature adoption</v>
      </c>
      <c r="AE385">
        <f t="shared" si="35"/>
        <v>61</v>
      </c>
    </row>
    <row r="386" spans="1:31" x14ac:dyDescent="0.35">
      <c r="A386" t="s">
        <v>444</v>
      </c>
      <c r="B386" s="4">
        <v>45292</v>
      </c>
      <c r="C386" s="4">
        <v>46143</v>
      </c>
      <c r="D386" t="s">
        <v>72</v>
      </c>
      <c r="E386">
        <v>50</v>
      </c>
      <c r="F386" t="s">
        <v>57</v>
      </c>
      <c r="G386" t="s">
        <v>67</v>
      </c>
      <c r="H386" t="s">
        <v>41</v>
      </c>
      <c r="I386" t="s">
        <v>36</v>
      </c>
      <c r="J386">
        <v>28</v>
      </c>
      <c r="K386" s="5">
        <v>1584.68</v>
      </c>
      <c r="L386" s="5">
        <v>0</v>
      </c>
      <c r="M386">
        <v>21</v>
      </c>
      <c r="N386">
        <v>5</v>
      </c>
      <c r="O386">
        <v>3</v>
      </c>
      <c r="P386">
        <v>2</v>
      </c>
      <c r="Q386">
        <v>23</v>
      </c>
      <c r="R386">
        <v>2</v>
      </c>
      <c r="S386">
        <v>1</v>
      </c>
      <c r="T386">
        <v>1</v>
      </c>
      <c r="U386">
        <v>0</v>
      </c>
      <c r="V386">
        <v>0</v>
      </c>
      <c r="W386" t="s">
        <v>55</v>
      </c>
      <c r="X386">
        <v>14</v>
      </c>
      <c r="Y386">
        <v>1</v>
      </c>
      <c r="Z386">
        <f t="shared" ref="Z386:Z449" si="36">MIN(100,ROUND((M386*1.1+N386*0.7+O386*1.2+P386*1.4+Q386*0.9+U386*8+V386*7),0))</f>
        <v>54</v>
      </c>
      <c r="AA386">
        <f t="shared" ref="AA386:AA449" si="37">IFERROR((M386+Q386)/(30+J386),0)</f>
        <v>0.75862068965517238</v>
      </c>
      <c r="AB386">
        <f t="shared" ref="AB386:AB449" si="38">ROUND(MIN(100,MAX(0,60-Z386*0.4-R386*1.5+S386*8-IF(L386&gt;1500,10,0)-X386*0.5+IF(I386="Completed",-8,8)+IF(H386="Free",6,-4))),0)</f>
        <v>34</v>
      </c>
      <c r="AC386" t="str">
        <f t="shared" ref="AC386:AC449" si="39">IF(AB386&gt;=70,"High",IF(AB386&gt;=40,"Medium","Low"))</f>
        <v>Low</v>
      </c>
      <c r="AD386" t="str">
        <f t="shared" ref="AD386:AD449" si="40">IF(AC386="High",IF(Q386&lt;5,"Re-engage with app usage offer",IF(K386&lt;100,"Deposit incentive","Retention call")),IF(AC386="Medium","Nudge core feature adoption","Upsell premium bundle"))</f>
        <v>Upsell premium bundle</v>
      </c>
      <c r="AE386">
        <f t="shared" ref="AE386:AE449" si="41">100-Z386</f>
        <v>46</v>
      </c>
    </row>
    <row r="387" spans="1:31" x14ac:dyDescent="0.35">
      <c r="A387" t="s">
        <v>445</v>
      </c>
      <c r="B387" s="4">
        <v>45196</v>
      </c>
      <c r="C387" s="4">
        <v>46143</v>
      </c>
      <c r="D387" t="s">
        <v>72</v>
      </c>
      <c r="E387">
        <v>70</v>
      </c>
      <c r="F387" t="s">
        <v>33</v>
      </c>
      <c r="G387" t="s">
        <v>67</v>
      </c>
      <c r="H387" t="s">
        <v>58</v>
      </c>
      <c r="I387" t="s">
        <v>36</v>
      </c>
      <c r="J387">
        <v>31</v>
      </c>
      <c r="K387" s="5">
        <v>430.75</v>
      </c>
      <c r="L387" s="5">
        <v>303.60000000000002</v>
      </c>
      <c r="M387">
        <v>12</v>
      </c>
      <c r="N387">
        <v>7</v>
      </c>
      <c r="O387">
        <v>2</v>
      </c>
      <c r="P387">
        <v>1</v>
      </c>
      <c r="Q387">
        <v>19</v>
      </c>
      <c r="R387">
        <v>2</v>
      </c>
      <c r="S387">
        <v>1</v>
      </c>
      <c r="T387">
        <v>0</v>
      </c>
      <c r="U387">
        <v>0</v>
      </c>
      <c r="V387">
        <v>0</v>
      </c>
      <c r="W387" t="s">
        <v>37</v>
      </c>
      <c r="X387">
        <v>28</v>
      </c>
      <c r="Y387">
        <v>1</v>
      </c>
      <c r="Z387">
        <f t="shared" si="36"/>
        <v>39</v>
      </c>
      <c r="AA387">
        <f t="shared" si="37"/>
        <v>0.50819672131147542</v>
      </c>
      <c r="AB387">
        <f t="shared" si="38"/>
        <v>23</v>
      </c>
      <c r="AC387" t="str">
        <f t="shared" si="39"/>
        <v>Low</v>
      </c>
      <c r="AD387" t="str">
        <f t="shared" si="40"/>
        <v>Upsell premium bundle</v>
      </c>
      <c r="AE387">
        <f t="shared" si="41"/>
        <v>61</v>
      </c>
    </row>
    <row r="388" spans="1:31" x14ac:dyDescent="0.35">
      <c r="A388" t="s">
        <v>446</v>
      </c>
      <c r="B388" s="4">
        <v>45337</v>
      </c>
      <c r="C388" s="4">
        <v>46143</v>
      </c>
      <c r="D388" t="s">
        <v>72</v>
      </c>
      <c r="E388">
        <v>40</v>
      </c>
      <c r="F388" t="s">
        <v>57</v>
      </c>
      <c r="G388" t="s">
        <v>63</v>
      </c>
      <c r="H388" t="s">
        <v>58</v>
      </c>
      <c r="I388" t="s">
        <v>36</v>
      </c>
      <c r="J388">
        <v>26</v>
      </c>
      <c r="K388" s="5">
        <v>1192.22</v>
      </c>
      <c r="L388" s="5">
        <v>1312.36</v>
      </c>
      <c r="M388">
        <v>26</v>
      </c>
      <c r="N388">
        <v>18</v>
      </c>
      <c r="O388">
        <v>2</v>
      </c>
      <c r="P388">
        <v>1</v>
      </c>
      <c r="Q388">
        <v>20</v>
      </c>
      <c r="R388">
        <v>3</v>
      </c>
      <c r="S388">
        <v>3</v>
      </c>
      <c r="T388">
        <v>1</v>
      </c>
      <c r="U388">
        <v>0</v>
      </c>
      <c r="V388">
        <v>0</v>
      </c>
      <c r="W388" t="s">
        <v>45</v>
      </c>
      <c r="X388">
        <v>8</v>
      </c>
      <c r="Y388">
        <v>1</v>
      </c>
      <c r="Z388">
        <f t="shared" si="36"/>
        <v>63</v>
      </c>
      <c r="AA388">
        <f t="shared" si="37"/>
        <v>0.8214285714285714</v>
      </c>
      <c r="AB388">
        <f t="shared" si="38"/>
        <v>38</v>
      </c>
      <c r="AC388" t="str">
        <f t="shared" si="39"/>
        <v>Low</v>
      </c>
      <c r="AD388" t="str">
        <f t="shared" si="40"/>
        <v>Upsell premium bundle</v>
      </c>
      <c r="AE388">
        <f t="shared" si="41"/>
        <v>37</v>
      </c>
    </row>
    <row r="389" spans="1:31" x14ac:dyDescent="0.35">
      <c r="A389" t="s">
        <v>447</v>
      </c>
      <c r="B389" s="4">
        <v>44781</v>
      </c>
      <c r="C389" s="4">
        <v>46143</v>
      </c>
      <c r="D389" t="s">
        <v>72</v>
      </c>
      <c r="E389">
        <v>66</v>
      </c>
      <c r="F389" t="s">
        <v>33</v>
      </c>
      <c r="G389" t="s">
        <v>40</v>
      </c>
      <c r="H389" t="s">
        <v>44</v>
      </c>
      <c r="I389" t="s">
        <v>36</v>
      </c>
      <c r="J389">
        <v>45</v>
      </c>
      <c r="K389" s="5">
        <v>622.30999999999995</v>
      </c>
      <c r="L389" s="5">
        <v>200.16</v>
      </c>
      <c r="M389">
        <v>49</v>
      </c>
      <c r="N389">
        <v>13</v>
      </c>
      <c r="O389">
        <v>10</v>
      </c>
      <c r="P389">
        <v>10</v>
      </c>
      <c r="Q389">
        <v>38</v>
      </c>
      <c r="R389">
        <v>2</v>
      </c>
      <c r="S389">
        <v>0</v>
      </c>
      <c r="T389">
        <v>0</v>
      </c>
      <c r="U389">
        <v>0</v>
      </c>
      <c r="V389">
        <v>0</v>
      </c>
      <c r="W389" t="s">
        <v>37</v>
      </c>
      <c r="X389">
        <v>100</v>
      </c>
      <c r="Y389">
        <v>0</v>
      </c>
      <c r="Z389">
        <f t="shared" si="36"/>
        <v>100</v>
      </c>
      <c r="AA389">
        <f t="shared" si="37"/>
        <v>1.1599999999999999</v>
      </c>
      <c r="AB389">
        <f t="shared" si="38"/>
        <v>0</v>
      </c>
      <c r="AC389" t="str">
        <f t="shared" si="39"/>
        <v>Low</v>
      </c>
      <c r="AD389" t="str">
        <f t="shared" si="40"/>
        <v>Upsell premium bundle</v>
      </c>
      <c r="AE389">
        <f t="shared" si="41"/>
        <v>0</v>
      </c>
    </row>
    <row r="390" spans="1:31" x14ac:dyDescent="0.35">
      <c r="A390" t="s">
        <v>448</v>
      </c>
      <c r="B390" s="4">
        <v>45974</v>
      </c>
      <c r="C390" s="4">
        <v>46143</v>
      </c>
      <c r="D390" t="s">
        <v>39</v>
      </c>
      <c r="E390">
        <v>67</v>
      </c>
      <c r="F390" t="s">
        <v>33</v>
      </c>
      <c r="G390" t="s">
        <v>34</v>
      </c>
      <c r="H390" t="s">
        <v>41</v>
      </c>
      <c r="I390" t="s">
        <v>36</v>
      </c>
      <c r="J390">
        <v>5</v>
      </c>
      <c r="K390" s="5">
        <v>0</v>
      </c>
      <c r="L390" s="5">
        <v>143.76</v>
      </c>
      <c r="M390">
        <v>12</v>
      </c>
      <c r="N390">
        <v>4</v>
      </c>
      <c r="O390">
        <v>2</v>
      </c>
      <c r="P390">
        <v>2</v>
      </c>
      <c r="Q390">
        <v>13</v>
      </c>
      <c r="R390">
        <v>1</v>
      </c>
      <c r="S390">
        <v>1</v>
      </c>
      <c r="T390">
        <v>1</v>
      </c>
      <c r="U390">
        <v>0</v>
      </c>
      <c r="V390">
        <v>1</v>
      </c>
      <c r="W390" t="s">
        <v>52</v>
      </c>
      <c r="X390">
        <v>5</v>
      </c>
      <c r="Y390">
        <v>1</v>
      </c>
      <c r="Z390">
        <f t="shared" si="36"/>
        <v>40</v>
      </c>
      <c r="AA390">
        <f t="shared" si="37"/>
        <v>0.7142857142857143</v>
      </c>
      <c r="AB390">
        <f t="shared" si="38"/>
        <v>46</v>
      </c>
      <c r="AC390" t="str">
        <f t="shared" si="39"/>
        <v>Medium</v>
      </c>
      <c r="AD390" t="str">
        <f t="shared" si="40"/>
        <v>Nudge core feature adoption</v>
      </c>
      <c r="AE390">
        <f t="shared" si="41"/>
        <v>60</v>
      </c>
    </row>
    <row r="391" spans="1:31" x14ac:dyDescent="0.35">
      <c r="A391" t="s">
        <v>449</v>
      </c>
      <c r="B391" s="4">
        <v>45775</v>
      </c>
      <c r="C391" s="4">
        <v>46143</v>
      </c>
      <c r="D391" t="s">
        <v>47</v>
      </c>
      <c r="E391">
        <v>20</v>
      </c>
      <c r="F391" t="s">
        <v>33</v>
      </c>
      <c r="G391" t="s">
        <v>40</v>
      </c>
      <c r="H391" t="s">
        <v>58</v>
      </c>
      <c r="I391" t="s">
        <v>36</v>
      </c>
      <c r="J391">
        <v>12</v>
      </c>
      <c r="K391" s="5">
        <v>546.12</v>
      </c>
      <c r="L391" s="5">
        <v>93.03</v>
      </c>
      <c r="M391">
        <v>36</v>
      </c>
      <c r="N391">
        <v>9</v>
      </c>
      <c r="O391">
        <v>3</v>
      </c>
      <c r="P391">
        <v>7</v>
      </c>
      <c r="Q391">
        <v>18</v>
      </c>
      <c r="R391">
        <v>1</v>
      </c>
      <c r="S391">
        <v>1</v>
      </c>
      <c r="T391">
        <v>1</v>
      </c>
      <c r="U391">
        <v>0</v>
      </c>
      <c r="V391">
        <v>1</v>
      </c>
      <c r="W391" t="s">
        <v>55</v>
      </c>
      <c r="X391">
        <v>29</v>
      </c>
      <c r="Y391">
        <v>1</v>
      </c>
      <c r="Z391">
        <f t="shared" si="36"/>
        <v>83</v>
      </c>
      <c r="AA391">
        <f t="shared" si="37"/>
        <v>1.2857142857142858</v>
      </c>
      <c r="AB391">
        <f t="shared" si="38"/>
        <v>7</v>
      </c>
      <c r="AC391" t="str">
        <f t="shared" si="39"/>
        <v>Low</v>
      </c>
      <c r="AD391" t="str">
        <f t="shared" si="40"/>
        <v>Upsell premium bundle</v>
      </c>
      <c r="AE391">
        <f t="shared" si="41"/>
        <v>17</v>
      </c>
    </row>
    <row r="392" spans="1:31" x14ac:dyDescent="0.35">
      <c r="A392" t="s">
        <v>450</v>
      </c>
      <c r="B392" s="4">
        <v>45245</v>
      </c>
      <c r="C392" s="4">
        <v>46143</v>
      </c>
      <c r="D392" t="s">
        <v>72</v>
      </c>
      <c r="E392">
        <v>54</v>
      </c>
      <c r="F392" t="s">
        <v>77</v>
      </c>
      <c r="G392" t="s">
        <v>34</v>
      </c>
      <c r="H392" t="s">
        <v>41</v>
      </c>
      <c r="I392" t="s">
        <v>36</v>
      </c>
      <c r="J392">
        <v>29</v>
      </c>
      <c r="K392" s="5">
        <v>11426.74</v>
      </c>
      <c r="L392" s="5">
        <v>1018.52</v>
      </c>
      <c r="M392">
        <v>29</v>
      </c>
      <c r="N392">
        <v>19</v>
      </c>
      <c r="O392">
        <v>5</v>
      </c>
      <c r="P392">
        <v>0</v>
      </c>
      <c r="Q392">
        <v>19</v>
      </c>
      <c r="R392">
        <v>0</v>
      </c>
      <c r="S392">
        <v>0</v>
      </c>
      <c r="T392">
        <v>0</v>
      </c>
      <c r="U392">
        <v>1</v>
      </c>
      <c r="V392">
        <v>0</v>
      </c>
      <c r="W392" t="s">
        <v>50</v>
      </c>
      <c r="X392">
        <v>57</v>
      </c>
      <c r="Y392">
        <v>0</v>
      </c>
      <c r="Z392">
        <f t="shared" si="36"/>
        <v>76</v>
      </c>
      <c r="AA392">
        <f t="shared" si="37"/>
        <v>0.81355932203389836</v>
      </c>
      <c r="AB392">
        <f t="shared" si="38"/>
        <v>0</v>
      </c>
      <c r="AC392" t="str">
        <f t="shared" si="39"/>
        <v>Low</v>
      </c>
      <c r="AD392" t="str">
        <f t="shared" si="40"/>
        <v>Upsell premium bundle</v>
      </c>
      <c r="AE392">
        <f t="shared" si="41"/>
        <v>24</v>
      </c>
    </row>
    <row r="393" spans="1:31" x14ac:dyDescent="0.35">
      <c r="A393" t="s">
        <v>451</v>
      </c>
      <c r="B393" s="4">
        <v>46062</v>
      </c>
      <c r="C393" s="4">
        <v>46143</v>
      </c>
      <c r="D393" t="s">
        <v>60</v>
      </c>
      <c r="E393">
        <v>32</v>
      </c>
      <c r="F393" t="s">
        <v>43</v>
      </c>
      <c r="G393" t="s">
        <v>48</v>
      </c>
      <c r="H393" t="s">
        <v>41</v>
      </c>
      <c r="I393" t="s">
        <v>36</v>
      </c>
      <c r="J393">
        <v>2</v>
      </c>
      <c r="K393" s="5">
        <v>65.27</v>
      </c>
      <c r="L393" s="5">
        <v>0</v>
      </c>
      <c r="M393">
        <v>28</v>
      </c>
      <c r="N393">
        <v>8</v>
      </c>
      <c r="O393">
        <v>2</v>
      </c>
      <c r="P393">
        <v>2</v>
      </c>
      <c r="Q393">
        <v>23</v>
      </c>
      <c r="R393">
        <v>0</v>
      </c>
      <c r="S393">
        <v>0</v>
      </c>
      <c r="T393">
        <v>1</v>
      </c>
      <c r="U393">
        <v>0</v>
      </c>
      <c r="V393">
        <v>1</v>
      </c>
      <c r="W393" t="s">
        <v>45</v>
      </c>
      <c r="X393">
        <v>65</v>
      </c>
      <c r="Y393">
        <v>0</v>
      </c>
      <c r="Z393">
        <f t="shared" si="36"/>
        <v>69</v>
      </c>
      <c r="AA393">
        <f t="shared" si="37"/>
        <v>1.59375</v>
      </c>
      <c r="AB393">
        <f t="shared" si="38"/>
        <v>0</v>
      </c>
      <c r="AC393" t="str">
        <f t="shared" si="39"/>
        <v>Low</v>
      </c>
      <c r="AD393" t="str">
        <f t="shared" si="40"/>
        <v>Upsell premium bundle</v>
      </c>
      <c r="AE393">
        <f t="shared" si="41"/>
        <v>31</v>
      </c>
    </row>
    <row r="394" spans="1:31" x14ac:dyDescent="0.35">
      <c r="A394" t="s">
        <v>452</v>
      </c>
      <c r="B394" s="4">
        <v>44699</v>
      </c>
      <c r="C394" s="4">
        <v>46143</v>
      </c>
      <c r="D394" t="s">
        <v>72</v>
      </c>
      <c r="E394">
        <v>58</v>
      </c>
      <c r="F394" t="s">
        <v>57</v>
      </c>
      <c r="G394" t="s">
        <v>34</v>
      </c>
      <c r="H394" t="s">
        <v>58</v>
      </c>
      <c r="I394" t="s">
        <v>36</v>
      </c>
      <c r="J394">
        <v>48</v>
      </c>
      <c r="K394" s="5">
        <v>1407.8</v>
      </c>
      <c r="L394" s="5">
        <v>0</v>
      </c>
      <c r="M394">
        <v>32</v>
      </c>
      <c r="N394">
        <v>20</v>
      </c>
      <c r="O394">
        <v>3</v>
      </c>
      <c r="P394">
        <v>1</v>
      </c>
      <c r="Q394">
        <v>18</v>
      </c>
      <c r="R394">
        <v>0</v>
      </c>
      <c r="S394">
        <v>2</v>
      </c>
      <c r="T394">
        <v>1</v>
      </c>
      <c r="U394">
        <v>0</v>
      </c>
      <c r="V394">
        <v>0</v>
      </c>
      <c r="W394" t="s">
        <v>52</v>
      </c>
      <c r="X394">
        <v>14</v>
      </c>
      <c r="Y394">
        <v>0</v>
      </c>
      <c r="Z394">
        <f t="shared" si="36"/>
        <v>70</v>
      </c>
      <c r="AA394">
        <f t="shared" si="37"/>
        <v>0.64102564102564108</v>
      </c>
      <c r="AB394">
        <f t="shared" si="38"/>
        <v>29</v>
      </c>
      <c r="AC394" t="str">
        <f t="shared" si="39"/>
        <v>Low</v>
      </c>
      <c r="AD394" t="str">
        <f t="shared" si="40"/>
        <v>Upsell premium bundle</v>
      </c>
      <c r="AE394">
        <f t="shared" si="41"/>
        <v>30</v>
      </c>
    </row>
    <row r="395" spans="1:31" x14ac:dyDescent="0.35">
      <c r="A395" t="s">
        <v>453</v>
      </c>
      <c r="B395" s="4">
        <v>44981</v>
      </c>
      <c r="C395" s="4">
        <v>46143</v>
      </c>
      <c r="D395" t="s">
        <v>39</v>
      </c>
      <c r="E395">
        <v>41</v>
      </c>
      <c r="F395" t="s">
        <v>57</v>
      </c>
      <c r="G395" t="s">
        <v>34</v>
      </c>
      <c r="H395" t="s">
        <v>41</v>
      </c>
      <c r="I395" t="s">
        <v>49</v>
      </c>
      <c r="J395">
        <v>38</v>
      </c>
      <c r="K395" s="5">
        <v>191.36</v>
      </c>
      <c r="L395" s="5">
        <v>779.31</v>
      </c>
      <c r="M395">
        <v>27</v>
      </c>
      <c r="N395">
        <v>13</v>
      </c>
      <c r="O395">
        <v>4</v>
      </c>
      <c r="P395">
        <v>5</v>
      </c>
      <c r="Q395">
        <v>22</v>
      </c>
      <c r="R395">
        <v>0</v>
      </c>
      <c r="S395">
        <v>0</v>
      </c>
      <c r="T395">
        <v>1</v>
      </c>
      <c r="U395">
        <v>0</v>
      </c>
      <c r="V395">
        <v>1</v>
      </c>
      <c r="W395" t="s">
        <v>55</v>
      </c>
      <c r="X395">
        <v>57</v>
      </c>
      <c r="Y395">
        <v>1</v>
      </c>
      <c r="Z395">
        <f t="shared" si="36"/>
        <v>77</v>
      </c>
      <c r="AA395">
        <f t="shared" si="37"/>
        <v>0.72058823529411764</v>
      </c>
      <c r="AB395">
        <f t="shared" si="38"/>
        <v>15</v>
      </c>
      <c r="AC395" t="str">
        <f t="shared" si="39"/>
        <v>Low</v>
      </c>
      <c r="AD395" t="str">
        <f t="shared" si="40"/>
        <v>Upsell premium bundle</v>
      </c>
      <c r="AE395">
        <f t="shared" si="41"/>
        <v>23</v>
      </c>
    </row>
    <row r="396" spans="1:31" x14ac:dyDescent="0.35">
      <c r="A396" t="s">
        <v>454</v>
      </c>
      <c r="B396" s="4">
        <v>46122</v>
      </c>
      <c r="C396" s="4">
        <v>46143</v>
      </c>
      <c r="D396" t="s">
        <v>39</v>
      </c>
      <c r="E396">
        <v>27</v>
      </c>
      <c r="F396" t="s">
        <v>43</v>
      </c>
      <c r="G396" t="s">
        <v>85</v>
      </c>
      <c r="H396" t="s">
        <v>35</v>
      </c>
      <c r="I396" t="s">
        <v>36</v>
      </c>
      <c r="J396">
        <v>1</v>
      </c>
      <c r="K396" s="5">
        <v>116.3</v>
      </c>
      <c r="L396" s="5">
        <v>0</v>
      </c>
      <c r="M396">
        <v>30</v>
      </c>
      <c r="N396">
        <v>13</v>
      </c>
      <c r="O396">
        <v>5</v>
      </c>
      <c r="P396">
        <v>1</v>
      </c>
      <c r="Q396">
        <v>24</v>
      </c>
      <c r="R396">
        <v>0</v>
      </c>
      <c r="S396">
        <v>1</v>
      </c>
      <c r="T396">
        <v>0</v>
      </c>
      <c r="U396">
        <v>0</v>
      </c>
      <c r="V396">
        <v>0</v>
      </c>
      <c r="W396" t="s">
        <v>55</v>
      </c>
      <c r="X396">
        <v>55</v>
      </c>
      <c r="Y396">
        <v>0</v>
      </c>
      <c r="Z396">
        <f t="shared" si="36"/>
        <v>71</v>
      </c>
      <c r="AA396">
        <f t="shared" si="37"/>
        <v>1.7419354838709677</v>
      </c>
      <c r="AB396">
        <f t="shared" si="38"/>
        <v>0</v>
      </c>
      <c r="AC396" t="str">
        <f t="shared" si="39"/>
        <v>Low</v>
      </c>
      <c r="AD396" t="str">
        <f t="shared" si="40"/>
        <v>Upsell premium bundle</v>
      </c>
      <c r="AE396">
        <f t="shared" si="41"/>
        <v>29</v>
      </c>
    </row>
    <row r="397" spans="1:31" x14ac:dyDescent="0.35">
      <c r="A397" t="s">
        <v>455</v>
      </c>
      <c r="B397" s="4">
        <v>44710</v>
      </c>
      <c r="C397" s="4">
        <v>46143</v>
      </c>
      <c r="D397" t="s">
        <v>60</v>
      </c>
      <c r="E397">
        <v>33</v>
      </c>
      <c r="F397" t="s">
        <v>77</v>
      </c>
      <c r="G397" t="s">
        <v>67</v>
      </c>
      <c r="H397" t="s">
        <v>41</v>
      </c>
      <c r="I397" t="s">
        <v>36</v>
      </c>
      <c r="J397">
        <v>47</v>
      </c>
      <c r="K397" s="5">
        <v>11038.24</v>
      </c>
      <c r="L397" s="5">
        <v>2612.35</v>
      </c>
      <c r="M397">
        <v>45</v>
      </c>
      <c r="N397">
        <v>20</v>
      </c>
      <c r="O397">
        <v>7</v>
      </c>
      <c r="P397">
        <v>2</v>
      </c>
      <c r="Q397">
        <v>34</v>
      </c>
      <c r="R397">
        <v>2</v>
      </c>
      <c r="S397">
        <v>0</v>
      </c>
      <c r="T397">
        <v>0</v>
      </c>
      <c r="U397">
        <v>0</v>
      </c>
      <c r="V397">
        <v>0</v>
      </c>
      <c r="W397" t="s">
        <v>37</v>
      </c>
      <c r="X397">
        <v>38</v>
      </c>
      <c r="Y397">
        <v>0</v>
      </c>
      <c r="Z397">
        <f t="shared" si="36"/>
        <v>100</v>
      </c>
      <c r="AA397">
        <f t="shared" si="37"/>
        <v>1.025974025974026</v>
      </c>
      <c r="AB397">
        <f t="shared" si="38"/>
        <v>0</v>
      </c>
      <c r="AC397" t="str">
        <f t="shared" si="39"/>
        <v>Low</v>
      </c>
      <c r="AD397" t="str">
        <f t="shared" si="40"/>
        <v>Upsell premium bundle</v>
      </c>
      <c r="AE397">
        <f t="shared" si="41"/>
        <v>0</v>
      </c>
    </row>
    <row r="398" spans="1:31" x14ac:dyDescent="0.35">
      <c r="A398" t="s">
        <v>456</v>
      </c>
      <c r="B398" s="4">
        <v>44888</v>
      </c>
      <c r="C398" s="4">
        <v>46143</v>
      </c>
      <c r="D398" t="s">
        <v>39</v>
      </c>
      <c r="E398">
        <v>43</v>
      </c>
      <c r="F398" t="s">
        <v>57</v>
      </c>
      <c r="G398" t="s">
        <v>67</v>
      </c>
      <c r="H398" t="s">
        <v>44</v>
      </c>
      <c r="I398" t="s">
        <v>36</v>
      </c>
      <c r="J398">
        <v>41</v>
      </c>
      <c r="K398" s="5">
        <v>454.71</v>
      </c>
      <c r="L398" s="5">
        <v>1468.29</v>
      </c>
      <c r="M398">
        <v>59</v>
      </c>
      <c r="N398">
        <v>37</v>
      </c>
      <c r="O398">
        <v>8</v>
      </c>
      <c r="P398">
        <v>10</v>
      </c>
      <c r="Q398">
        <v>38</v>
      </c>
      <c r="R398">
        <v>0</v>
      </c>
      <c r="S398">
        <v>0</v>
      </c>
      <c r="T398">
        <v>1</v>
      </c>
      <c r="U398">
        <v>0</v>
      </c>
      <c r="V398">
        <v>1</v>
      </c>
      <c r="W398" t="s">
        <v>50</v>
      </c>
      <c r="X398">
        <v>56</v>
      </c>
      <c r="Y398">
        <v>0</v>
      </c>
      <c r="Z398">
        <f t="shared" si="36"/>
        <v>100</v>
      </c>
      <c r="AA398">
        <f t="shared" si="37"/>
        <v>1.3661971830985915</v>
      </c>
      <c r="AB398">
        <f t="shared" si="38"/>
        <v>0</v>
      </c>
      <c r="AC398" t="str">
        <f t="shared" si="39"/>
        <v>Low</v>
      </c>
      <c r="AD398" t="str">
        <f t="shared" si="40"/>
        <v>Upsell premium bundle</v>
      </c>
      <c r="AE398">
        <f t="shared" si="41"/>
        <v>0</v>
      </c>
    </row>
    <row r="399" spans="1:31" x14ac:dyDescent="0.35">
      <c r="A399" t="s">
        <v>457</v>
      </c>
      <c r="B399" s="4">
        <v>45376</v>
      </c>
      <c r="C399" s="4">
        <v>46143</v>
      </c>
      <c r="D399" t="s">
        <v>60</v>
      </c>
      <c r="E399">
        <v>19</v>
      </c>
      <c r="F399" t="s">
        <v>33</v>
      </c>
      <c r="G399" t="s">
        <v>85</v>
      </c>
      <c r="H399" t="s">
        <v>41</v>
      </c>
      <c r="I399" t="s">
        <v>36</v>
      </c>
      <c r="J399">
        <v>25</v>
      </c>
      <c r="K399" s="5">
        <v>286.39</v>
      </c>
      <c r="L399" s="5">
        <v>278.95</v>
      </c>
      <c r="M399">
        <v>18</v>
      </c>
      <c r="N399">
        <v>13</v>
      </c>
      <c r="O399">
        <v>2</v>
      </c>
      <c r="P399">
        <v>1</v>
      </c>
      <c r="Q399">
        <v>3</v>
      </c>
      <c r="R399">
        <v>0</v>
      </c>
      <c r="S399">
        <v>2</v>
      </c>
      <c r="T399">
        <v>1</v>
      </c>
      <c r="U399">
        <v>0</v>
      </c>
      <c r="V399">
        <v>0</v>
      </c>
      <c r="W399" t="s">
        <v>52</v>
      </c>
      <c r="X399">
        <v>10</v>
      </c>
      <c r="Y399">
        <v>1</v>
      </c>
      <c r="Z399">
        <f t="shared" si="36"/>
        <v>35</v>
      </c>
      <c r="AA399">
        <f t="shared" si="37"/>
        <v>0.38181818181818183</v>
      </c>
      <c r="AB399">
        <f t="shared" si="38"/>
        <v>55</v>
      </c>
      <c r="AC399" t="str">
        <f t="shared" si="39"/>
        <v>Medium</v>
      </c>
      <c r="AD399" t="str">
        <f t="shared" si="40"/>
        <v>Nudge core feature adoption</v>
      </c>
      <c r="AE399">
        <f t="shared" si="41"/>
        <v>65</v>
      </c>
    </row>
    <row r="400" spans="1:31" x14ac:dyDescent="0.35">
      <c r="A400" t="s">
        <v>458</v>
      </c>
      <c r="B400" s="4">
        <v>44694</v>
      </c>
      <c r="C400" s="4">
        <v>46143</v>
      </c>
      <c r="D400" t="s">
        <v>47</v>
      </c>
      <c r="E400">
        <v>22</v>
      </c>
      <c r="F400" t="s">
        <v>43</v>
      </c>
      <c r="G400" t="s">
        <v>85</v>
      </c>
      <c r="H400" t="s">
        <v>41</v>
      </c>
      <c r="I400" t="s">
        <v>36</v>
      </c>
      <c r="J400">
        <v>48</v>
      </c>
      <c r="K400" s="5">
        <v>102.32</v>
      </c>
      <c r="L400" s="5">
        <v>54.36</v>
      </c>
      <c r="M400">
        <v>21</v>
      </c>
      <c r="N400">
        <v>10</v>
      </c>
      <c r="O400">
        <v>4</v>
      </c>
      <c r="P400">
        <v>4</v>
      </c>
      <c r="Q400">
        <v>25</v>
      </c>
      <c r="R400">
        <v>1</v>
      </c>
      <c r="S400">
        <v>1</v>
      </c>
      <c r="T400">
        <v>0</v>
      </c>
      <c r="U400">
        <v>0</v>
      </c>
      <c r="V400">
        <v>0</v>
      </c>
      <c r="W400" t="s">
        <v>55</v>
      </c>
      <c r="X400">
        <v>10</v>
      </c>
      <c r="Y400">
        <v>1</v>
      </c>
      <c r="Z400">
        <f t="shared" si="36"/>
        <v>63</v>
      </c>
      <c r="AA400">
        <f t="shared" si="37"/>
        <v>0.58974358974358976</v>
      </c>
      <c r="AB400">
        <f t="shared" si="38"/>
        <v>34</v>
      </c>
      <c r="AC400" t="str">
        <f t="shared" si="39"/>
        <v>Low</v>
      </c>
      <c r="AD400" t="str">
        <f t="shared" si="40"/>
        <v>Upsell premium bundle</v>
      </c>
      <c r="AE400">
        <f t="shared" si="41"/>
        <v>37</v>
      </c>
    </row>
    <row r="401" spans="1:31" x14ac:dyDescent="0.35">
      <c r="A401" t="s">
        <v>459</v>
      </c>
      <c r="B401" s="4">
        <v>44829</v>
      </c>
      <c r="C401" s="4">
        <v>46143</v>
      </c>
      <c r="D401" t="s">
        <v>32</v>
      </c>
      <c r="E401">
        <v>57</v>
      </c>
      <c r="F401" t="s">
        <v>43</v>
      </c>
      <c r="G401" t="s">
        <v>40</v>
      </c>
      <c r="H401" t="s">
        <v>44</v>
      </c>
      <c r="I401" t="s">
        <v>36</v>
      </c>
      <c r="J401">
        <v>43</v>
      </c>
      <c r="K401" s="5">
        <v>52.51</v>
      </c>
      <c r="L401" s="5">
        <v>142.47999999999999</v>
      </c>
      <c r="M401">
        <v>42</v>
      </c>
      <c r="N401">
        <v>12</v>
      </c>
      <c r="O401">
        <v>10</v>
      </c>
      <c r="P401">
        <v>2</v>
      </c>
      <c r="Q401">
        <v>17</v>
      </c>
      <c r="R401">
        <v>3</v>
      </c>
      <c r="S401">
        <v>1</v>
      </c>
      <c r="T401">
        <v>1</v>
      </c>
      <c r="U401">
        <v>0</v>
      </c>
      <c r="V401">
        <v>1</v>
      </c>
      <c r="W401" t="s">
        <v>37</v>
      </c>
      <c r="X401">
        <v>70</v>
      </c>
      <c r="Y401">
        <v>0</v>
      </c>
      <c r="Z401">
        <f t="shared" si="36"/>
        <v>92</v>
      </c>
      <c r="AA401">
        <f t="shared" si="37"/>
        <v>0.80821917808219179</v>
      </c>
      <c r="AB401">
        <f t="shared" si="38"/>
        <v>0</v>
      </c>
      <c r="AC401" t="str">
        <f t="shared" si="39"/>
        <v>Low</v>
      </c>
      <c r="AD401" t="str">
        <f t="shared" si="40"/>
        <v>Upsell premium bundle</v>
      </c>
      <c r="AE401">
        <f t="shared" si="41"/>
        <v>8</v>
      </c>
    </row>
    <row r="402" spans="1:31" x14ac:dyDescent="0.35">
      <c r="A402" t="s">
        <v>460</v>
      </c>
      <c r="B402" s="4">
        <v>45603</v>
      </c>
      <c r="C402" s="4">
        <v>46143</v>
      </c>
      <c r="D402" t="s">
        <v>32</v>
      </c>
      <c r="E402">
        <v>66</v>
      </c>
      <c r="F402" t="s">
        <v>61</v>
      </c>
      <c r="G402" t="s">
        <v>40</v>
      </c>
      <c r="H402" t="s">
        <v>41</v>
      </c>
      <c r="I402" t="s">
        <v>36</v>
      </c>
      <c r="J402">
        <v>18</v>
      </c>
      <c r="K402" s="5">
        <v>2461.75</v>
      </c>
      <c r="L402" s="5">
        <v>1331.98</v>
      </c>
      <c r="M402">
        <v>26</v>
      </c>
      <c r="N402">
        <v>18</v>
      </c>
      <c r="O402">
        <v>6</v>
      </c>
      <c r="P402">
        <v>5</v>
      </c>
      <c r="Q402">
        <v>22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37</v>
      </c>
      <c r="X402">
        <v>7</v>
      </c>
      <c r="Y402">
        <v>0</v>
      </c>
      <c r="Z402">
        <f t="shared" si="36"/>
        <v>75</v>
      </c>
      <c r="AA402">
        <f t="shared" si="37"/>
        <v>1</v>
      </c>
      <c r="AB402">
        <f t="shared" si="38"/>
        <v>25</v>
      </c>
      <c r="AC402" t="str">
        <f t="shared" si="39"/>
        <v>Low</v>
      </c>
      <c r="AD402" t="str">
        <f t="shared" si="40"/>
        <v>Upsell premium bundle</v>
      </c>
      <c r="AE402">
        <f t="shared" si="41"/>
        <v>25</v>
      </c>
    </row>
    <row r="403" spans="1:31" x14ac:dyDescent="0.35">
      <c r="A403" t="s">
        <v>461</v>
      </c>
      <c r="B403" s="4">
        <v>46048</v>
      </c>
      <c r="C403" s="4">
        <v>46143</v>
      </c>
      <c r="D403" t="s">
        <v>47</v>
      </c>
      <c r="E403">
        <v>45</v>
      </c>
      <c r="F403" t="s">
        <v>43</v>
      </c>
      <c r="G403" t="s">
        <v>67</v>
      </c>
      <c r="H403" t="s">
        <v>41</v>
      </c>
      <c r="I403" t="s">
        <v>54</v>
      </c>
      <c r="J403">
        <v>3</v>
      </c>
      <c r="K403" s="5">
        <v>86.8</v>
      </c>
      <c r="L403" s="5">
        <v>0.12</v>
      </c>
      <c r="M403">
        <v>20</v>
      </c>
      <c r="N403">
        <v>9</v>
      </c>
      <c r="O403">
        <v>4</v>
      </c>
      <c r="P403">
        <v>3</v>
      </c>
      <c r="Q403">
        <v>13</v>
      </c>
      <c r="R403">
        <v>5</v>
      </c>
      <c r="S403">
        <v>2</v>
      </c>
      <c r="T403">
        <v>1</v>
      </c>
      <c r="U403">
        <v>1</v>
      </c>
      <c r="V403">
        <v>1</v>
      </c>
      <c r="W403" t="s">
        <v>50</v>
      </c>
      <c r="X403">
        <v>-36</v>
      </c>
      <c r="Y403">
        <v>1</v>
      </c>
      <c r="Z403">
        <f t="shared" si="36"/>
        <v>64</v>
      </c>
      <c r="AA403">
        <f t="shared" si="37"/>
        <v>1</v>
      </c>
      <c r="AB403">
        <f t="shared" si="38"/>
        <v>75</v>
      </c>
      <c r="AC403" t="str">
        <f t="shared" si="39"/>
        <v>High</v>
      </c>
      <c r="AD403" t="str">
        <f t="shared" si="40"/>
        <v>Deposit incentive</v>
      </c>
      <c r="AE403">
        <f t="shared" si="41"/>
        <v>36</v>
      </c>
    </row>
    <row r="404" spans="1:31" x14ac:dyDescent="0.35">
      <c r="A404" t="s">
        <v>462</v>
      </c>
      <c r="B404" s="4">
        <v>45725</v>
      </c>
      <c r="C404" s="4">
        <v>46143</v>
      </c>
      <c r="D404" t="s">
        <v>60</v>
      </c>
      <c r="E404">
        <v>52</v>
      </c>
      <c r="F404" t="s">
        <v>43</v>
      </c>
      <c r="G404" t="s">
        <v>34</v>
      </c>
      <c r="H404" t="s">
        <v>44</v>
      </c>
      <c r="I404" t="s">
        <v>36</v>
      </c>
      <c r="J404">
        <v>13</v>
      </c>
      <c r="K404" s="5">
        <v>80.55</v>
      </c>
      <c r="L404" s="5">
        <v>15.12</v>
      </c>
      <c r="M404">
        <v>58</v>
      </c>
      <c r="N404">
        <v>20</v>
      </c>
      <c r="O404">
        <v>9</v>
      </c>
      <c r="P404">
        <v>11</v>
      </c>
      <c r="Q404">
        <v>33</v>
      </c>
      <c r="R404">
        <v>0</v>
      </c>
      <c r="S404">
        <v>0</v>
      </c>
      <c r="T404">
        <v>0</v>
      </c>
      <c r="U404">
        <v>1</v>
      </c>
      <c r="V404">
        <v>1</v>
      </c>
      <c r="W404" t="s">
        <v>55</v>
      </c>
      <c r="X404">
        <v>55</v>
      </c>
      <c r="Y404">
        <v>0</v>
      </c>
      <c r="Z404">
        <f t="shared" si="36"/>
        <v>100</v>
      </c>
      <c r="AA404">
        <f t="shared" si="37"/>
        <v>2.1162790697674421</v>
      </c>
      <c r="AB404">
        <f t="shared" si="38"/>
        <v>0</v>
      </c>
      <c r="AC404" t="str">
        <f t="shared" si="39"/>
        <v>Low</v>
      </c>
      <c r="AD404" t="str">
        <f t="shared" si="40"/>
        <v>Upsell premium bundle</v>
      </c>
      <c r="AE404">
        <f t="shared" si="41"/>
        <v>0</v>
      </c>
    </row>
    <row r="405" spans="1:31" x14ac:dyDescent="0.35">
      <c r="A405" t="s">
        <v>463</v>
      </c>
      <c r="B405" s="4">
        <v>45822</v>
      </c>
      <c r="C405" s="4">
        <v>46143</v>
      </c>
      <c r="D405" t="s">
        <v>72</v>
      </c>
      <c r="E405">
        <v>53</v>
      </c>
      <c r="F405" t="s">
        <v>61</v>
      </c>
      <c r="G405" t="s">
        <v>34</v>
      </c>
      <c r="H405" t="s">
        <v>41</v>
      </c>
      <c r="I405" t="s">
        <v>36</v>
      </c>
      <c r="J405">
        <v>10</v>
      </c>
      <c r="K405" s="5">
        <v>3785.5</v>
      </c>
      <c r="L405" s="5">
        <v>0</v>
      </c>
      <c r="M405">
        <v>22</v>
      </c>
      <c r="N405">
        <v>9</v>
      </c>
      <c r="O405">
        <v>5</v>
      </c>
      <c r="P405">
        <v>0</v>
      </c>
      <c r="Q405">
        <v>19</v>
      </c>
      <c r="R405">
        <v>3</v>
      </c>
      <c r="S405">
        <v>4</v>
      </c>
      <c r="T405">
        <v>0</v>
      </c>
      <c r="U405">
        <v>1</v>
      </c>
      <c r="V405">
        <v>1</v>
      </c>
      <c r="W405" t="s">
        <v>55</v>
      </c>
      <c r="X405">
        <v>3</v>
      </c>
      <c r="Y405">
        <v>1</v>
      </c>
      <c r="Z405">
        <f t="shared" si="36"/>
        <v>69</v>
      </c>
      <c r="AA405">
        <f t="shared" si="37"/>
        <v>1.0249999999999999</v>
      </c>
      <c r="AB405">
        <f t="shared" si="38"/>
        <v>56</v>
      </c>
      <c r="AC405" t="str">
        <f t="shared" si="39"/>
        <v>Medium</v>
      </c>
      <c r="AD405" t="str">
        <f t="shared" si="40"/>
        <v>Nudge core feature adoption</v>
      </c>
      <c r="AE405">
        <f t="shared" si="41"/>
        <v>31</v>
      </c>
    </row>
    <row r="406" spans="1:31" x14ac:dyDescent="0.35">
      <c r="A406" t="s">
        <v>464</v>
      </c>
      <c r="B406" s="4">
        <v>45189</v>
      </c>
      <c r="C406" s="4">
        <v>46143</v>
      </c>
      <c r="D406" t="s">
        <v>66</v>
      </c>
      <c r="E406">
        <v>72</v>
      </c>
      <c r="F406" t="s">
        <v>33</v>
      </c>
      <c r="G406" t="s">
        <v>85</v>
      </c>
      <c r="H406" t="s">
        <v>41</v>
      </c>
      <c r="I406" t="s">
        <v>36</v>
      </c>
      <c r="J406">
        <v>31</v>
      </c>
      <c r="K406" s="5">
        <v>876.41</v>
      </c>
      <c r="L406" s="5">
        <v>225.92</v>
      </c>
      <c r="M406">
        <v>15</v>
      </c>
      <c r="N406">
        <v>6</v>
      </c>
      <c r="O406">
        <v>1</v>
      </c>
      <c r="P406">
        <v>1</v>
      </c>
      <c r="Q406">
        <v>12</v>
      </c>
      <c r="R406">
        <v>1</v>
      </c>
      <c r="S406">
        <v>0</v>
      </c>
      <c r="T406">
        <v>0</v>
      </c>
      <c r="U406">
        <v>0</v>
      </c>
      <c r="V406">
        <v>0</v>
      </c>
      <c r="W406" t="s">
        <v>45</v>
      </c>
      <c r="X406">
        <v>48</v>
      </c>
      <c r="Y406">
        <v>0</v>
      </c>
      <c r="Z406">
        <f t="shared" si="36"/>
        <v>34</v>
      </c>
      <c r="AA406">
        <f t="shared" si="37"/>
        <v>0.44262295081967212</v>
      </c>
      <c r="AB406">
        <f t="shared" si="38"/>
        <v>19</v>
      </c>
      <c r="AC406" t="str">
        <f t="shared" si="39"/>
        <v>Low</v>
      </c>
      <c r="AD406" t="str">
        <f t="shared" si="40"/>
        <v>Upsell premium bundle</v>
      </c>
      <c r="AE406">
        <f t="shared" si="41"/>
        <v>66</v>
      </c>
    </row>
    <row r="407" spans="1:31" x14ac:dyDescent="0.35">
      <c r="A407" t="s">
        <v>465</v>
      </c>
      <c r="B407" s="4">
        <v>44702</v>
      </c>
      <c r="C407" s="4">
        <v>46143</v>
      </c>
      <c r="D407" t="s">
        <v>47</v>
      </c>
      <c r="E407">
        <v>35</v>
      </c>
      <c r="F407" t="s">
        <v>61</v>
      </c>
      <c r="G407" t="s">
        <v>67</v>
      </c>
      <c r="H407" t="s">
        <v>41</v>
      </c>
      <c r="I407" t="s">
        <v>49</v>
      </c>
      <c r="J407">
        <v>48</v>
      </c>
      <c r="K407" s="5">
        <v>6224.57</v>
      </c>
      <c r="L407" s="5">
        <v>319.52999999999997</v>
      </c>
      <c r="M407">
        <v>13</v>
      </c>
      <c r="N407">
        <v>4</v>
      </c>
      <c r="O407">
        <v>0</v>
      </c>
      <c r="P407">
        <v>0</v>
      </c>
      <c r="Q407">
        <v>21</v>
      </c>
      <c r="R407">
        <v>0</v>
      </c>
      <c r="S407">
        <v>1</v>
      </c>
      <c r="T407">
        <v>1</v>
      </c>
      <c r="U407">
        <v>1</v>
      </c>
      <c r="V407">
        <v>0</v>
      </c>
      <c r="W407" t="s">
        <v>37</v>
      </c>
      <c r="X407">
        <v>31</v>
      </c>
      <c r="Y407">
        <v>1</v>
      </c>
      <c r="Z407">
        <f t="shared" si="36"/>
        <v>44</v>
      </c>
      <c r="AA407">
        <f t="shared" si="37"/>
        <v>0.4358974358974359</v>
      </c>
      <c r="AB407">
        <f t="shared" si="38"/>
        <v>49</v>
      </c>
      <c r="AC407" t="str">
        <f t="shared" si="39"/>
        <v>Medium</v>
      </c>
      <c r="AD407" t="str">
        <f t="shared" si="40"/>
        <v>Nudge core feature adoption</v>
      </c>
      <c r="AE407">
        <f t="shared" si="41"/>
        <v>56</v>
      </c>
    </row>
    <row r="408" spans="1:31" x14ac:dyDescent="0.35">
      <c r="A408" t="s">
        <v>466</v>
      </c>
      <c r="B408" s="4">
        <v>46095</v>
      </c>
      <c r="C408" s="4">
        <v>46143</v>
      </c>
      <c r="D408" t="s">
        <v>39</v>
      </c>
      <c r="E408">
        <v>66</v>
      </c>
      <c r="F408" t="s">
        <v>43</v>
      </c>
      <c r="G408" t="s">
        <v>63</v>
      </c>
      <c r="H408" t="s">
        <v>58</v>
      </c>
      <c r="I408" t="s">
        <v>36</v>
      </c>
      <c r="J408">
        <v>1</v>
      </c>
      <c r="K408" s="5">
        <v>45.33</v>
      </c>
      <c r="L408" s="5">
        <v>72.39</v>
      </c>
      <c r="M408">
        <v>30</v>
      </c>
      <c r="N408">
        <v>14</v>
      </c>
      <c r="O408">
        <v>7</v>
      </c>
      <c r="P408">
        <v>0</v>
      </c>
      <c r="Q408">
        <v>25</v>
      </c>
      <c r="R408">
        <v>4</v>
      </c>
      <c r="S408">
        <v>1</v>
      </c>
      <c r="T408">
        <v>1</v>
      </c>
      <c r="U408">
        <v>1</v>
      </c>
      <c r="V408">
        <v>0</v>
      </c>
      <c r="W408" t="s">
        <v>37</v>
      </c>
      <c r="X408">
        <v>-5</v>
      </c>
      <c r="Y408">
        <v>1</v>
      </c>
      <c r="Z408">
        <f t="shared" si="36"/>
        <v>82</v>
      </c>
      <c r="AA408">
        <f t="shared" si="37"/>
        <v>1.7741935483870968</v>
      </c>
      <c r="AB408">
        <f t="shared" si="38"/>
        <v>20</v>
      </c>
      <c r="AC408" t="str">
        <f t="shared" si="39"/>
        <v>Low</v>
      </c>
      <c r="AD408" t="str">
        <f t="shared" si="40"/>
        <v>Upsell premium bundle</v>
      </c>
      <c r="AE408">
        <f t="shared" si="41"/>
        <v>18</v>
      </c>
    </row>
    <row r="409" spans="1:31" x14ac:dyDescent="0.35">
      <c r="A409" t="s">
        <v>467</v>
      </c>
      <c r="B409" s="4">
        <v>44784</v>
      </c>
      <c r="C409" s="4">
        <v>46143</v>
      </c>
      <c r="D409" t="s">
        <v>47</v>
      </c>
      <c r="E409">
        <v>41</v>
      </c>
      <c r="F409" t="s">
        <v>61</v>
      </c>
      <c r="G409" t="s">
        <v>48</v>
      </c>
      <c r="H409" t="s">
        <v>41</v>
      </c>
      <c r="I409" t="s">
        <v>36</v>
      </c>
      <c r="J409">
        <v>45</v>
      </c>
      <c r="K409" s="5">
        <v>4986.16</v>
      </c>
      <c r="L409" s="5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 t="s">
        <v>37</v>
      </c>
      <c r="X409">
        <v>36</v>
      </c>
      <c r="Y409">
        <v>1</v>
      </c>
      <c r="Z409">
        <f t="shared" si="36"/>
        <v>0</v>
      </c>
      <c r="AA409">
        <f t="shared" si="37"/>
        <v>0</v>
      </c>
      <c r="AB409">
        <f t="shared" si="38"/>
        <v>39</v>
      </c>
      <c r="AC409" t="str">
        <f t="shared" si="39"/>
        <v>Low</v>
      </c>
      <c r="AD409" t="str">
        <f t="shared" si="40"/>
        <v>Upsell premium bundle</v>
      </c>
      <c r="AE409">
        <f t="shared" si="41"/>
        <v>100</v>
      </c>
    </row>
    <row r="410" spans="1:31" x14ac:dyDescent="0.35">
      <c r="A410" t="s">
        <v>468</v>
      </c>
      <c r="B410" s="4">
        <v>45286</v>
      </c>
      <c r="C410" s="4">
        <v>46143</v>
      </c>
      <c r="D410" t="s">
        <v>39</v>
      </c>
      <c r="E410">
        <v>71</v>
      </c>
      <c r="F410" t="s">
        <v>61</v>
      </c>
      <c r="G410" t="s">
        <v>40</v>
      </c>
      <c r="H410" t="s">
        <v>41</v>
      </c>
      <c r="I410" t="s">
        <v>49</v>
      </c>
      <c r="J410">
        <v>28</v>
      </c>
      <c r="K410" s="5">
        <v>375.6</v>
      </c>
      <c r="L410" s="5">
        <v>0</v>
      </c>
      <c r="M410">
        <v>26</v>
      </c>
      <c r="N410">
        <v>8</v>
      </c>
      <c r="O410">
        <v>6</v>
      </c>
      <c r="P410">
        <v>1</v>
      </c>
      <c r="Q410">
        <v>16</v>
      </c>
      <c r="R410">
        <v>1</v>
      </c>
      <c r="S410">
        <v>0</v>
      </c>
      <c r="T410">
        <v>1</v>
      </c>
      <c r="U410">
        <v>0</v>
      </c>
      <c r="V410">
        <v>1</v>
      </c>
      <c r="W410" t="s">
        <v>52</v>
      </c>
      <c r="X410">
        <v>36</v>
      </c>
      <c r="Y410">
        <v>1</v>
      </c>
      <c r="Z410">
        <f t="shared" si="36"/>
        <v>64</v>
      </c>
      <c r="AA410">
        <f t="shared" si="37"/>
        <v>0.72413793103448276</v>
      </c>
      <c r="AB410">
        <f t="shared" si="38"/>
        <v>29</v>
      </c>
      <c r="AC410" t="str">
        <f t="shared" si="39"/>
        <v>Low</v>
      </c>
      <c r="AD410" t="str">
        <f t="shared" si="40"/>
        <v>Upsell premium bundle</v>
      </c>
      <c r="AE410">
        <f t="shared" si="41"/>
        <v>36</v>
      </c>
    </row>
    <row r="411" spans="1:31" x14ac:dyDescent="0.35">
      <c r="A411" t="s">
        <v>469</v>
      </c>
      <c r="B411" s="4">
        <v>45211</v>
      </c>
      <c r="C411" s="4">
        <v>46143</v>
      </c>
      <c r="D411" t="s">
        <v>60</v>
      </c>
      <c r="E411">
        <v>31</v>
      </c>
      <c r="F411" t="s">
        <v>57</v>
      </c>
      <c r="G411" t="s">
        <v>67</v>
      </c>
      <c r="H411" t="s">
        <v>41</v>
      </c>
      <c r="I411" t="s">
        <v>36</v>
      </c>
      <c r="J411">
        <v>31</v>
      </c>
      <c r="K411" s="5">
        <v>740.44</v>
      </c>
      <c r="L411" s="5">
        <v>0</v>
      </c>
      <c r="M411">
        <v>26</v>
      </c>
      <c r="N411">
        <v>10</v>
      </c>
      <c r="O411">
        <v>4</v>
      </c>
      <c r="P411">
        <v>4</v>
      </c>
      <c r="Q411">
        <v>10</v>
      </c>
      <c r="R411">
        <v>0</v>
      </c>
      <c r="S411">
        <v>0</v>
      </c>
      <c r="T411">
        <v>0</v>
      </c>
      <c r="U411">
        <v>1</v>
      </c>
      <c r="V411">
        <v>0</v>
      </c>
      <c r="W411" t="s">
        <v>55</v>
      </c>
      <c r="X411">
        <v>9</v>
      </c>
      <c r="Y411">
        <v>0</v>
      </c>
      <c r="Z411">
        <f t="shared" si="36"/>
        <v>63</v>
      </c>
      <c r="AA411">
        <f t="shared" si="37"/>
        <v>0.5901639344262295</v>
      </c>
      <c r="AB411">
        <f t="shared" si="38"/>
        <v>28</v>
      </c>
      <c r="AC411" t="str">
        <f t="shared" si="39"/>
        <v>Low</v>
      </c>
      <c r="AD411" t="str">
        <f t="shared" si="40"/>
        <v>Upsell premium bundle</v>
      </c>
      <c r="AE411">
        <f t="shared" si="41"/>
        <v>37</v>
      </c>
    </row>
    <row r="412" spans="1:31" x14ac:dyDescent="0.35">
      <c r="A412" t="s">
        <v>470</v>
      </c>
      <c r="B412" s="4">
        <v>45605</v>
      </c>
      <c r="C412" s="4">
        <v>46143</v>
      </c>
      <c r="D412" t="s">
        <v>60</v>
      </c>
      <c r="E412">
        <v>65</v>
      </c>
      <c r="F412" t="s">
        <v>57</v>
      </c>
      <c r="G412" t="s">
        <v>40</v>
      </c>
      <c r="H412" t="s">
        <v>41</v>
      </c>
      <c r="I412" t="s">
        <v>36</v>
      </c>
      <c r="J412">
        <v>17</v>
      </c>
      <c r="K412" s="5">
        <v>224.67</v>
      </c>
      <c r="L412" s="5">
        <v>414.89</v>
      </c>
      <c r="M412">
        <v>22</v>
      </c>
      <c r="N412">
        <v>9</v>
      </c>
      <c r="O412">
        <v>5</v>
      </c>
      <c r="P412">
        <v>3</v>
      </c>
      <c r="Q412">
        <v>15</v>
      </c>
      <c r="R412">
        <v>4</v>
      </c>
      <c r="S412">
        <v>1</v>
      </c>
      <c r="T412">
        <v>0</v>
      </c>
      <c r="U412">
        <v>0</v>
      </c>
      <c r="V412">
        <v>1</v>
      </c>
      <c r="W412" t="s">
        <v>45</v>
      </c>
      <c r="X412">
        <v>-12</v>
      </c>
      <c r="Y412">
        <v>0</v>
      </c>
      <c r="Z412">
        <f t="shared" si="36"/>
        <v>61</v>
      </c>
      <c r="AA412">
        <f t="shared" si="37"/>
        <v>0.78723404255319152</v>
      </c>
      <c r="AB412">
        <f t="shared" si="38"/>
        <v>42</v>
      </c>
      <c r="AC412" t="str">
        <f t="shared" si="39"/>
        <v>Medium</v>
      </c>
      <c r="AD412" t="str">
        <f t="shared" si="40"/>
        <v>Nudge core feature adoption</v>
      </c>
      <c r="AE412">
        <f t="shared" si="41"/>
        <v>39</v>
      </c>
    </row>
    <row r="413" spans="1:31" x14ac:dyDescent="0.35">
      <c r="A413" t="s">
        <v>471</v>
      </c>
      <c r="B413" s="4">
        <v>45454</v>
      </c>
      <c r="C413" s="4">
        <v>46143</v>
      </c>
      <c r="D413" t="s">
        <v>47</v>
      </c>
      <c r="E413">
        <v>19</v>
      </c>
      <c r="F413" t="s">
        <v>57</v>
      </c>
      <c r="G413" t="s">
        <v>63</v>
      </c>
      <c r="H413" t="s">
        <v>41</v>
      </c>
      <c r="I413" t="s">
        <v>36</v>
      </c>
      <c r="J413">
        <v>22</v>
      </c>
      <c r="K413" s="5">
        <v>576.03</v>
      </c>
      <c r="L413" s="5">
        <v>1188.46</v>
      </c>
      <c r="M413">
        <v>28</v>
      </c>
      <c r="N413">
        <v>14</v>
      </c>
      <c r="O413">
        <v>3</v>
      </c>
      <c r="P413">
        <v>3</v>
      </c>
      <c r="Q413">
        <v>23</v>
      </c>
      <c r="R413">
        <v>1</v>
      </c>
      <c r="S413">
        <v>0</v>
      </c>
      <c r="T413">
        <v>0</v>
      </c>
      <c r="U413">
        <v>0</v>
      </c>
      <c r="V413">
        <v>1</v>
      </c>
      <c r="W413" t="s">
        <v>37</v>
      </c>
      <c r="X413">
        <v>-2</v>
      </c>
      <c r="Y413">
        <v>0</v>
      </c>
      <c r="Z413">
        <f t="shared" si="36"/>
        <v>76</v>
      </c>
      <c r="AA413">
        <f t="shared" si="37"/>
        <v>0.98076923076923073</v>
      </c>
      <c r="AB413">
        <f t="shared" si="38"/>
        <v>27</v>
      </c>
      <c r="AC413" t="str">
        <f t="shared" si="39"/>
        <v>Low</v>
      </c>
      <c r="AD413" t="str">
        <f t="shared" si="40"/>
        <v>Upsell premium bundle</v>
      </c>
      <c r="AE413">
        <f t="shared" si="41"/>
        <v>24</v>
      </c>
    </row>
    <row r="414" spans="1:31" x14ac:dyDescent="0.35">
      <c r="A414" t="s">
        <v>472</v>
      </c>
      <c r="B414" s="4">
        <v>44984</v>
      </c>
      <c r="C414" s="4">
        <v>46143</v>
      </c>
      <c r="D414" t="s">
        <v>47</v>
      </c>
      <c r="E414">
        <v>31</v>
      </c>
      <c r="F414" t="s">
        <v>43</v>
      </c>
      <c r="G414" t="s">
        <v>67</v>
      </c>
      <c r="H414" t="s">
        <v>58</v>
      </c>
      <c r="I414" t="s">
        <v>36</v>
      </c>
      <c r="J414">
        <v>38</v>
      </c>
      <c r="K414" s="5">
        <v>107.59</v>
      </c>
      <c r="L414" s="5">
        <v>52.59</v>
      </c>
      <c r="M414">
        <v>38</v>
      </c>
      <c r="N414">
        <v>23</v>
      </c>
      <c r="O414">
        <v>7</v>
      </c>
      <c r="P414">
        <v>0</v>
      </c>
      <c r="Q414">
        <v>31</v>
      </c>
      <c r="R414">
        <v>2</v>
      </c>
      <c r="S414">
        <v>1</v>
      </c>
      <c r="T414">
        <v>0</v>
      </c>
      <c r="U414">
        <v>0</v>
      </c>
      <c r="V414">
        <v>0</v>
      </c>
      <c r="W414" t="s">
        <v>52</v>
      </c>
      <c r="X414">
        <v>31</v>
      </c>
      <c r="Y414">
        <v>0</v>
      </c>
      <c r="Z414">
        <f t="shared" si="36"/>
        <v>94</v>
      </c>
      <c r="AA414">
        <f t="shared" si="37"/>
        <v>1.0147058823529411</v>
      </c>
      <c r="AB414">
        <f t="shared" si="38"/>
        <v>0</v>
      </c>
      <c r="AC414" t="str">
        <f t="shared" si="39"/>
        <v>Low</v>
      </c>
      <c r="AD414" t="str">
        <f t="shared" si="40"/>
        <v>Upsell premium bundle</v>
      </c>
      <c r="AE414">
        <f t="shared" si="41"/>
        <v>6</v>
      </c>
    </row>
    <row r="415" spans="1:31" x14ac:dyDescent="0.35">
      <c r="A415" t="s">
        <v>473</v>
      </c>
      <c r="B415" s="4">
        <v>44864</v>
      </c>
      <c r="C415" s="4">
        <v>46143</v>
      </c>
      <c r="D415" t="s">
        <v>66</v>
      </c>
      <c r="E415">
        <v>31</v>
      </c>
      <c r="F415" t="s">
        <v>33</v>
      </c>
      <c r="G415" t="s">
        <v>40</v>
      </c>
      <c r="H415" t="s">
        <v>44</v>
      </c>
      <c r="I415" t="s">
        <v>36</v>
      </c>
      <c r="J415">
        <v>42</v>
      </c>
      <c r="K415" s="5">
        <v>216.84</v>
      </c>
      <c r="L415" s="5">
        <v>0</v>
      </c>
      <c r="M415">
        <v>29</v>
      </c>
      <c r="N415">
        <v>15</v>
      </c>
      <c r="O415">
        <v>5</v>
      </c>
      <c r="P415">
        <v>6</v>
      </c>
      <c r="Q415">
        <v>29</v>
      </c>
      <c r="R415">
        <v>1</v>
      </c>
      <c r="S415">
        <v>1</v>
      </c>
      <c r="T415">
        <v>1</v>
      </c>
      <c r="U415">
        <v>1</v>
      </c>
      <c r="V415">
        <v>0</v>
      </c>
      <c r="W415" t="s">
        <v>52</v>
      </c>
      <c r="X415">
        <v>57</v>
      </c>
      <c r="Y415">
        <v>0</v>
      </c>
      <c r="Z415">
        <f t="shared" si="36"/>
        <v>91</v>
      </c>
      <c r="AA415">
        <f t="shared" si="37"/>
        <v>0.80555555555555558</v>
      </c>
      <c r="AB415">
        <f t="shared" si="38"/>
        <v>0</v>
      </c>
      <c r="AC415" t="str">
        <f t="shared" si="39"/>
        <v>Low</v>
      </c>
      <c r="AD415" t="str">
        <f t="shared" si="40"/>
        <v>Upsell premium bundle</v>
      </c>
      <c r="AE415">
        <f t="shared" si="41"/>
        <v>9</v>
      </c>
    </row>
    <row r="416" spans="1:31" x14ac:dyDescent="0.35">
      <c r="A416" t="s">
        <v>474</v>
      </c>
      <c r="B416" s="4">
        <v>45955</v>
      </c>
      <c r="C416" s="4">
        <v>46143</v>
      </c>
      <c r="D416" t="s">
        <v>60</v>
      </c>
      <c r="E416">
        <v>64</v>
      </c>
      <c r="F416" t="s">
        <v>57</v>
      </c>
      <c r="G416" t="s">
        <v>40</v>
      </c>
      <c r="H416" t="s">
        <v>35</v>
      </c>
      <c r="I416" t="s">
        <v>49</v>
      </c>
      <c r="J416">
        <v>6</v>
      </c>
      <c r="K416" s="5">
        <v>40.130000000000003</v>
      </c>
      <c r="L416" s="5">
        <v>645.29</v>
      </c>
      <c r="M416">
        <v>39</v>
      </c>
      <c r="N416">
        <v>14</v>
      </c>
      <c r="O416">
        <v>11</v>
      </c>
      <c r="P416">
        <v>1</v>
      </c>
      <c r="Q416">
        <v>25</v>
      </c>
      <c r="R416">
        <v>1</v>
      </c>
      <c r="S416">
        <v>1</v>
      </c>
      <c r="T416">
        <v>1</v>
      </c>
      <c r="U416">
        <v>1</v>
      </c>
      <c r="V416">
        <v>0</v>
      </c>
      <c r="W416" t="s">
        <v>52</v>
      </c>
      <c r="X416">
        <v>41</v>
      </c>
      <c r="Y416">
        <v>0</v>
      </c>
      <c r="Z416">
        <f t="shared" si="36"/>
        <v>98</v>
      </c>
      <c r="AA416">
        <f t="shared" si="37"/>
        <v>1.7777777777777777</v>
      </c>
      <c r="AB416">
        <f t="shared" si="38"/>
        <v>11</v>
      </c>
      <c r="AC416" t="str">
        <f t="shared" si="39"/>
        <v>Low</v>
      </c>
      <c r="AD416" t="str">
        <f t="shared" si="40"/>
        <v>Upsell premium bundle</v>
      </c>
      <c r="AE416">
        <f t="shared" si="41"/>
        <v>2</v>
      </c>
    </row>
    <row r="417" spans="1:31" x14ac:dyDescent="0.35">
      <c r="A417" t="s">
        <v>475</v>
      </c>
      <c r="B417" s="4">
        <v>45960</v>
      </c>
      <c r="C417" s="4">
        <v>46143</v>
      </c>
      <c r="D417" t="s">
        <v>32</v>
      </c>
      <c r="E417">
        <v>39</v>
      </c>
      <c r="F417" t="s">
        <v>43</v>
      </c>
      <c r="G417" t="s">
        <v>67</v>
      </c>
      <c r="H417" t="s">
        <v>41</v>
      </c>
      <c r="I417" t="s">
        <v>36</v>
      </c>
      <c r="J417">
        <v>6</v>
      </c>
      <c r="K417" s="5">
        <v>60.78</v>
      </c>
      <c r="L417" s="5">
        <v>50.34</v>
      </c>
      <c r="M417">
        <v>29</v>
      </c>
      <c r="N417">
        <v>14</v>
      </c>
      <c r="O417">
        <v>7</v>
      </c>
      <c r="P417">
        <v>1</v>
      </c>
      <c r="Q417">
        <v>27</v>
      </c>
      <c r="R417">
        <v>2</v>
      </c>
      <c r="S417">
        <v>3</v>
      </c>
      <c r="T417">
        <v>1</v>
      </c>
      <c r="U417">
        <v>0</v>
      </c>
      <c r="V417">
        <v>1</v>
      </c>
      <c r="W417" t="s">
        <v>45</v>
      </c>
      <c r="X417">
        <v>0</v>
      </c>
      <c r="Y417">
        <v>0</v>
      </c>
      <c r="Z417">
        <f t="shared" si="36"/>
        <v>83</v>
      </c>
      <c r="AA417">
        <f t="shared" si="37"/>
        <v>1.5555555555555556</v>
      </c>
      <c r="AB417">
        <f t="shared" si="38"/>
        <v>46</v>
      </c>
      <c r="AC417" t="str">
        <f t="shared" si="39"/>
        <v>Medium</v>
      </c>
      <c r="AD417" t="str">
        <f t="shared" si="40"/>
        <v>Nudge core feature adoption</v>
      </c>
      <c r="AE417">
        <f t="shared" si="41"/>
        <v>17</v>
      </c>
    </row>
    <row r="418" spans="1:31" x14ac:dyDescent="0.35">
      <c r="A418" t="s">
        <v>476</v>
      </c>
      <c r="B418" s="4">
        <v>44940</v>
      </c>
      <c r="C418" s="4">
        <v>46143</v>
      </c>
      <c r="D418" t="s">
        <v>72</v>
      </c>
      <c r="E418">
        <v>35</v>
      </c>
      <c r="F418" t="s">
        <v>61</v>
      </c>
      <c r="G418" t="s">
        <v>63</v>
      </c>
      <c r="H418" t="s">
        <v>41</v>
      </c>
      <c r="I418" t="s">
        <v>54</v>
      </c>
      <c r="J418">
        <v>40</v>
      </c>
      <c r="K418" s="5">
        <v>4292.79</v>
      </c>
      <c r="L418" s="5">
        <v>1585.38</v>
      </c>
      <c r="M418">
        <v>25</v>
      </c>
      <c r="N418">
        <v>12</v>
      </c>
      <c r="O418">
        <v>7</v>
      </c>
      <c r="P418">
        <v>1</v>
      </c>
      <c r="Q418">
        <v>11</v>
      </c>
      <c r="R418">
        <v>0</v>
      </c>
      <c r="S418">
        <v>1</v>
      </c>
      <c r="T418">
        <v>0</v>
      </c>
      <c r="U418">
        <v>1</v>
      </c>
      <c r="V418">
        <v>0</v>
      </c>
      <c r="W418" t="s">
        <v>50</v>
      </c>
      <c r="X418">
        <v>-25</v>
      </c>
      <c r="Y418">
        <v>1</v>
      </c>
      <c r="Z418">
        <f t="shared" si="36"/>
        <v>64</v>
      </c>
      <c r="AA418">
        <f t="shared" si="37"/>
        <v>0.51428571428571423</v>
      </c>
      <c r="AB418">
        <f t="shared" si="38"/>
        <v>59</v>
      </c>
      <c r="AC418" t="str">
        <f t="shared" si="39"/>
        <v>Medium</v>
      </c>
      <c r="AD418" t="str">
        <f t="shared" si="40"/>
        <v>Nudge core feature adoption</v>
      </c>
      <c r="AE418">
        <f t="shared" si="41"/>
        <v>36</v>
      </c>
    </row>
    <row r="419" spans="1:31" x14ac:dyDescent="0.35">
      <c r="A419" t="s">
        <v>477</v>
      </c>
      <c r="B419" s="4">
        <v>45503</v>
      </c>
      <c r="C419" s="4">
        <v>46143</v>
      </c>
      <c r="D419" t="s">
        <v>47</v>
      </c>
      <c r="E419">
        <v>52</v>
      </c>
      <c r="F419" t="s">
        <v>57</v>
      </c>
      <c r="G419" t="s">
        <v>34</v>
      </c>
      <c r="H419" t="s">
        <v>58</v>
      </c>
      <c r="I419" t="s">
        <v>36</v>
      </c>
      <c r="J419">
        <v>21</v>
      </c>
      <c r="K419" s="5">
        <v>660</v>
      </c>
      <c r="L419" s="5">
        <v>1116.8800000000001</v>
      </c>
      <c r="M419">
        <v>31</v>
      </c>
      <c r="N419">
        <v>18</v>
      </c>
      <c r="O419">
        <v>1</v>
      </c>
      <c r="P419">
        <v>0</v>
      </c>
      <c r="Q419">
        <v>20</v>
      </c>
      <c r="R419">
        <v>0</v>
      </c>
      <c r="S419">
        <v>0</v>
      </c>
      <c r="T419">
        <v>1</v>
      </c>
      <c r="U419">
        <v>1</v>
      </c>
      <c r="V419">
        <v>1</v>
      </c>
      <c r="W419" t="s">
        <v>52</v>
      </c>
      <c r="X419">
        <v>34</v>
      </c>
      <c r="Y419">
        <v>0</v>
      </c>
      <c r="Z419">
        <f t="shared" si="36"/>
        <v>81</v>
      </c>
      <c r="AA419">
        <f t="shared" si="37"/>
        <v>1</v>
      </c>
      <c r="AB419">
        <f t="shared" si="38"/>
        <v>0</v>
      </c>
      <c r="AC419" t="str">
        <f t="shared" si="39"/>
        <v>Low</v>
      </c>
      <c r="AD419" t="str">
        <f t="shared" si="40"/>
        <v>Upsell premium bundle</v>
      </c>
      <c r="AE419">
        <f t="shared" si="41"/>
        <v>19</v>
      </c>
    </row>
    <row r="420" spans="1:31" x14ac:dyDescent="0.35">
      <c r="A420" t="s">
        <v>478</v>
      </c>
      <c r="B420" s="4">
        <v>45255</v>
      </c>
      <c r="C420" s="4">
        <v>46143</v>
      </c>
      <c r="D420" t="s">
        <v>72</v>
      </c>
      <c r="E420">
        <v>19</v>
      </c>
      <c r="F420" t="s">
        <v>33</v>
      </c>
      <c r="G420" t="s">
        <v>63</v>
      </c>
      <c r="H420" t="s">
        <v>41</v>
      </c>
      <c r="I420" t="s">
        <v>36</v>
      </c>
      <c r="J420">
        <v>29</v>
      </c>
      <c r="K420" s="5">
        <v>477.91</v>
      </c>
      <c r="L420" s="5">
        <v>127.85</v>
      </c>
      <c r="M420">
        <v>29</v>
      </c>
      <c r="N420">
        <v>15</v>
      </c>
      <c r="O420">
        <v>6</v>
      </c>
      <c r="P420">
        <v>3</v>
      </c>
      <c r="Q420">
        <v>21</v>
      </c>
      <c r="R420">
        <v>3</v>
      </c>
      <c r="S420">
        <v>2</v>
      </c>
      <c r="T420">
        <v>0</v>
      </c>
      <c r="U420">
        <v>0</v>
      </c>
      <c r="V420">
        <v>0</v>
      </c>
      <c r="W420" t="s">
        <v>50</v>
      </c>
      <c r="X420">
        <v>0</v>
      </c>
      <c r="Y420">
        <v>1</v>
      </c>
      <c r="Z420">
        <f t="shared" si="36"/>
        <v>73</v>
      </c>
      <c r="AA420">
        <f t="shared" si="37"/>
        <v>0.84745762711864403</v>
      </c>
      <c r="AB420">
        <f t="shared" si="38"/>
        <v>40</v>
      </c>
      <c r="AC420" t="str">
        <f t="shared" si="39"/>
        <v>Medium</v>
      </c>
      <c r="AD420" t="str">
        <f t="shared" si="40"/>
        <v>Nudge core feature adoption</v>
      </c>
      <c r="AE420">
        <f t="shared" si="41"/>
        <v>27</v>
      </c>
    </row>
    <row r="421" spans="1:31" x14ac:dyDescent="0.35">
      <c r="A421" t="s">
        <v>479</v>
      </c>
      <c r="B421" s="4">
        <v>45284</v>
      </c>
      <c r="C421" s="4">
        <v>46143</v>
      </c>
      <c r="D421" t="s">
        <v>47</v>
      </c>
      <c r="E421">
        <v>29</v>
      </c>
      <c r="F421" t="s">
        <v>33</v>
      </c>
      <c r="G421" t="s">
        <v>63</v>
      </c>
      <c r="H421" t="s">
        <v>58</v>
      </c>
      <c r="I421" t="s">
        <v>36</v>
      </c>
      <c r="J421">
        <v>28</v>
      </c>
      <c r="K421" s="5">
        <v>0</v>
      </c>
      <c r="L421" s="5">
        <v>212.62</v>
      </c>
      <c r="M421">
        <v>33</v>
      </c>
      <c r="N421">
        <v>23</v>
      </c>
      <c r="O421">
        <v>3</v>
      </c>
      <c r="P421">
        <v>0</v>
      </c>
      <c r="Q421">
        <v>29</v>
      </c>
      <c r="R421">
        <v>1</v>
      </c>
      <c r="S421">
        <v>0</v>
      </c>
      <c r="T421">
        <v>1</v>
      </c>
      <c r="U421">
        <v>0</v>
      </c>
      <c r="V421">
        <v>1</v>
      </c>
      <c r="W421" t="s">
        <v>52</v>
      </c>
      <c r="X421">
        <v>30</v>
      </c>
      <c r="Y421">
        <v>0</v>
      </c>
      <c r="Z421">
        <f t="shared" si="36"/>
        <v>89</v>
      </c>
      <c r="AA421">
        <f t="shared" si="37"/>
        <v>1.0689655172413792</v>
      </c>
      <c r="AB421">
        <f t="shared" si="38"/>
        <v>0</v>
      </c>
      <c r="AC421" t="str">
        <f t="shared" si="39"/>
        <v>Low</v>
      </c>
      <c r="AD421" t="str">
        <f t="shared" si="40"/>
        <v>Upsell premium bundle</v>
      </c>
      <c r="AE421">
        <f t="shared" si="41"/>
        <v>11</v>
      </c>
    </row>
    <row r="422" spans="1:31" x14ac:dyDescent="0.35">
      <c r="A422" t="s">
        <v>480</v>
      </c>
      <c r="B422" s="4">
        <v>45048</v>
      </c>
      <c r="C422" s="4">
        <v>46143</v>
      </c>
      <c r="D422" t="s">
        <v>60</v>
      </c>
      <c r="E422">
        <v>27</v>
      </c>
      <c r="F422" t="s">
        <v>43</v>
      </c>
      <c r="G422" t="s">
        <v>67</v>
      </c>
      <c r="H422" t="s">
        <v>44</v>
      </c>
      <c r="I422" t="s">
        <v>36</v>
      </c>
      <c r="J422">
        <v>36</v>
      </c>
      <c r="K422" s="5">
        <v>0</v>
      </c>
      <c r="L422" s="5">
        <v>128.16999999999999</v>
      </c>
      <c r="M422">
        <v>25</v>
      </c>
      <c r="N422">
        <v>13</v>
      </c>
      <c r="O422">
        <v>5</v>
      </c>
      <c r="P422">
        <v>4</v>
      </c>
      <c r="Q422">
        <v>31</v>
      </c>
      <c r="R422">
        <v>3</v>
      </c>
      <c r="S422">
        <v>1</v>
      </c>
      <c r="T422">
        <v>1</v>
      </c>
      <c r="U422">
        <v>0</v>
      </c>
      <c r="V422">
        <v>1</v>
      </c>
      <c r="W422" t="s">
        <v>52</v>
      </c>
      <c r="X422">
        <v>27</v>
      </c>
      <c r="Y422">
        <v>0</v>
      </c>
      <c r="Z422">
        <f t="shared" si="36"/>
        <v>83</v>
      </c>
      <c r="AA422">
        <f t="shared" si="37"/>
        <v>0.84848484848484851</v>
      </c>
      <c r="AB422">
        <f t="shared" si="38"/>
        <v>5</v>
      </c>
      <c r="AC422" t="str">
        <f t="shared" si="39"/>
        <v>Low</v>
      </c>
      <c r="AD422" t="str">
        <f t="shared" si="40"/>
        <v>Upsell premium bundle</v>
      </c>
      <c r="AE422">
        <f t="shared" si="41"/>
        <v>17</v>
      </c>
    </row>
    <row r="423" spans="1:31" x14ac:dyDescent="0.35">
      <c r="A423" t="s">
        <v>481</v>
      </c>
      <c r="B423" s="4">
        <v>45347</v>
      </c>
      <c r="C423" s="4">
        <v>46143</v>
      </c>
      <c r="D423" t="s">
        <v>47</v>
      </c>
      <c r="E423">
        <v>52</v>
      </c>
      <c r="F423" t="s">
        <v>33</v>
      </c>
      <c r="G423" t="s">
        <v>40</v>
      </c>
      <c r="H423" t="s">
        <v>41</v>
      </c>
      <c r="I423" t="s">
        <v>36</v>
      </c>
      <c r="J423">
        <v>26</v>
      </c>
      <c r="K423" s="5">
        <v>196.04</v>
      </c>
      <c r="L423" s="5">
        <v>79.900000000000006</v>
      </c>
      <c r="M423">
        <v>33</v>
      </c>
      <c r="N423">
        <v>14</v>
      </c>
      <c r="O423">
        <v>2</v>
      </c>
      <c r="P423">
        <v>5</v>
      </c>
      <c r="Q423">
        <v>29</v>
      </c>
      <c r="R423">
        <v>0</v>
      </c>
      <c r="S423">
        <v>0</v>
      </c>
      <c r="T423">
        <v>1</v>
      </c>
      <c r="U423">
        <v>1</v>
      </c>
      <c r="V423">
        <v>0</v>
      </c>
      <c r="W423" t="s">
        <v>50</v>
      </c>
      <c r="X423">
        <v>39</v>
      </c>
      <c r="Y423">
        <v>0</v>
      </c>
      <c r="Z423">
        <f t="shared" si="36"/>
        <v>90</v>
      </c>
      <c r="AA423">
        <f t="shared" si="37"/>
        <v>1.1071428571428572</v>
      </c>
      <c r="AB423">
        <f t="shared" si="38"/>
        <v>3</v>
      </c>
      <c r="AC423" t="str">
        <f t="shared" si="39"/>
        <v>Low</v>
      </c>
      <c r="AD423" t="str">
        <f t="shared" si="40"/>
        <v>Upsell premium bundle</v>
      </c>
      <c r="AE423">
        <f t="shared" si="41"/>
        <v>10</v>
      </c>
    </row>
    <row r="424" spans="1:31" x14ac:dyDescent="0.35">
      <c r="A424" t="s">
        <v>482</v>
      </c>
      <c r="B424" s="4">
        <v>45457</v>
      </c>
      <c r="C424" s="4">
        <v>46143</v>
      </c>
      <c r="D424" t="s">
        <v>60</v>
      </c>
      <c r="E424">
        <v>24</v>
      </c>
      <c r="F424" t="s">
        <v>77</v>
      </c>
      <c r="G424" t="s">
        <v>34</v>
      </c>
      <c r="H424" t="s">
        <v>58</v>
      </c>
      <c r="I424" t="s">
        <v>36</v>
      </c>
      <c r="J424">
        <v>22</v>
      </c>
      <c r="K424" s="5">
        <v>13516.43</v>
      </c>
      <c r="L424" s="5">
        <v>1324.13</v>
      </c>
      <c r="M424">
        <v>35</v>
      </c>
      <c r="N424">
        <v>16</v>
      </c>
      <c r="O424">
        <v>2</v>
      </c>
      <c r="P424">
        <v>4</v>
      </c>
      <c r="Q424">
        <v>32</v>
      </c>
      <c r="R424">
        <v>1</v>
      </c>
      <c r="S424">
        <v>2</v>
      </c>
      <c r="T424">
        <v>1</v>
      </c>
      <c r="U424">
        <v>0</v>
      </c>
      <c r="V424">
        <v>0</v>
      </c>
      <c r="W424" t="s">
        <v>50</v>
      </c>
      <c r="X424">
        <v>89</v>
      </c>
      <c r="Y424">
        <v>0</v>
      </c>
      <c r="Z424">
        <f t="shared" si="36"/>
        <v>87</v>
      </c>
      <c r="AA424">
        <f t="shared" si="37"/>
        <v>1.2884615384615385</v>
      </c>
      <c r="AB424">
        <f t="shared" si="38"/>
        <v>0</v>
      </c>
      <c r="AC424" t="str">
        <f t="shared" si="39"/>
        <v>Low</v>
      </c>
      <c r="AD424" t="str">
        <f t="shared" si="40"/>
        <v>Upsell premium bundle</v>
      </c>
      <c r="AE424">
        <f t="shared" si="41"/>
        <v>13</v>
      </c>
    </row>
    <row r="425" spans="1:31" x14ac:dyDescent="0.35">
      <c r="A425" t="s">
        <v>483</v>
      </c>
      <c r="B425" s="4">
        <v>45448</v>
      </c>
      <c r="C425" s="4">
        <v>46143</v>
      </c>
      <c r="D425" t="s">
        <v>66</v>
      </c>
      <c r="E425">
        <v>33</v>
      </c>
      <c r="F425" t="s">
        <v>33</v>
      </c>
      <c r="G425" t="s">
        <v>40</v>
      </c>
      <c r="H425" t="s">
        <v>41</v>
      </c>
      <c r="I425" t="s">
        <v>36</v>
      </c>
      <c r="J425">
        <v>23</v>
      </c>
      <c r="K425" s="5">
        <v>274.69</v>
      </c>
      <c r="L425" s="5">
        <v>524.19000000000005</v>
      </c>
      <c r="M425">
        <v>16</v>
      </c>
      <c r="N425">
        <v>7</v>
      </c>
      <c r="O425">
        <v>4</v>
      </c>
      <c r="P425">
        <v>1</v>
      </c>
      <c r="Q425">
        <v>10</v>
      </c>
      <c r="R425">
        <v>3</v>
      </c>
      <c r="S425">
        <v>0</v>
      </c>
      <c r="T425">
        <v>1</v>
      </c>
      <c r="U425">
        <v>0</v>
      </c>
      <c r="V425">
        <v>0</v>
      </c>
      <c r="W425" t="s">
        <v>37</v>
      </c>
      <c r="X425">
        <v>10</v>
      </c>
      <c r="Y425">
        <v>1</v>
      </c>
      <c r="Z425">
        <f t="shared" si="36"/>
        <v>38</v>
      </c>
      <c r="AA425">
        <f t="shared" si="37"/>
        <v>0.49056603773584906</v>
      </c>
      <c r="AB425">
        <f t="shared" si="38"/>
        <v>33</v>
      </c>
      <c r="AC425" t="str">
        <f t="shared" si="39"/>
        <v>Low</v>
      </c>
      <c r="AD425" t="str">
        <f t="shared" si="40"/>
        <v>Upsell premium bundle</v>
      </c>
      <c r="AE425">
        <f t="shared" si="41"/>
        <v>62</v>
      </c>
    </row>
    <row r="426" spans="1:31" x14ac:dyDescent="0.35">
      <c r="A426" t="s">
        <v>484</v>
      </c>
      <c r="B426" s="4">
        <v>45910</v>
      </c>
      <c r="C426" s="4">
        <v>46143</v>
      </c>
      <c r="D426" t="s">
        <v>32</v>
      </c>
      <c r="E426">
        <v>41</v>
      </c>
      <c r="F426" t="s">
        <v>33</v>
      </c>
      <c r="G426" t="s">
        <v>34</v>
      </c>
      <c r="H426" t="s">
        <v>58</v>
      </c>
      <c r="I426" t="s">
        <v>36</v>
      </c>
      <c r="J426">
        <v>7</v>
      </c>
      <c r="K426" s="5">
        <v>246.99</v>
      </c>
      <c r="L426" s="5">
        <v>127.17</v>
      </c>
      <c r="M426">
        <v>29</v>
      </c>
      <c r="N426">
        <v>20</v>
      </c>
      <c r="O426">
        <v>2</v>
      </c>
      <c r="P426">
        <v>1</v>
      </c>
      <c r="Q426">
        <v>22</v>
      </c>
      <c r="R426">
        <v>1</v>
      </c>
      <c r="S426">
        <v>0</v>
      </c>
      <c r="T426">
        <v>1</v>
      </c>
      <c r="U426">
        <v>0</v>
      </c>
      <c r="V426">
        <v>1</v>
      </c>
      <c r="W426" t="s">
        <v>52</v>
      </c>
      <c r="X426">
        <v>19</v>
      </c>
      <c r="Y426">
        <v>0</v>
      </c>
      <c r="Z426">
        <f t="shared" si="36"/>
        <v>77</v>
      </c>
      <c r="AA426">
        <f t="shared" si="37"/>
        <v>1.3783783783783783</v>
      </c>
      <c r="AB426">
        <f t="shared" si="38"/>
        <v>6</v>
      </c>
      <c r="AC426" t="str">
        <f t="shared" si="39"/>
        <v>Low</v>
      </c>
      <c r="AD426" t="str">
        <f t="shared" si="40"/>
        <v>Upsell premium bundle</v>
      </c>
      <c r="AE426">
        <f t="shared" si="41"/>
        <v>23</v>
      </c>
    </row>
    <row r="427" spans="1:31" x14ac:dyDescent="0.35">
      <c r="A427" t="s">
        <v>485</v>
      </c>
      <c r="B427" s="4">
        <v>45284</v>
      </c>
      <c r="C427" s="4">
        <v>46143</v>
      </c>
      <c r="D427" t="s">
        <v>72</v>
      </c>
      <c r="E427">
        <v>19</v>
      </c>
      <c r="F427" t="s">
        <v>43</v>
      </c>
      <c r="G427" t="s">
        <v>48</v>
      </c>
      <c r="H427" t="s">
        <v>44</v>
      </c>
      <c r="I427" t="s">
        <v>36</v>
      </c>
      <c r="J427">
        <v>28</v>
      </c>
      <c r="K427" s="5">
        <v>0</v>
      </c>
      <c r="L427" s="5">
        <v>111.11</v>
      </c>
      <c r="M427">
        <v>37</v>
      </c>
      <c r="N427">
        <v>26</v>
      </c>
      <c r="O427">
        <v>10</v>
      </c>
      <c r="P427">
        <v>5</v>
      </c>
      <c r="Q427">
        <v>20</v>
      </c>
      <c r="R427">
        <v>1</v>
      </c>
      <c r="S427">
        <v>0</v>
      </c>
      <c r="T427">
        <v>1</v>
      </c>
      <c r="U427">
        <v>1</v>
      </c>
      <c r="V427">
        <v>1</v>
      </c>
      <c r="W427" t="s">
        <v>52</v>
      </c>
      <c r="X427">
        <v>21</v>
      </c>
      <c r="Y427">
        <v>0</v>
      </c>
      <c r="Z427">
        <f t="shared" si="36"/>
        <v>100</v>
      </c>
      <c r="AA427">
        <f t="shared" si="37"/>
        <v>0.98275862068965514</v>
      </c>
      <c r="AB427">
        <f t="shared" si="38"/>
        <v>0</v>
      </c>
      <c r="AC427" t="str">
        <f t="shared" si="39"/>
        <v>Low</v>
      </c>
      <c r="AD427" t="str">
        <f t="shared" si="40"/>
        <v>Upsell premium bundle</v>
      </c>
      <c r="AE427">
        <f t="shared" si="41"/>
        <v>0</v>
      </c>
    </row>
    <row r="428" spans="1:31" x14ac:dyDescent="0.35">
      <c r="A428" t="s">
        <v>486</v>
      </c>
      <c r="B428" s="4">
        <v>45903</v>
      </c>
      <c r="C428" s="4">
        <v>46143</v>
      </c>
      <c r="D428" t="s">
        <v>66</v>
      </c>
      <c r="E428">
        <v>39</v>
      </c>
      <c r="F428" t="s">
        <v>61</v>
      </c>
      <c r="G428" t="s">
        <v>63</v>
      </c>
      <c r="H428" t="s">
        <v>58</v>
      </c>
      <c r="I428" t="s">
        <v>36</v>
      </c>
      <c r="J428">
        <v>8</v>
      </c>
      <c r="K428" s="5">
        <v>4485.6099999999997</v>
      </c>
      <c r="L428" s="5">
        <v>929.36</v>
      </c>
      <c r="M428">
        <v>15</v>
      </c>
      <c r="N428">
        <v>7</v>
      </c>
      <c r="O428">
        <v>1</v>
      </c>
      <c r="P428">
        <v>2</v>
      </c>
      <c r="Q428">
        <v>15</v>
      </c>
      <c r="R428">
        <v>1</v>
      </c>
      <c r="S428">
        <v>1</v>
      </c>
      <c r="T428">
        <v>1</v>
      </c>
      <c r="U428">
        <v>0</v>
      </c>
      <c r="V428">
        <v>1</v>
      </c>
      <c r="W428" t="s">
        <v>50</v>
      </c>
      <c r="X428">
        <v>28</v>
      </c>
      <c r="Y428">
        <v>1</v>
      </c>
      <c r="Z428">
        <f t="shared" si="36"/>
        <v>46</v>
      </c>
      <c r="AA428">
        <f t="shared" si="37"/>
        <v>0.78947368421052633</v>
      </c>
      <c r="AB428">
        <f t="shared" si="38"/>
        <v>22</v>
      </c>
      <c r="AC428" t="str">
        <f t="shared" si="39"/>
        <v>Low</v>
      </c>
      <c r="AD428" t="str">
        <f t="shared" si="40"/>
        <v>Upsell premium bundle</v>
      </c>
      <c r="AE428">
        <f t="shared" si="41"/>
        <v>54</v>
      </c>
    </row>
    <row r="429" spans="1:31" x14ac:dyDescent="0.35">
      <c r="A429" t="s">
        <v>487</v>
      </c>
      <c r="B429" s="4">
        <v>44869</v>
      </c>
      <c r="C429" s="4">
        <v>46143</v>
      </c>
      <c r="D429" t="s">
        <v>47</v>
      </c>
      <c r="E429">
        <v>39</v>
      </c>
      <c r="F429" t="s">
        <v>61</v>
      </c>
      <c r="G429" t="s">
        <v>48</v>
      </c>
      <c r="H429" t="s">
        <v>58</v>
      </c>
      <c r="I429" t="s">
        <v>36</v>
      </c>
      <c r="J429">
        <v>42</v>
      </c>
      <c r="K429" s="5">
        <v>0</v>
      </c>
      <c r="L429" s="5">
        <v>4584.21</v>
      </c>
      <c r="M429">
        <v>18</v>
      </c>
      <c r="N429">
        <v>13</v>
      </c>
      <c r="O429">
        <v>1</v>
      </c>
      <c r="P429">
        <v>0</v>
      </c>
      <c r="Q429">
        <v>21</v>
      </c>
      <c r="R429">
        <v>2</v>
      </c>
      <c r="S429">
        <v>1</v>
      </c>
      <c r="T429">
        <v>1</v>
      </c>
      <c r="U429">
        <v>0</v>
      </c>
      <c r="V429">
        <v>0</v>
      </c>
      <c r="W429" t="s">
        <v>45</v>
      </c>
      <c r="X429">
        <v>9</v>
      </c>
      <c r="Y429">
        <v>0</v>
      </c>
      <c r="Z429">
        <f t="shared" si="36"/>
        <v>49</v>
      </c>
      <c r="AA429">
        <f t="shared" si="37"/>
        <v>0.54166666666666663</v>
      </c>
      <c r="AB429">
        <f t="shared" si="38"/>
        <v>19</v>
      </c>
      <c r="AC429" t="str">
        <f t="shared" si="39"/>
        <v>Low</v>
      </c>
      <c r="AD429" t="str">
        <f t="shared" si="40"/>
        <v>Upsell premium bundle</v>
      </c>
      <c r="AE429">
        <f t="shared" si="41"/>
        <v>51</v>
      </c>
    </row>
    <row r="430" spans="1:31" x14ac:dyDescent="0.35">
      <c r="A430" t="s">
        <v>488</v>
      </c>
      <c r="B430" s="4">
        <v>45306</v>
      </c>
      <c r="C430" s="4">
        <v>46143</v>
      </c>
      <c r="D430" t="s">
        <v>66</v>
      </c>
      <c r="E430">
        <v>49</v>
      </c>
      <c r="F430" t="s">
        <v>33</v>
      </c>
      <c r="G430" t="s">
        <v>48</v>
      </c>
      <c r="H430" t="s">
        <v>41</v>
      </c>
      <c r="I430" t="s">
        <v>36</v>
      </c>
      <c r="J430">
        <v>27</v>
      </c>
      <c r="K430" s="5">
        <v>196.74</v>
      </c>
      <c r="L430" s="5">
        <v>275.98</v>
      </c>
      <c r="M430">
        <v>45</v>
      </c>
      <c r="N430">
        <v>28</v>
      </c>
      <c r="O430">
        <v>6</v>
      </c>
      <c r="P430">
        <v>6</v>
      </c>
      <c r="Q430">
        <v>12</v>
      </c>
      <c r="R430">
        <v>1</v>
      </c>
      <c r="S430">
        <v>0</v>
      </c>
      <c r="T430">
        <v>0</v>
      </c>
      <c r="U430">
        <v>1</v>
      </c>
      <c r="V430">
        <v>0</v>
      </c>
      <c r="W430" t="s">
        <v>52</v>
      </c>
      <c r="X430">
        <v>30</v>
      </c>
      <c r="Y430">
        <v>0</v>
      </c>
      <c r="Z430">
        <f t="shared" si="36"/>
        <v>100</v>
      </c>
      <c r="AA430">
        <f t="shared" si="37"/>
        <v>1</v>
      </c>
      <c r="AB430">
        <f t="shared" si="38"/>
        <v>2</v>
      </c>
      <c r="AC430" t="str">
        <f t="shared" si="39"/>
        <v>Low</v>
      </c>
      <c r="AD430" t="str">
        <f t="shared" si="40"/>
        <v>Upsell premium bundle</v>
      </c>
      <c r="AE430">
        <f t="shared" si="41"/>
        <v>0</v>
      </c>
    </row>
    <row r="431" spans="1:31" x14ac:dyDescent="0.35">
      <c r="A431" t="s">
        <v>489</v>
      </c>
      <c r="B431" s="4">
        <v>45792</v>
      </c>
      <c r="C431" s="4">
        <v>46143</v>
      </c>
      <c r="D431" t="s">
        <v>60</v>
      </c>
      <c r="E431">
        <v>35</v>
      </c>
      <c r="F431" t="s">
        <v>43</v>
      </c>
      <c r="G431" t="s">
        <v>48</v>
      </c>
      <c r="H431" t="s">
        <v>58</v>
      </c>
      <c r="I431" t="s">
        <v>36</v>
      </c>
      <c r="J431">
        <v>11</v>
      </c>
      <c r="K431" s="5">
        <v>105.41</v>
      </c>
      <c r="L431" s="5">
        <v>48.39</v>
      </c>
      <c r="M431">
        <v>6</v>
      </c>
      <c r="N431">
        <v>4</v>
      </c>
      <c r="O431">
        <v>1</v>
      </c>
      <c r="P431">
        <v>0</v>
      </c>
      <c r="Q431">
        <v>9</v>
      </c>
      <c r="R431">
        <v>2</v>
      </c>
      <c r="S431">
        <v>0</v>
      </c>
      <c r="T431">
        <v>0</v>
      </c>
      <c r="U431">
        <v>1</v>
      </c>
      <c r="V431">
        <v>1</v>
      </c>
      <c r="W431" t="s">
        <v>55</v>
      </c>
      <c r="X431">
        <v>34</v>
      </c>
      <c r="Y431">
        <v>1</v>
      </c>
      <c r="Z431">
        <f t="shared" si="36"/>
        <v>34</v>
      </c>
      <c r="AA431">
        <f t="shared" si="37"/>
        <v>0.36585365853658536</v>
      </c>
      <c r="AB431">
        <f t="shared" si="38"/>
        <v>14</v>
      </c>
      <c r="AC431" t="str">
        <f t="shared" si="39"/>
        <v>Low</v>
      </c>
      <c r="AD431" t="str">
        <f t="shared" si="40"/>
        <v>Upsell premium bundle</v>
      </c>
      <c r="AE431">
        <f t="shared" si="41"/>
        <v>66</v>
      </c>
    </row>
    <row r="432" spans="1:31" x14ac:dyDescent="0.35">
      <c r="A432" t="s">
        <v>490</v>
      </c>
      <c r="B432" s="4">
        <v>45983</v>
      </c>
      <c r="C432" s="4">
        <v>46143</v>
      </c>
      <c r="D432" t="s">
        <v>72</v>
      </c>
      <c r="E432">
        <v>61</v>
      </c>
      <c r="F432" t="s">
        <v>33</v>
      </c>
      <c r="G432" t="s">
        <v>85</v>
      </c>
      <c r="H432" t="s">
        <v>41</v>
      </c>
      <c r="I432" t="s">
        <v>36</v>
      </c>
      <c r="J432">
        <v>5</v>
      </c>
      <c r="K432" s="5">
        <v>935.11</v>
      </c>
      <c r="L432" s="5">
        <v>376.65</v>
      </c>
      <c r="M432">
        <v>35</v>
      </c>
      <c r="N432">
        <v>11</v>
      </c>
      <c r="O432">
        <v>8</v>
      </c>
      <c r="P432">
        <v>5</v>
      </c>
      <c r="Q432">
        <v>27</v>
      </c>
      <c r="R432">
        <v>1</v>
      </c>
      <c r="S432">
        <v>0</v>
      </c>
      <c r="T432">
        <v>0</v>
      </c>
      <c r="U432">
        <v>0</v>
      </c>
      <c r="V432">
        <v>0</v>
      </c>
      <c r="W432" t="s">
        <v>50</v>
      </c>
      <c r="X432">
        <v>43</v>
      </c>
      <c r="Y432">
        <v>0</v>
      </c>
      <c r="Z432">
        <f t="shared" si="36"/>
        <v>87</v>
      </c>
      <c r="AA432">
        <f t="shared" si="37"/>
        <v>1.7714285714285714</v>
      </c>
      <c r="AB432">
        <f t="shared" si="38"/>
        <v>0</v>
      </c>
      <c r="AC432" t="str">
        <f t="shared" si="39"/>
        <v>Low</v>
      </c>
      <c r="AD432" t="str">
        <f t="shared" si="40"/>
        <v>Upsell premium bundle</v>
      </c>
      <c r="AE432">
        <f t="shared" si="41"/>
        <v>13</v>
      </c>
    </row>
    <row r="433" spans="1:31" x14ac:dyDescent="0.35">
      <c r="A433" t="s">
        <v>491</v>
      </c>
      <c r="B433" s="4">
        <v>46032</v>
      </c>
      <c r="C433" s="4">
        <v>46143</v>
      </c>
      <c r="D433" t="s">
        <v>39</v>
      </c>
      <c r="E433">
        <v>49</v>
      </c>
      <c r="F433" t="s">
        <v>57</v>
      </c>
      <c r="G433" t="s">
        <v>67</v>
      </c>
      <c r="H433" t="s">
        <v>58</v>
      </c>
      <c r="I433" t="s">
        <v>36</v>
      </c>
      <c r="J433">
        <v>3</v>
      </c>
      <c r="K433" s="5">
        <v>585.27</v>
      </c>
      <c r="L433" s="5">
        <v>3101.85</v>
      </c>
      <c r="M433">
        <v>40</v>
      </c>
      <c r="N433">
        <v>13</v>
      </c>
      <c r="O433">
        <v>4</v>
      </c>
      <c r="P433">
        <v>1</v>
      </c>
      <c r="Q433">
        <v>36</v>
      </c>
      <c r="R433">
        <v>1</v>
      </c>
      <c r="S433">
        <v>0</v>
      </c>
      <c r="T433">
        <v>1</v>
      </c>
      <c r="U433">
        <v>1</v>
      </c>
      <c r="V433">
        <v>0</v>
      </c>
      <c r="W433" t="s">
        <v>52</v>
      </c>
      <c r="X433">
        <v>27</v>
      </c>
      <c r="Y433">
        <v>0</v>
      </c>
      <c r="Z433">
        <f t="shared" si="36"/>
        <v>100</v>
      </c>
      <c r="AA433">
        <f t="shared" si="37"/>
        <v>2.3030303030303032</v>
      </c>
      <c r="AB433">
        <f t="shared" si="38"/>
        <v>0</v>
      </c>
      <c r="AC433" t="str">
        <f t="shared" si="39"/>
        <v>Low</v>
      </c>
      <c r="AD433" t="str">
        <f t="shared" si="40"/>
        <v>Upsell premium bundle</v>
      </c>
      <c r="AE433">
        <f t="shared" si="41"/>
        <v>0</v>
      </c>
    </row>
    <row r="434" spans="1:31" x14ac:dyDescent="0.35">
      <c r="A434" t="s">
        <v>492</v>
      </c>
      <c r="B434" s="4">
        <v>44755</v>
      </c>
      <c r="C434" s="4">
        <v>46143</v>
      </c>
      <c r="D434" t="s">
        <v>32</v>
      </c>
      <c r="E434">
        <v>55</v>
      </c>
      <c r="F434" t="s">
        <v>43</v>
      </c>
      <c r="G434" t="s">
        <v>63</v>
      </c>
      <c r="H434" t="s">
        <v>58</v>
      </c>
      <c r="I434" t="s">
        <v>36</v>
      </c>
      <c r="J434">
        <v>46</v>
      </c>
      <c r="K434" s="5">
        <v>122.94</v>
      </c>
      <c r="L434" s="5">
        <v>15.23</v>
      </c>
      <c r="M434">
        <v>50</v>
      </c>
      <c r="N434">
        <v>20</v>
      </c>
      <c r="O434">
        <v>6</v>
      </c>
      <c r="P434">
        <v>8</v>
      </c>
      <c r="Q434">
        <v>45</v>
      </c>
      <c r="R434">
        <v>1</v>
      </c>
      <c r="S434">
        <v>2</v>
      </c>
      <c r="T434">
        <v>1</v>
      </c>
      <c r="U434">
        <v>1</v>
      </c>
      <c r="V434">
        <v>0</v>
      </c>
      <c r="W434" t="s">
        <v>55</v>
      </c>
      <c r="X434">
        <v>-18</v>
      </c>
      <c r="Y434">
        <v>0</v>
      </c>
      <c r="Z434">
        <f t="shared" si="36"/>
        <v>100</v>
      </c>
      <c r="AA434">
        <f t="shared" si="37"/>
        <v>1.25</v>
      </c>
      <c r="AB434">
        <f t="shared" si="38"/>
        <v>32</v>
      </c>
      <c r="AC434" t="str">
        <f t="shared" si="39"/>
        <v>Low</v>
      </c>
      <c r="AD434" t="str">
        <f t="shared" si="40"/>
        <v>Upsell premium bundle</v>
      </c>
      <c r="AE434">
        <f t="shared" si="41"/>
        <v>0</v>
      </c>
    </row>
    <row r="435" spans="1:31" x14ac:dyDescent="0.35">
      <c r="A435" t="s">
        <v>493</v>
      </c>
      <c r="B435" s="4">
        <v>45430</v>
      </c>
      <c r="C435" s="4">
        <v>46143</v>
      </c>
      <c r="D435" t="s">
        <v>66</v>
      </c>
      <c r="E435">
        <v>61</v>
      </c>
      <c r="F435" t="s">
        <v>77</v>
      </c>
      <c r="G435" t="s">
        <v>34</v>
      </c>
      <c r="H435" t="s">
        <v>58</v>
      </c>
      <c r="I435" t="s">
        <v>36</v>
      </c>
      <c r="J435">
        <v>23</v>
      </c>
      <c r="K435" s="5">
        <v>9247.01</v>
      </c>
      <c r="L435" s="5">
        <v>7027.48</v>
      </c>
      <c r="M435">
        <v>29</v>
      </c>
      <c r="N435">
        <v>9</v>
      </c>
      <c r="O435">
        <v>3</v>
      </c>
      <c r="P435">
        <v>3</v>
      </c>
      <c r="Q435">
        <v>18</v>
      </c>
      <c r="R435">
        <v>4</v>
      </c>
      <c r="S435">
        <v>1</v>
      </c>
      <c r="T435">
        <v>0</v>
      </c>
      <c r="U435">
        <v>1</v>
      </c>
      <c r="V435">
        <v>1</v>
      </c>
      <c r="W435" t="s">
        <v>55</v>
      </c>
      <c r="X435">
        <v>33</v>
      </c>
      <c r="Y435">
        <v>0</v>
      </c>
      <c r="Z435">
        <f t="shared" si="36"/>
        <v>77</v>
      </c>
      <c r="AA435">
        <f t="shared" si="37"/>
        <v>0.8867924528301887</v>
      </c>
      <c r="AB435">
        <f t="shared" si="38"/>
        <v>0</v>
      </c>
      <c r="AC435" t="str">
        <f t="shared" si="39"/>
        <v>Low</v>
      </c>
      <c r="AD435" t="str">
        <f t="shared" si="40"/>
        <v>Upsell premium bundle</v>
      </c>
      <c r="AE435">
        <f t="shared" si="41"/>
        <v>23</v>
      </c>
    </row>
    <row r="436" spans="1:31" x14ac:dyDescent="0.35">
      <c r="A436" t="s">
        <v>494</v>
      </c>
      <c r="B436" s="4">
        <v>46105</v>
      </c>
      <c r="C436" s="4">
        <v>46143</v>
      </c>
      <c r="D436" t="s">
        <v>32</v>
      </c>
      <c r="E436">
        <v>31</v>
      </c>
      <c r="F436" t="s">
        <v>43</v>
      </c>
      <c r="G436" t="s">
        <v>34</v>
      </c>
      <c r="H436" t="s">
        <v>41</v>
      </c>
      <c r="I436" t="s">
        <v>36</v>
      </c>
      <c r="J436">
        <v>1</v>
      </c>
      <c r="K436" s="5">
        <v>0</v>
      </c>
      <c r="L436" s="5">
        <v>0</v>
      </c>
      <c r="M436">
        <v>41</v>
      </c>
      <c r="N436">
        <v>10</v>
      </c>
      <c r="O436">
        <v>9</v>
      </c>
      <c r="P436">
        <v>3</v>
      </c>
      <c r="Q436">
        <v>22</v>
      </c>
      <c r="R436">
        <v>0</v>
      </c>
      <c r="S436">
        <v>0</v>
      </c>
      <c r="T436">
        <v>0</v>
      </c>
      <c r="U436">
        <v>1</v>
      </c>
      <c r="V436">
        <v>0</v>
      </c>
      <c r="W436" t="s">
        <v>37</v>
      </c>
      <c r="X436">
        <v>52</v>
      </c>
      <c r="Y436">
        <v>1</v>
      </c>
      <c r="Z436">
        <f t="shared" si="36"/>
        <v>95</v>
      </c>
      <c r="AA436">
        <f t="shared" si="37"/>
        <v>2.032258064516129</v>
      </c>
      <c r="AB436">
        <f t="shared" si="38"/>
        <v>0</v>
      </c>
      <c r="AC436" t="str">
        <f t="shared" si="39"/>
        <v>Low</v>
      </c>
      <c r="AD436" t="str">
        <f t="shared" si="40"/>
        <v>Upsell premium bundle</v>
      </c>
      <c r="AE436">
        <f t="shared" si="41"/>
        <v>5</v>
      </c>
    </row>
    <row r="437" spans="1:31" x14ac:dyDescent="0.35">
      <c r="A437" t="s">
        <v>495</v>
      </c>
      <c r="B437" s="4">
        <v>45418</v>
      </c>
      <c r="C437" s="4">
        <v>46143</v>
      </c>
      <c r="D437" t="s">
        <v>39</v>
      </c>
      <c r="E437">
        <v>25</v>
      </c>
      <c r="F437" t="s">
        <v>43</v>
      </c>
      <c r="G437" t="s">
        <v>63</v>
      </c>
      <c r="H437" t="s">
        <v>58</v>
      </c>
      <c r="I437" t="s">
        <v>36</v>
      </c>
      <c r="J437">
        <v>24</v>
      </c>
      <c r="K437" s="5">
        <v>83.3</v>
      </c>
      <c r="L437" s="5">
        <v>72.010000000000005</v>
      </c>
      <c r="M437">
        <v>29</v>
      </c>
      <c r="N437">
        <v>19</v>
      </c>
      <c r="O437">
        <v>7</v>
      </c>
      <c r="P437">
        <v>2</v>
      </c>
      <c r="Q437">
        <v>23</v>
      </c>
      <c r="R437">
        <v>0</v>
      </c>
      <c r="S437">
        <v>0</v>
      </c>
      <c r="T437">
        <v>0</v>
      </c>
      <c r="U437">
        <v>1</v>
      </c>
      <c r="V437">
        <v>0</v>
      </c>
      <c r="W437" t="s">
        <v>52</v>
      </c>
      <c r="X437">
        <v>42</v>
      </c>
      <c r="Y437">
        <v>0</v>
      </c>
      <c r="Z437">
        <f t="shared" si="36"/>
        <v>85</v>
      </c>
      <c r="AA437">
        <f t="shared" si="37"/>
        <v>0.96296296296296291</v>
      </c>
      <c r="AB437">
        <f t="shared" si="38"/>
        <v>0</v>
      </c>
      <c r="AC437" t="str">
        <f t="shared" si="39"/>
        <v>Low</v>
      </c>
      <c r="AD437" t="str">
        <f t="shared" si="40"/>
        <v>Upsell premium bundle</v>
      </c>
      <c r="AE437">
        <f t="shared" si="41"/>
        <v>15</v>
      </c>
    </row>
    <row r="438" spans="1:31" x14ac:dyDescent="0.35">
      <c r="A438" t="s">
        <v>496</v>
      </c>
      <c r="B438" s="4">
        <v>45801</v>
      </c>
      <c r="C438" s="4">
        <v>46143</v>
      </c>
      <c r="D438" t="s">
        <v>72</v>
      </c>
      <c r="E438">
        <v>70</v>
      </c>
      <c r="F438" t="s">
        <v>57</v>
      </c>
      <c r="G438" t="s">
        <v>40</v>
      </c>
      <c r="H438" t="s">
        <v>41</v>
      </c>
      <c r="I438" t="s">
        <v>36</v>
      </c>
      <c r="J438">
        <v>11</v>
      </c>
      <c r="K438" s="5">
        <v>1104.82</v>
      </c>
      <c r="L438" s="5">
        <v>455.1</v>
      </c>
      <c r="M438">
        <v>24</v>
      </c>
      <c r="N438">
        <v>8</v>
      </c>
      <c r="O438">
        <v>1</v>
      </c>
      <c r="P438">
        <v>0</v>
      </c>
      <c r="Q438">
        <v>4</v>
      </c>
      <c r="R438">
        <v>1</v>
      </c>
      <c r="S438">
        <v>2</v>
      </c>
      <c r="T438">
        <v>1</v>
      </c>
      <c r="U438">
        <v>1</v>
      </c>
      <c r="V438">
        <v>0</v>
      </c>
      <c r="W438" t="s">
        <v>37</v>
      </c>
      <c r="X438">
        <v>8</v>
      </c>
      <c r="Y438">
        <v>1</v>
      </c>
      <c r="Z438">
        <f t="shared" si="36"/>
        <v>45</v>
      </c>
      <c r="AA438">
        <f t="shared" si="37"/>
        <v>0.68292682926829273</v>
      </c>
      <c r="AB438">
        <f t="shared" si="38"/>
        <v>51</v>
      </c>
      <c r="AC438" t="str">
        <f t="shared" si="39"/>
        <v>Medium</v>
      </c>
      <c r="AD438" t="str">
        <f t="shared" si="40"/>
        <v>Nudge core feature adoption</v>
      </c>
      <c r="AE438">
        <f t="shared" si="41"/>
        <v>55</v>
      </c>
    </row>
    <row r="439" spans="1:31" x14ac:dyDescent="0.35">
      <c r="A439" t="s">
        <v>497</v>
      </c>
      <c r="B439" s="4">
        <v>45047</v>
      </c>
      <c r="C439" s="4">
        <v>46143</v>
      </c>
      <c r="D439" t="s">
        <v>32</v>
      </c>
      <c r="E439">
        <v>27</v>
      </c>
      <c r="F439" t="s">
        <v>61</v>
      </c>
      <c r="G439" t="s">
        <v>48</v>
      </c>
      <c r="H439" t="s">
        <v>35</v>
      </c>
      <c r="I439" t="s">
        <v>36</v>
      </c>
      <c r="J439">
        <v>36</v>
      </c>
      <c r="K439" s="5">
        <v>4547.16</v>
      </c>
      <c r="L439" s="5">
        <v>1512.15</v>
      </c>
      <c r="M439">
        <v>36</v>
      </c>
      <c r="N439">
        <v>9</v>
      </c>
      <c r="O439">
        <v>7</v>
      </c>
      <c r="P439">
        <v>7</v>
      </c>
      <c r="Q439">
        <v>16</v>
      </c>
      <c r="R439">
        <v>0</v>
      </c>
      <c r="S439">
        <v>0</v>
      </c>
      <c r="T439">
        <v>1</v>
      </c>
      <c r="U439">
        <v>1</v>
      </c>
      <c r="V439">
        <v>1</v>
      </c>
      <c r="W439" t="s">
        <v>55</v>
      </c>
      <c r="X439">
        <v>64</v>
      </c>
      <c r="Y439">
        <v>0</v>
      </c>
      <c r="Z439">
        <f t="shared" si="36"/>
        <v>94</v>
      </c>
      <c r="AA439">
        <f t="shared" si="37"/>
        <v>0.78787878787878785</v>
      </c>
      <c r="AB439">
        <f t="shared" si="38"/>
        <v>0</v>
      </c>
      <c r="AC439" t="str">
        <f t="shared" si="39"/>
        <v>Low</v>
      </c>
      <c r="AD439" t="str">
        <f t="shared" si="40"/>
        <v>Upsell premium bundle</v>
      </c>
      <c r="AE439">
        <f t="shared" si="41"/>
        <v>6</v>
      </c>
    </row>
    <row r="440" spans="1:31" x14ac:dyDescent="0.35">
      <c r="A440" t="s">
        <v>498</v>
      </c>
      <c r="B440" s="4">
        <v>44973</v>
      </c>
      <c r="C440" s="4">
        <v>46143</v>
      </c>
      <c r="D440" t="s">
        <v>47</v>
      </c>
      <c r="E440">
        <v>61</v>
      </c>
      <c r="F440" t="s">
        <v>43</v>
      </c>
      <c r="G440" t="s">
        <v>34</v>
      </c>
      <c r="H440" t="s">
        <v>44</v>
      </c>
      <c r="I440" t="s">
        <v>36</v>
      </c>
      <c r="J440">
        <v>39</v>
      </c>
      <c r="K440" s="5">
        <v>71.5</v>
      </c>
      <c r="L440" s="5">
        <v>5.54</v>
      </c>
      <c r="M440">
        <v>65</v>
      </c>
      <c r="N440">
        <v>22</v>
      </c>
      <c r="O440">
        <v>17</v>
      </c>
      <c r="P440">
        <v>0</v>
      </c>
      <c r="Q440">
        <v>38</v>
      </c>
      <c r="R440">
        <v>3</v>
      </c>
      <c r="S440">
        <v>0</v>
      </c>
      <c r="T440">
        <v>1</v>
      </c>
      <c r="U440">
        <v>1</v>
      </c>
      <c r="V440">
        <v>0</v>
      </c>
      <c r="W440" t="s">
        <v>55</v>
      </c>
      <c r="X440">
        <v>56</v>
      </c>
      <c r="Y440">
        <v>0</v>
      </c>
      <c r="Z440">
        <f t="shared" si="36"/>
        <v>100</v>
      </c>
      <c r="AA440">
        <f t="shared" si="37"/>
        <v>1.4927536231884058</v>
      </c>
      <c r="AB440">
        <f t="shared" si="38"/>
        <v>0</v>
      </c>
      <c r="AC440" t="str">
        <f t="shared" si="39"/>
        <v>Low</v>
      </c>
      <c r="AD440" t="str">
        <f t="shared" si="40"/>
        <v>Upsell premium bundle</v>
      </c>
      <c r="AE440">
        <f t="shared" si="41"/>
        <v>0</v>
      </c>
    </row>
    <row r="441" spans="1:31" x14ac:dyDescent="0.35">
      <c r="A441" t="s">
        <v>499</v>
      </c>
      <c r="B441" s="4">
        <v>45372</v>
      </c>
      <c r="C441" s="4">
        <v>46143</v>
      </c>
      <c r="D441" t="s">
        <v>60</v>
      </c>
      <c r="E441">
        <v>49</v>
      </c>
      <c r="F441" t="s">
        <v>57</v>
      </c>
      <c r="G441" t="s">
        <v>67</v>
      </c>
      <c r="H441" t="s">
        <v>41</v>
      </c>
      <c r="I441" t="s">
        <v>36</v>
      </c>
      <c r="J441">
        <v>25</v>
      </c>
      <c r="K441" s="5">
        <v>2228.27</v>
      </c>
      <c r="L441" s="5">
        <v>102.76</v>
      </c>
      <c r="M441">
        <v>18</v>
      </c>
      <c r="N441">
        <v>9</v>
      </c>
      <c r="O441">
        <v>2</v>
      </c>
      <c r="P441">
        <v>3</v>
      </c>
      <c r="Q441">
        <v>20</v>
      </c>
      <c r="R441">
        <v>0</v>
      </c>
      <c r="S441">
        <v>0</v>
      </c>
      <c r="T441">
        <v>1</v>
      </c>
      <c r="U441">
        <v>0</v>
      </c>
      <c r="V441">
        <v>1</v>
      </c>
      <c r="W441" t="s">
        <v>55</v>
      </c>
      <c r="X441">
        <v>39</v>
      </c>
      <c r="Y441">
        <v>1</v>
      </c>
      <c r="Z441">
        <f t="shared" si="36"/>
        <v>58</v>
      </c>
      <c r="AA441">
        <f t="shared" si="37"/>
        <v>0.69090909090909092</v>
      </c>
      <c r="AB441">
        <f t="shared" si="38"/>
        <v>15</v>
      </c>
      <c r="AC441" t="str">
        <f t="shared" si="39"/>
        <v>Low</v>
      </c>
      <c r="AD441" t="str">
        <f t="shared" si="40"/>
        <v>Upsell premium bundle</v>
      </c>
      <c r="AE441">
        <f t="shared" si="41"/>
        <v>42</v>
      </c>
    </row>
    <row r="442" spans="1:31" x14ac:dyDescent="0.35">
      <c r="A442" t="s">
        <v>500</v>
      </c>
      <c r="B442" s="4">
        <v>44957</v>
      </c>
      <c r="C442" s="4">
        <v>46143</v>
      </c>
      <c r="D442" t="s">
        <v>66</v>
      </c>
      <c r="E442">
        <v>61</v>
      </c>
      <c r="F442" t="s">
        <v>43</v>
      </c>
      <c r="G442" t="s">
        <v>34</v>
      </c>
      <c r="H442" t="s">
        <v>44</v>
      </c>
      <c r="I442" t="s">
        <v>36</v>
      </c>
      <c r="J442">
        <v>39</v>
      </c>
      <c r="K442" s="5">
        <v>45.14</v>
      </c>
      <c r="L442" s="5">
        <v>21.07</v>
      </c>
      <c r="M442">
        <v>31</v>
      </c>
      <c r="N442">
        <v>13</v>
      </c>
      <c r="O442">
        <v>4</v>
      </c>
      <c r="P442">
        <v>5</v>
      </c>
      <c r="Q442">
        <v>13</v>
      </c>
      <c r="R442">
        <v>0</v>
      </c>
      <c r="S442">
        <v>2</v>
      </c>
      <c r="T442">
        <v>0</v>
      </c>
      <c r="U442">
        <v>0</v>
      </c>
      <c r="V442">
        <v>0</v>
      </c>
      <c r="W442" t="s">
        <v>50</v>
      </c>
      <c r="X442">
        <v>49</v>
      </c>
      <c r="Y442">
        <v>0</v>
      </c>
      <c r="Z442">
        <f t="shared" si="36"/>
        <v>67</v>
      </c>
      <c r="AA442">
        <f t="shared" si="37"/>
        <v>0.6376811594202898</v>
      </c>
      <c r="AB442">
        <f t="shared" si="38"/>
        <v>13</v>
      </c>
      <c r="AC442" t="str">
        <f t="shared" si="39"/>
        <v>Low</v>
      </c>
      <c r="AD442" t="str">
        <f t="shared" si="40"/>
        <v>Upsell premium bundle</v>
      </c>
      <c r="AE442">
        <f t="shared" si="41"/>
        <v>33</v>
      </c>
    </row>
    <row r="443" spans="1:31" x14ac:dyDescent="0.35">
      <c r="A443" t="s">
        <v>501</v>
      </c>
      <c r="B443" s="4">
        <v>45712</v>
      </c>
      <c r="C443" s="4">
        <v>46143</v>
      </c>
      <c r="D443" t="s">
        <v>47</v>
      </c>
      <c r="E443">
        <v>51</v>
      </c>
      <c r="F443" t="s">
        <v>61</v>
      </c>
      <c r="G443" t="s">
        <v>63</v>
      </c>
      <c r="H443" t="s">
        <v>41</v>
      </c>
      <c r="I443" t="s">
        <v>36</v>
      </c>
      <c r="J443">
        <v>14</v>
      </c>
      <c r="K443" s="5">
        <v>4356.3599999999997</v>
      </c>
      <c r="L443" s="5">
        <v>858.35</v>
      </c>
      <c r="M443">
        <v>35</v>
      </c>
      <c r="N443">
        <v>20</v>
      </c>
      <c r="O443">
        <v>2</v>
      </c>
      <c r="P443">
        <v>5</v>
      </c>
      <c r="Q443">
        <v>29</v>
      </c>
      <c r="R443">
        <v>1</v>
      </c>
      <c r="S443">
        <v>1</v>
      </c>
      <c r="T443">
        <v>0</v>
      </c>
      <c r="U443">
        <v>0</v>
      </c>
      <c r="V443">
        <v>1</v>
      </c>
      <c r="W443" t="s">
        <v>52</v>
      </c>
      <c r="X443">
        <v>-43</v>
      </c>
      <c r="Y443">
        <v>0</v>
      </c>
      <c r="Z443">
        <f t="shared" si="36"/>
        <v>95</v>
      </c>
      <c r="AA443">
        <f t="shared" si="37"/>
        <v>1.4545454545454546</v>
      </c>
      <c r="AB443">
        <f t="shared" si="38"/>
        <v>48</v>
      </c>
      <c r="AC443" t="str">
        <f t="shared" si="39"/>
        <v>Medium</v>
      </c>
      <c r="AD443" t="str">
        <f t="shared" si="40"/>
        <v>Nudge core feature adoption</v>
      </c>
      <c r="AE443">
        <f t="shared" si="41"/>
        <v>5</v>
      </c>
    </row>
    <row r="444" spans="1:31" x14ac:dyDescent="0.35">
      <c r="A444" t="s">
        <v>502</v>
      </c>
      <c r="B444" s="4">
        <v>45625</v>
      </c>
      <c r="C444" s="4">
        <v>46143</v>
      </c>
      <c r="D444" t="s">
        <v>72</v>
      </c>
      <c r="E444">
        <v>49</v>
      </c>
      <c r="F444" t="s">
        <v>33</v>
      </c>
      <c r="G444" t="s">
        <v>67</v>
      </c>
      <c r="H444" t="s">
        <v>41</v>
      </c>
      <c r="I444" t="s">
        <v>36</v>
      </c>
      <c r="J444">
        <v>17</v>
      </c>
      <c r="K444" s="5">
        <v>97.98</v>
      </c>
      <c r="L444" s="5">
        <v>338.49</v>
      </c>
      <c r="M444">
        <v>4</v>
      </c>
      <c r="N444">
        <v>1</v>
      </c>
      <c r="O444">
        <v>0</v>
      </c>
      <c r="P444">
        <v>0</v>
      </c>
      <c r="Q444">
        <v>3</v>
      </c>
      <c r="R444">
        <v>2</v>
      </c>
      <c r="S444">
        <v>3</v>
      </c>
      <c r="T444">
        <v>0</v>
      </c>
      <c r="U444">
        <v>1</v>
      </c>
      <c r="V444">
        <v>0</v>
      </c>
      <c r="W444" t="s">
        <v>55</v>
      </c>
      <c r="X444">
        <v>11</v>
      </c>
      <c r="Y444">
        <v>1</v>
      </c>
      <c r="Z444">
        <f t="shared" si="36"/>
        <v>16</v>
      </c>
      <c r="AA444">
        <f t="shared" si="37"/>
        <v>0.14893617021276595</v>
      </c>
      <c r="AB444">
        <f t="shared" si="38"/>
        <v>67</v>
      </c>
      <c r="AC444" t="str">
        <f t="shared" si="39"/>
        <v>Medium</v>
      </c>
      <c r="AD444" t="str">
        <f t="shared" si="40"/>
        <v>Nudge core feature adoption</v>
      </c>
      <c r="AE444">
        <f t="shared" si="41"/>
        <v>84</v>
      </c>
    </row>
    <row r="445" spans="1:31" x14ac:dyDescent="0.35">
      <c r="A445" t="s">
        <v>503</v>
      </c>
      <c r="B445" s="4">
        <v>44720</v>
      </c>
      <c r="C445" s="4">
        <v>46143</v>
      </c>
      <c r="D445" t="s">
        <v>47</v>
      </c>
      <c r="E445">
        <v>48</v>
      </c>
      <c r="F445" t="s">
        <v>77</v>
      </c>
      <c r="G445" t="s">
        <v>34</v>
      </c>
      <c r="H445" t="s">
        <v>41</v>
      </c>
      <c r="I445" t="s">
        <v>49</v>
      </c>
      <c r="J445">
        <v>47</v>
      </c>
      <c r="K445" s="5">
        <v>5969.16</v>
      </c>
      <c r="L445" s="5">
        <v>0</v>
      </c>
      <c r="M445">
        <v>26</v>
      </c>
      <c r="N445">
        <v>18</v>
      </c>
      <c r="O445">
        <v>2</v>
      </c>
      <c r="P445">
        <v>5</v>
      </c>
      <c r="Q445">
        <v>21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50</v>
      </c>
      <c r="X445">
        <v>-22</v>
      </c>
      <c r="Y445">
        <v>1</v>
      </c>
      <c r="Z445">
        <f t="shared" si="36"/>
        <v>70</v>
      </c>
      <c r="AA445">
        <f t="shared" si="37"/>
        <v>0.61038961038961037</v>
      </c>
      <c r="AB445">
        <f t="shared" si="38"/>
        <v>57</v>
      </c>
      <c r="AC445" t="str">
        <f t="shared" si="39"/>
        <v>Medium</v>
      </c>
      <c r="AD445" t="str">
        <f t="shared" si="40"/>
        <v>Nudge core feature adoption</v>
      </c>
      <c r="AE445">
        <f t="shared" si="41"/>
        <v>30</v>
      </c>
    </row>
    <row r="446" spans="1:31" x14ac:dyDescent="0.35">
      <c r="A446" t="s">
        <v>504</v>
      </c>
      <c r="B446" s="4">
        <v>45410</v>
      </c>
      <c r="C446" s="4">
        <v>46143</v>
      </c>
      <c r="D446" t="s">
        <v>66</v>
      </c>
      <c r="E446">
        <v>49</v>
      </c>
      <c r="F446" t="s">
        <v>57</v>
      </c>
      <c r="G446" t="s">
        <v>48</v>
      </c>
      <c r="H446" t="s">
        <v>35</v>
      </c>
      <c r="I446" t="s">
        <v>36</v>
      </c>
      <c r="J446">
        <v>24</v>
      </c>
      <c r="K446" s="5">
        <v>586.61</v>
      </c>
      <c r="L446" s="5">
        <v>1272.8</v>
      </c>
      <c r="M446">
        <v>24</v>
      </c>
      <c r="N446">
        <v>10</v>
      </c>
      <c r="O446">
        <v>5</v>
      </c>
      <c r="P446">
        <v>5</v>
      </c>
      <c r="Q446">
        <v>19</v>
      </c>
      <c r="R446">
        <v>4</v>
      </c>
      <c r="S446">
        <v>0</v>
      </c>
      <c r="T446">
        <v>1</v>
      </c>
      <c r="U446">
        <v>1</v>
      </c>
      <c r="V446">
        <v>1</v>
      </c>
      <c r="W446" t="s">
        <v>37</v>
      </c>
      <c r="X446">
        <v>29</v>
      </c>
      <c r="Y446">
        <v>0</v>
      </c>
      <c r="Z446">
        <f t="shared" si="36"/>
        <v>79</v>
      </c>
      <c r="AA446">
        <f t="shared" si="37"/>
        <v>0.79629629629629628</v>
      </c>
      <c r="AB446">
        <f t="shared" si="38"/>
        <v>0</v>
      </c>
      <c r="AC446" t="str">
        <f t="shared" si="39"/>
        <v>Low</v>
      </c>
      <c r="AD446" t="str">
        <f t="shared" si="40"/>
        <v>Upsell premium bundle</v>
      </c>
      <c r="AE446">
        <f t="shared" si="41"/>
        <v>21</v>
      </c>
    </row>
    <row r="447" spans="1:31" x14ac:dyDescent="0.35">
      <c r="A447" t="s">
        <v>505</v>
      </c>
      <c r="B447" s="4">
        <v>45470</v>
      </c>
      <c r="C447" s="4">
        <v>46143</v>
      </c>
      <c r="D447" t="s">
        <v>72</v>
      </c>
      <c r="E447">
        <v>30</v>
      </c>
      <c r="F447" t="s">
        <v>43</v>
      </c>
      <c r="G447" t="s">
        <v>67</v>
      </c>
      <c r="H447" t="s">
        <v>41</v>
      </c>
      <c r="I447" t="s">
        <v>36</v>
      </c>
      <c r="J447">
        <v>22</v>
      </c>
      <c r="K447" s="5">
        <v>117.63</v>
      </c>
      <c r="L447" s="5">
        <v>31.67</v>
      </c>
      <c r="M447">
        <v>23</v>
      </c>
      <c r="N447">
        <v>8</v>
      </c>
      <c r="O447">
        <v>6</v>
      </c>
      <c r="P447">
        <v>2</v>
      </c>
      <c r="Q447">
        <v>18</v>
      </c>
      <c r="R447">
        <v>1</v>
      </c>
      <c r="S447">
        <v>1</v>
      </c>
      <c r="T447">
        <v>0</v>
      </c>
      <c r="U447">
        <v>0</v>
      </c>
      <c r="V447">
        <v>0</v>
      </c>
      <c r="W447" t="s">
        <v>52</v>
      </c>
      <c r="X447">
        <v>59</v>
      </c>
      <c r="Y447">
        <v>0</v>
      </c>
      <c r="Z447">
        <f t="shared" si="36"/>
        <v>57</v>
      </c>
      <c r="AA447">
        <f t="shared" si="37"/>
        <v>0.78846153846153844</v>
      </c>
      <c r="AB447">
        <f t="shared" si="38"/>
        <v>12</v>
      </c>
      <c r="AC447" t="str">
        <f t="shared" si="39"/>
        <v>Low</v>
      </c>
      <c r="AD447" t="str">
        <f t="shared" si="40"/>
        <v>Upsell premium bundle</v>
      </c>
      <c r="AE447">
        <f t="shared" si="41"/>
        <v>43</v>
      </c>
    </row>
    <row r="448" spans="1:31" x14ac:dyDescent="0.35">
      <c r="A448" t="s">
        <v>506</v>
      </c>
      <c r="B448" s="4">
        <v>45292</v>
      </c>
      <c r="C448" s="4">
        <v>46143</v>
      </c>
      <c r="D448" t="s">
        <v>39</v>
      </c>
      <c r="E448">
        <v>43</v>
      </c>
      <c r="F448" t="s">
        <v>61</v>
      </c>
      <c r="G448" t="s">
        <v>67</v>
      </c>
      <c r="H448" t="s">
        <v>41</v>
      </c>
      <c r="I448" t="s">
        <v>36</v>
      </c>
      <c r="J448">
        <v>28</v>
      </c>
      <c r="K448" s="5">
        <v>6760.61</v>
      </c>
      <c r="L448" s="5">
        <v>2677.06</v>
      </c>
      <c r="M448">
        <v>37</v>
      </c>
      <c r="N448">
        <v>22</v>
      </c>
      <c r="O448">
        <v>4</v>
      </c>
      <c r="P448">
        <v>4</v>
      </c>
      <c r="Q448">
        <v>29</v>
      </c>
      <c r="R448">
        <v>0</v>
      </c>
      <c r="S448">
        <v>0</v>
      </c>
      <c r="T448">
        <v>1</v>
      </c>
      <c r="U448">
        <v>0</v>
      </c>
      <c r="V448">
        <v>0</v>
      </c>
      <c r="W448" t="s">
        <v>37</v>
      </c>
      <c r="X448">
        <v>48</v>
      </c>
      <c r="Y448">
        <v>0</v>
      </c>
      <c r="Z448">
        <f t="shared" si="36"/>
        <v>93</v>
      </c>
      <c r="AA448">
        <f t="shared" si="37"/>
        <v>1.1379310344827587</v>
      </c>
      <c r="AB448">
        <f t="shared" si="38"/>
        <v>0</v>
      </c>
      <c r="AC448" t="str">
        <f t="shared" si="39"/>
        <v>Low</v>
      </c>
      <c r="AD448" t="str">
        <f t="shared" si="40"/>
        <v>Upsell premium bundle</v>
      </c>
      <c r="AE448">
        <f t="shared" si="41"/>
        <v>7</v>
      </c>
    </row>
    <row r="449" spans="1:31" x14ac:dyDescent="0.35">
      <c r="A449" t="s">
        <v>507</v>
      </c>
      <c r="B449" s="4">
        <v>45911</v>
      </c>
      <c r="C449" s="4">
        <v>46143</v>
      </c>
      <c r="D449" t="s">
        <v>72</v>
      </c>
      <c r="E449">
        <v>34</v>
      </c>
      <c r="F449" t="s">
        <v>33</v>
      </c>
      <c r="G449" t="s">
        <v>48</v>
      </c>
      <c r="H449" t="s">
        <v>44</v>
      </c>
      <c r="I449" t="s">
        <v>36</v>
      </c>
      <c r="J449">
        <v>7</v>
      </c>
      <c r="K449" s="5">
        <v>478.36</v>
      </c>
      <c r="L449" s="5">
        <v>239.88</v>
      </c>
      <c r="M449">
        <v>41</v>
      </c>
      <c r="N449">
        <v>14</v>
      </c>
      <c r="O449">
        <v>5</v>
      </c>
      <c r="P449">
        <v>1</v>
      </c>
      <c r="Q449">
        <v>14</v>
      </c>
      <c r="R449">
        <v>1</v>
      </c>
      <c r="S449">
        <v>1</v>
      </c>
      <c r="T449">
        <v>0</v>
      </c>
      <c r="U449">
        <v>0</v>
      </c>
      <c r="V449">
        <v>0</v>
      </c>
      <c r="W449" t="s">
        <v>50</v>
      </c>
      <c r="X449">
        <v>-7</v>
      </c>
      <c r="Y449">
        <v>0</v>
      </c>
      <c r="Z449">
        <f t="shared" si="36"/>
        <v>75</v>
      </c>
      <c r="AA449">
        <f t="shared" si="37"/>
        <v>1.4864864864864864</v>
      </c>
      <c r="AB449">
        <f t="shared" si="38"/>
        <v>28</v>
      </c>
      <c r="AC449" t="str">
        <f t="shared" si="39"/>
        <v>Low</v>
      </c>
      <c r="AD449" t="str">
        <f t="shared" si="40"/>
        <v>Upsell premium bundle</v>
      </c>
      <c r="AE449">
        <f t="shared" si="41"/>
        <v>25</v>
      </c>
    </row>
    <row r="450" spans="1:31" x14ac:dyDescent="0.35">
      <c r="A450" t="s">
        <v>508</v>
      </c>
      <c r="B450" s="4">
        <v>45851</v>
      </c>
      <c r="C450" s="4">
        <v>46143</v>
      </c>
      <c r="D450" t="s">
        <v>47</v>
      </c>
      <c r="E450">
        <v>38</v>
      </c>
      <c r="F450" t="s">
        <v>57</v>
      </c>
      <c r="G450" t="s">
        <v>40</v>
      </c>
      <c r="H450" t="s">
        <v>58</v>
      </c>
      <c r="I450" t="s">
        <v>49</v>
      </c>
      <c r="J450">
        <v>9</v>
      </c>
      <c r="K450" s="5">
        <v>1760.89</v>
      </c>
      <c r="L450" s="5">
        <v>1606.35</v>
      </c>
      <c r="M450">
        <v>22</v>
      </c>
      <c r="N450">
        <v>7</v>
      </c>
      <c r="O450">
        <v>4</v>
      </c>
      <c r="P450">
        <v>2</v>
      </c>
      <c r="Q450">
        <v>18</v>
      </c>
      <c r="R450">
        <v>2</v>
      </c>
      <c r="S450">
        <v>1</v>
      </c>
      <c r="T450">
        <v>1</v>
      </c>
      <c r="U450">
        <v>0</v>
      </c>
      <c r="V450">
        <v>0</v>
      </c>
      <c r="W450" t="s">
        <v>52</v>
      </c>
      <c r="X450">
        <v>25</v>
      </c>
      <c r="Y450">
        <v>0</v>
      </c>
      <c r="Z450">
        <f t="shared" ref="Z450:Z513" si="42">MIN(100,ROUND((M450*1.1+N450*0.7+O450*1.2+P450*1.4+Q450*0.9+U450*8+V450*7),0))</f>
        <v>53</v>
      </c>
      <c r="AA450">
        <f t="shared" ref="AA450:AA513" si="43">IFERROR((M450+Q450)/(30+J450),0)</f>
        <v>1.0256410256410255</v>
      </c>
      <c r="AB450">
        <f t="shared" ref="AB450:AB513" si="44">ROUND(MIN(100,MAX(0,60-Z450*0.4-R450*1.5+S450*8-IF(L450&gt;1500,10,0)-X450*0.5+IF(I450="Completed",-8,8)+IF(H450="Free",6,-4))),0)</f>
        <v>25</v>
      </c>
      <c r="AC450" t="str">
        <f t="shared" ref="AC450:AC513" si="45">IF(AB450&gt;=70,"High",IF(AB450&gt;=40,"Medium","Low"))</f>
        <v>Low</v>
      </c>
      <c r="AD450" t="str">
        <f t="shared" ref="AD450:AD513" si="46">IF(AC450="High",IF(Q450&lt;5,"Re-engage with app usage offer",IF(K450&lt;100,"Deposit incentive","Retention call")),IF(AC450="Medium","Nudge core feature adoption","Upsell premium bundle"))</f>
        <v>Upsell premium bundle</v>
      </c>
      <c r="AE450">
        <f t="shared" ref="AE450:AE513" si="47">100-Z450</f>
        <v>47</v>
      </c>
    </row>
    <row r="451" spans="1:31" x14ac:dyDescent="0.35">
      <c r="A451" t="s">
        <v>509</v>
      </c>
      <c r="B451" s="4">
        <v>44787</v>
      </c>
      <c r="C451" s="4">
        <v>46143</v>
      </c>
      <c r="D451" t="s">
        <v>66</v>
      </c>
      <c r="E451">
        <v>19</v>
      </c>
      <c r="F451" t="s">
        <v>43</v>
      </c>
      <c r="G451" t="s">
        <v>40</v>
      </c>
      <c r="H451" t="s">
        <v>41</v>
      </c>
      <c r="I451" t="s">
        <v>36</v>
      </c>
      <c r="J451">
        <v>45</v>
      </c>
      <c r="K451" s="5">
        <v>66.88</v>
      </c>
      <c r="L451" s="5">
        <v>61.51</v>
      </c>
      <c r="M451">
        <v>30</v>
      </c>
      <c r="N451">
        <v>17</v>
      </c>
      <c r="O451">
        <v>6</v>
      </c>
      <c r="P451">
        <v>5</v>
      </c>
      <c r="Q451">
        <v>20</v>
      </c>
      <c r="R451">
        <v>3</v>
      </c>
      <c r="S451">
        <v>1</v>
      </c>
      <c r="T451">
        <v>0</v>
      </c>
      <c r="U451">
        <v>0</v>
      </c>
      <c r="V451">
        <v>1</v>
      </c>
      <c r="W451" t="s">
        <v>37</v>
      </c>
      <c r="X451">
        <v>44</v>
      </c>
      <c r="Y451">
        <v>1</v>
      </c>
      <c r="Z451">
        <f t="shared" si="42"/>
        <v>84</v>
      </c>
      <c r="AA451">
        <f t="shared" si="43"/>
        <v>0.66666666666666663</v>
      </c>
      <c r="AB451">
        <f t="shared" si="44"/>
        <v>6</v>
      </c>
      <c r="AC451" t="str">
        <f t="shared" si="45"/>
        <v>Low</v>
      </c>
      <c r="AD451" t="str">
        <f t="shared" si="46"/>
        <v>Upsell premium bundle</v>
      </c>
      <c r="AE451">
        <f t="shared" si="47"/>
        <v>16</v>
      </c>
    </row>
    <row r="452" spans="1:31" x14ac:dyDescent="0.35">
      <c r="A452" t="s">
        <v>510</v>
      </c>
      <c r="B452" s="4">
        <v>45849</v>
      </c>
      <c r="C452" s="4">
        <v>46143</v>
      </c>
      <c r="D452" t="s">
        <v>47</v>
      </c>
      <c r="E452">
        <v>37</v>
      </c>
      <c r="F452" t="s">
        <v>57</v>
      </c>
      <c r="G452" t="s">
        <v>34</v>
      </c>
      <c r="H452" t="s">
        <v>44</v>
      </c>
      <c r="I452" t="s">
        <v>36</v>
      </c>
      <c r="J452">
        <v>9</v>
      </c>
      <c r="K452" s="5">
        <v>1865.45</v>
      </c>
      <c r="L452" s="5">
        <v>452.07</v>
      </c>
      <c r="M452">
        <v>40</v>
      </c>
      <c r="N452">
        <v>18</v>
      </c>
      <c r="O452">
        <v>7</v>
      </c>
      <c r="P452">
        <v>7</v>
      </c>
      <c r="Q452">
        <v>31</v>
      </c>
      <c r="R452">
        <v>0</v>
      </c>
      <c r="S452">
        <v>0</v>
      </c>
      <c r="T452">
        <v>1</v>
      </c>
      <c r="U452">
        <v>1</v>
      </c>
      <c r="V452">
        <v>0</v>
      </c>
      <c r="W452" t="s">
        <v>52</v>
      </c>
      <c r="X452">
        <v>66</v>
      </c>
      <c r="Y452">
        <v>0</v>
      </c>
      <c r="Z452">
        <f t="shared" si="42"/>
        <v>100</v>
      </c>
      <c r="AA452">
        <f t="shared" si="43"/>
        <v>1.8205128205128205</v>
      </c>
      <c r="AB452">
        <f t="shared" si="44"/>
        <v>0</v>
      </c>
      <c r="AC452" t="str">
        <f t="shared" si="45"/>
        <v>Low</v>
      </c>
      <c r="AD452" t="str">
        <f t="shared" si="46"/>
        <v>Upsell premium bundle</v>
      </c>
      <c r="AE452">
        <f t="shared" si="47"/>
        <v>0</v>
      </c>
    </row>
    <row r="453" spans="1:31" x14ac:dyDescent="0.35">
      <c r="A453" t="s">
        <v>511</v>
      </c>
      <c r="B453" s="4">
        <v>44965</v>
      </c>
      <c r="C453" s="4">
        <v>46143</v>
      </c>
      <c r="D453" t="s">
        <v>32</v>
      </c>
      <c r="E453">
        <v>66</v>
      </c>
      <c r="F453" t="s">
        <v>57</v>
      </c>
      <c r="G453" t="s">
        <v>63</v>
      </c>
      <c r="H453" t="s">
        <v>35</v>
      </c>
      <c r="I453" t="s">
        <v>49</v>
      </c>
      <c r="J453">
        <v>39</v>
      </c>
      <c r="K453" s="5">
        <v>702.74</v>
      </c>
      <c r="L453" s="5">
        <v>1271.01</v>
      </c>
      <c r="M453">
        <v>13</v>
      </c>
      <c r="N453">
        <v>5</v>
      </c>
      <c r="O453">
        <v>1</v>
      </c>
      <c r="P453">
        <v>0</v>
      </c>
      <c r="Q453">
        <v>14</v>
      </c>
      <c r="R453">
        <v>0</v>
      </c>
      <c r="S453">
        <v>1</v>
      </c>
      <c r="T453">
        <v>1</v>
      </c>
      <c r="U453">
        <v>0</v>
      </c>
      <c r="V453">
        <v>1</v>
      </c>
      <c r="W453" t="s">
        <v>37</v>
      </c>
      <c r="X453">
        <v>6</v>
      </c>
      <c r="Y453">
        <v>0</v>
      </c>
      <c r="Z453">
        <f t="shared" si="42"/>
        <v>39</v>
      </c>
      <c r="AA453">
        <f t="shared" si="43"/>
        <v>0.39130434782608697</v>
      </c>
      <c r="AB453">
        <f t="shared" si="44"/>
        <v>53</v>
      </c>
      <c r="AC453" t="str">
        <f t="shared" si="45"/>
        <v>Medium</v>
      </c>
      <c r="AD453" t="str">
        <f t="shared" si="46"/>
        <v>Nudge core feature adoption</v>
      </c>
      <c r="AE453">
        <f t="shared" si="47"/>
        <v>61</v>
      </c>
    </row>
    <row r="454" spans="1:31" x14ac:dyDescent="0.35">
      <c r="A454" t="s">
        <v>512</v>
      </c>
      <c r="B454" s="4">
        <v>46062</v>
      </c>
      <c r="C454" s="4">
        <v>46143</v>
      </c>
      <c r="D454" t="s">
        <v>32</v>
      </c>
      <c r="E454">
        <v>66</v>
      </c>
      <c r="F454" t="s">
        <v>57</v>
      </c>
      <c r="G454" t="s">
        <v>85</v>
      </c>
      <c r="H454" t="s">
        <v>35</v>
      </c>
      <c r="I454" t="s">
        <v>36</v>
      </c>
      <c r="J454">
        <v>2</v>
      </c>
      <c r="K454" s="5">
        <v>1572.55</v>
      </c>
      <c r="L454" s="5">
        <v>1859.8</v>
      </c>
      <c r="M454">
        <v>15</v>
      </c>
      <c r="N454">
        <v>6</v>
      </c>
      <c r="O454">
        <v>3</v>
      </c>
      <c r="P454">
        <v>1</v>
      </c>
      <c r="Q454">
        <v>19</v>
      </c>
      <c r="R454">
        <v>0</v>
      </c>
      <c r="S454">
        <v>0</v>
      </c>
      <c r="T454">
        <v>0</v>
      </c>
      <c r="U454">
        <v>1</v>
      </c>
      <c r="V454">
        <v>0</v>
      </c>
      <c r="W454" t="s">
        <v>37</v>
      </c>
      <c r="X454">
        <v>31</v>
      </c>
      <c r="Y454">
        <v>0</v>
      </c>
      <c r="Z454">
        <f t="shared" si="42"/>
        <v>51</v>
      </c>
      <c r="AA454">
        <f t="shared" si="43"/>
        <v>1.0625</v>
      </c>
      <c r="AB454">
        <f t="shared" si="44"/>
        <v>2</v>
      </c>
      <c r="AC454" t="str">
        <f t="shared" si="45"/>
        <v>Low</v>
      </c>
      <c r="AD454" t="str">
        <f t="shared" si="46"/>
        <v>Upsell premium bundle</v>
      </c>
      <c r="AE454">
        <f t="shared" si="47"/>
        <v>49</v>
      </c>
    </row>
    <row r="455" spans="1:31" x14ac:dyDescent="0.35">
      <c r="A455" t="s">
        <v>513</v>
      </c>
      <c r="B455" s="4">
        <v>45119</v>
      </c>
      <c r="C455" s="4">
        <v>46143</v>
      </c>
      <c r="D455" t="s">
        <v>47</v>
      </c>
      <c r="E455">
        <v>33</v>
      </c>
      <c r="F455" t="s">
        <v>61</v>
      </c>
      <c r="G455" t="s">
        <v>85</v>
      </c>
      <c r="H455" t="s">
        <v>44</v>
      </c>
      <c r="I455" t="s">
        <v>36</v>
      </c>
      <c r="J455">
        <v>34</v>
      </c>
      <c r="K455" s="5">
        <v>3016.34</v>
      </c>
      <c r="L455" s="5">
        <v>2558.08</v>
      </c>
      <c r="M455">
        <v>25</v>
      </c>
      <c r="N455">
        <v>6</v>
      </c>
      <c r="O455">
        <v>2</v>
      </c>
      <c r="P455">
        <v>2</v>
      </c>
      <c r="Q455">
        <v>23</v>
      </c>
      <c r="R455">
        <v>0</v>
      </c>
      <c r="S455">
        <v>0</v>
      </c>
      <c r="T455">
        <v>0</v>
      </c>
      <c r="U455">
        <v>1</v>
      </c>
      <c r="V455">
        <v>1</v>
      </c>
      <c r="W455" t="s">
        <v>50</v>
      </c>
      <c r="X455">
        <v>-5</v>
      </c>
      <c r="Y455">
        <v>0</v>
      </c>
      <c r="Z455">
        <f t="shared" si="42"/>
        <v>73</v>
      </c>
      <c r="AA455">
        <f t="shared" si="43"/>
        <v>0.75</v>
      </c>
      <c r="AB455">
        <f t="shared" si="44"/>
        <v>11</v>
      </c>
      <c r="AC455" t="str">
        <f t="shared" si="45"/>
        <v>Low</v>
      </c>
      <c r="AD455" t="str">
        <f t="shared" si="46"/>
        <v>Upsell premium bundle</v>
      </c>
      <c r="AE455">
        <f t="shared" si="47"/>
        <v>27</v>
      </c>
    </row>
    <row r="456" spans="1:31" x14ac:dyDescent="0.35">
      <c r="A456" t="s">
        <v>514</v>
      </c>
      <c r="B456" s="4">
        <v>45300</v>
      </c>
      <c r="C456" s="4">
        <v>46143</v>
      </c>
      <c r="D456" t="s">
        <v>66</v>
      </c>
      <c r="E456">
        <v>45</v>
      </c>
      <c r="F456" t="s">
        <v>61</v>
      </c>
      <c r="G456" t="s">
        <v>63</v>
      </c>
      <c r="H456" t="s">
        <v>41</v>
      </c>
      <c r="I456" t="s">
        <v>36</v>
      </c>
      <c r="J456">
        <v>28</v>
      </c>
      <c r="K456" s="5">
        <v>5560.91</v>
      </c>
      <c r="L456" s="5">
        <v>1592.73</v>
      </c>
      <c r="M456">
        <v>28</v>
      </c>
      <c r="N456">
        <v>15</v>
      </c>
      <c r="O456">
        <v>5</v>
      </c>
      <c r="P456">
        <v>1</v>
      </c>
      <c r="Q456">
        <v>23</v>
      </c>
      <c r="R456">
        <v>2</v>
      </c>
      <c r="S456">
        <v>2</v>
      </c>
      <c r="T456">
        <v>1</v>
      </c>
      <c r="U456">
        <v>0</v>
      </c>
      <c r="V456">
        <v>0</v>
      </c>
      <c r="W456" t="s">
        <v>37</v>
      </c>
      <c r="X456">
        <v>19</v>
      </c>
      <c r="Y456">
        <v>1</v>
      </c>
      <c r="Z456">
        <f t="shared" si="42"/>
        <v>69</v>
      </c>
      <c r="AA456">
        <f t="shared" si="43"/>
        <v>0.87931034482758619</v>
      </c>
      <c r="AB456">
        <f t="shared" si="44"/>
        <v>24</v>
      </c>
      <c r="AC456" t="str">
        <f t="shared" si="45"/>
        <v>Low</v>
      </c>
      <c r="AD456" t="str">
        <f t="shared" si="46"/>
        <v>Upsell premium bundle</v>
      </c>
      <c r="AE456">
        <f t="shared" si="47"/>
        <v>31</v>
      </c>
    </row>
    <row r="457" spans="1:31" x14ac:dyDescent="0.35">
      <c r="A457" t="s">
        <v>515</v>
      </c>
      <c r="B457" s="4">
        <v>45454</v>
      </c>
      <c r="C457" s="4">
        <v>46143</v>
      </c>
      <c r="D457" t="s">
        <v>32</v>
      </c>
      <c r="E457">
        <v>68</v>
      </c>
      <c r="F457" t="s">
        <v>57</v>
      </c>
      <c r="G457" t="s">
        <v>48</v>
      </c>
      <c r="H457" t="s">
        <v>41</v>
      </c>
      <c r="I457" t="s">
        <v>36</v>
      </c>
      <c r="J457">
        <v>22</v>
      </c>
      <c r="K457" s="5">
        <v>2294.7199999999998</v>
      </c>
      <c r="L457" s="5">
        <v>232.81</v>
      </c>
      <c r="M457">
        <v>25</v>
      </c>
      <c r="N457">
        <v>7</v>
      </c>
      <c r="O457">
        <v>7</v>
      </c>
      <c r="P457">
        <v>4</v>
      </c>
      <c r="Q457">
        <v>6</v>
      </c>
      <c r="R457">
        <v>1</v>
      </c>
      <c r="S457">
        <v>0</v>
      </c>
      <c r="T457">
        <v>1</v>
      </c>
      <c r="U457">
        <v>0</v>
      </c>
      <c r="V457">
        <v>1</v>
      </c>
      <c r="W457" t="s">
        <v>52</v>
      </c>
      <c r="X457">
        <v>42</v>
      </c>
      <c r="Y457">
        <v>0</v>
      </c>
      <c r="Z457">
        <f t="shared" si="42"/>
        <v>59</v>
      </c>
      <c r="AA457">
        <f t="shared" si="43"/>
        <v>0.59615384615384615</v>
      </c>
      <c r="AB457">
        <f t="shared" si="44"/>
        <v>12</v>
      </c>
      <c r="AC457" t="str">
        <f t="shared" si="45"/>
        <v>Low</v>
      </c>
      <c r="AD457" t="str">
        <f t="shared" si="46"/>
        <v>Upsell premium bundle</v>
      </c>
      <c r="AE457">
        <f t="shared" si="47"/>
        <v>41</v>
      </c>
    </row>
    <row r="458" spans="1:31" x14ac:dyDescent="0.35">
      <c r="A458" t="s">
        <v>516</v>
      </c>
      <c r="B458" s="4">
        <v>44832</v>
      </c>
      <c r="C458" s="4">
        <v>46143</v>
      </c>
      <c r="D458" t="s">
        <v>47</v>
      </c>
      <c r="E458">
        <v>29</v>
      </c>
      <c r="F458" t="s">
        <v>33</v>
      </c>
      <c r="G458" t="s">
        <v>34</v>
      </c>
      <c r="H458" t="s">
        <v>41</v>
      </c>
      <c r="I458" t="s">
        <v>36</v>
      </c>
      <c r="J458">
        <v>43</v>
      </c>
      <c r="K458" s="5">
        <v>365.63</v>
      </c>
      <c r="L458" s="5">
        <v>320.24</v>
      </c>
      <c r="M458">
        <v>19</v>
      </c>
      <c r="N458">
        <v>6</v>
      </c>
      <c r="O458">
        <v>4</v>
      </c>
      <c r="P458">
        <v>1</v>
      </c>
      <c r="Q458">
        <v>30</v>
      </c>
      <c r="R458">
        <v>3</v>
      </c>
      <c r="S458">
        <v>1</v>
      </c>
      <c r="T458">
        <v>1</v>
      </c>
      <c r="U458">
        <v>0</v>
      </c>
      <c r="V458">
        <v>0</v>
      </c>
      <c r="W458" t="s">
        <v>50</v>
      </c>
      <c r="X458">
        <v>6</v>
      </c>
      <c r="Y458">
        <v>1</v>
      </c>
      <c r="Z458">
        <f t="shared" si="42"/>
        <v>58</v>
      </c>
      <c r="AA458">
        <f t="shared" si="43"/>
        <v>0.67123287671232879</v>
      </c>
      <c r="AB458">
        <f t="shared" si="44"/>
        <v>35</v>
      </c>
      <c r="AC458" t="str">
        <f t="shared" si="45"/>
        <v>Low</v>
      </c>
      <c r="AD458" t="str">
        <f t="shared" si="46"/>
        <v>Upsell premium bundle</v>
      </c>
      <c r="AE458">
        <f t="shared" si="47"/>
        <v>42</v>
      </c>
    </row>
    <row r="459" spans="1:31" x14ac:dyDescent="0.35">
      <c r="A459" t="s">
        <v>517</v>
      </c>
      <c r="B459" s="4">
        <v>45757</v>
      </c>
      <c r="C459" s="4">
        <v>46143</v>
      </c>
      <c r="D459" t="s">
        <v>72</v>
      </c>
      <c r="E459">
        <v>23</v>
      </c>
      <c r="F459" t="s">
        <v>33</v>
      </c>
      <c r="G459" t="s">
        <v>34</v>
      </c>
      <c r="H459" t="s">
        <v>41</v>
      </c>
      <c r="I459" t="s">
        <v>36</v>
      </c>
      <c r="J459">
        <v>12</v>
      </c>
      <c r="K459" s="5">
        <v>403.3</v>
      </c>
      <c r="L459" s="5">
        <v>309.7</v>
      </c>
      <c r="M459">
        <v>18</v>
      </c>
      <c r="N459">
        <v>13</v>
      </c>
      <c r="O459">
        <v>2</v>
      </c>
      <c r="P459">
        <v>3</v>
      </c>
      <c r="Q459">
        <v>13</v>
      </c>
      <c r="R459">
        <v>0</v>
      </c>
      <c r="S459">
        <v>1</v>
      </c>
      <c r="T459">
        <v>1</v>
      </c>
      <c r="U459">
        <v>0</v>
      </c>
      <c r="V459">
        <v>0</v>
      </c>
      <c r="W459" t="s">
        <v>37</v>
      </c>
      <c r="X459">
        <v>19</v>
      </c>
      <c r="Y459">
        <v>0</v>
      </c>
      <c r="Z459">
        <f t="shared" si="42"/>
        <v>47</v>
      </c>
      <c r="AA459">
        <f t="shared" si="43"/>
        <v>0.73809523809523814</v>
      </c>
      <c r="AB459">
        <f t="shared" si="44"/>
        <v>38</v>
      </c>
      <c r="AC459" t="str">
        <f t="shared" si="45"/>
        <v>Low</v>
      </c>
      <c r="AD459" t="str">
        <f t="shared" si="46"/>
        <v>Upsell premium bundle</v>
      </c>
      <c r="AE459">
        <f t="shared" si="47"/>
        <v>53</v>
      </c>
    </row>
    <row r="460" spans="1:31" x14ac:dyDescent="0.35">
      <c r="A460" t="s">
        <v>518</v>
      </c>
      <c r="B460" s="4">
        <v>44921</v>
      </c>
      <c r="C460" s="4">
        <v>46143</v>
      </c>
      <c r="D460" t="s">
        <v>66</v>
      </c>
      <c r="E460">
        <v>41</v>
      </c>
      <c r="F460" t="s">
        <v>61</v>
      </c>
      <c r="G460" t="s">
        <v>40</v>
      </c>
      <c r="H460" t="s">
        <v>58</v>
      </c>
      <c r="I460" t="s">
        <v>36</v>
      </c>
      <c r="J460">
        <v>40</v>
      </c>
      <c r="K460" s="5">
        <v>3866.99</v>
      </c>
      <c r="L460" s="5">
        <v>1192.3900000000001</v>
      </c>
      <c r="M460">
        <v>33</v>
      </c>
      <c r="N460">
        <v>20</v>
      </c>
      <c r="O460">
        <v>3</v>
      </c>
      <c r="P460">
        <v>0</v>
      </c>
      <c r="Q460">
        <v>33</v>
      </c>
      <c r="R460">
        <v>1</v>
      </c>
      <c r="S460">
        <v>0</v>
      </c>
      <c r="T460">
        <v>1</v>
      </c>
      <c r="U460">
        <v>1</v>
      </c>
      <c r="V460">
        <v>0</v>
      </c>
      <c r="W460" t="s">
        <v>52</v>
      </c>
      <c r="X460">
        <v>53</v>
      </c>
      <c r="Y460">
        <v>0</v>
      </c>
      <c r="Z460">
        <f t="shared" si="42"/>
        <v>92</v>
      </c>
      <c r="AA460">
        <f t="shared" si="43"/>
        <v>0.94285714285714284</v>
      </c>
      <c r="AB460">
        <f t="shared" si="44"/>
        <v>0</v>
      </c>
      <c r="AC460" t="str">
        <f t="shared" si="45"/>
        <v>Low</v>
      </c>
      <c r="AD460" t="str">
        <f t="shared" si="46"/>
        <v>Upsell premium bundle</v>
      </c>
      <c r="AE460">
        <f t="shared" si="47"/>
        <v>8</v>
      </c>
    </row>
    <row r="461" spans="1:31" x14ac:dyDescent="0.35">
      <c r="A461" t="s">
        <v>519</v>
      </c>
      <c r="B461" s="4">
        <v>45261</v>
      </c>
      <c r="C461" s="4">
        <v>46143</v>
      </c>
      <c r="D461" t="s">
        <v>66</v>
      </c>
      <c r="E461">
        <v>38</v>
      </c>
      <c r="F461" t="s">
        <v>57</v>
      </c>
      <c r="G461" t="s">
        <v>48</v>
      </c>
      <c r="H461" t="s">
        <v>41</v>
      </c>
      <c r="I461" t="s">
        <v>36</v>
      </c>
      <c r="J461">
        <v>29</v>
      </c>
      <c r="K461" s="5">
        <v>1579.24</v>
      </c>
      <c r="L461" s="5">
        <v>454.17</v>
      </c>
      <c r="M461">
        <v>46</v>
      </c>
      <c r="N461">
        <v>28</v>
      </c>
      <c r="O461">
        <v>11</v>
      </c>
      <c r="P461">
        <v>8</v>
      </c>
      <c r="Q461">
        <v>45</v>
      </c>
      <c r="R461">
        <v>4</v>
      </c>
      <c r="S461">
        <v>2</v>
      </c>
      <c r="T461">
        <v>0</v>
      </c>
      <c r="U461">
        <v>0</v>
      </c>
      <c r="V461">
        <v>0</v>
      </c>
      <c r="W461" t="s">
        <v>50</v>
      </c>
      <c r="X461">
        <v>63</v>
      </c>
      <c r="Y461">
        <v>0</v>
      </c>
      <c r="Z461">
        <f t="shared" si="42"/>
        <v>100</v>
      </c>
      <c r="AA461">
        <f t="shared" si="43"/>
        <v>1.5423728813559323</v>
      </c>
      <c r="AB461">
        <f t="shared" si="44"/>
        <v>0</v>
      </c>
      <c r="AC461" t="str">
        <f t="shared" si="45"/>
        <v>Low</v>
      </c>
      <c r="AD461" t="str">
        <f t="shared" si="46"/>
        <v>Upsell premium bundle</v>
      </c>
      <c r="AE461">
        <f t="shared" si="47"/>
        <v>0</v>
      </c>
    </row>
    <row r="462" spans="1:31" x14ac:dyDescent="0.35">
      <c r="A462" t="s">
        <v>520</v>
      </c>
      <c r="B462" s="4">
        <v>45281</v>
      </c>
      <c r="C462" s="4">
        <v>46143</v>
      </c>
      <c r="D462" t="s">
        <v>39</v>
      </c>
      <c r="E462">
        <v>57</v>
      </c>
      <c r="F462" t="s">
        <v>57</v>
      </c>
      <c r="G462" t="s">
        <v>48</v>
      </c>
      <c r="H462" t="s">
        <v>41</v>
      </c>
      <c r="I462" t="s">
        <v>54</v>
      </c>
      <c r="J462">
        <v>28</v>
      </c>
      <c r="K462" s="5">
        <v>1278.1600000000001</v>
      </c>
      <c r="L462" s="5">
        <v>1068.04</v>
      </c>
      <c r="M462">
        <v>31</v>
      </c>
      <c r="N462">
        <v>19</v>
      </c>
      <c r="O462">
        <v>6</v>
      </c>
      <c r="P462">
        <v>5</v>
      </c>
      <c r="Q462">
        <v>9</v>
      </c>
      <c r="R462">
        <v>0</v>
      </c>
      <c r="S462">
        <v>0</v>
      </c>
      <c r="T462">
        <v>1</v>
      </c>
      <c r="U462">
        <v>1</v>
      </c>
      <c r="V462">
        <v>1</v>
      </c>
      <c r="W462" t="s">
        <v>52</v>
      </c>
      <c r="X462">
        <v>-29</v>
      </c>
      <c r="Y462">
        <v>1</v>
      </c>
      <c r="Z462">
        <f t="shared" si="42"/>
        <v>85</v>
      </c>
      <c r="AA462">
        <f t="shared" si="43"/>
        <v>0.68965517241379315</v>
      </c>
      <c r="AB462">
        <f t="shared" si="44"/>
        <v>55</v>
      </c>
      <c r="AC462" t="str">
        <f t="shared" si="45"/>
        <v>Medium</v>
      </c>
      <c r="AD462" t="str">
        <f t="shared" si="46"/>
        <v>Nudge core feature adoption</v>
      </c>
      <c r="AE462">
        <f t="shared" si="47"/>
        <v>15</v>
      </c>
    </row>
    <row r="463" spans="1:31" x14ac:dyDescent="0.35">
      <c r="A463" t="s">
        <v>521</v>
      </c>
      <c r="B463" s="4">
        <v>45415</v>
      </c>
      <c r="C463" s="4">
        <v>46143</v>
      </c>
      <c r="D463" t="s">
        <v>39</v>
      </c>
      <c r="E463">
        <v>60</v>
      </c>
      <c r="F463" t="s">
        <v>57</v>
      </c>
      <c r="G463" t="s">
        <v>48</v>
      </c>
      <c r="H463" t="s">
        <v>44</v>
      </c>
      <c r="I463" t="s">
        <v>36</v>
      </c>
      <c r="J463">
        <v>24</v>
      </c>
      <c r="K463" s="5">
        <v>0</v>
      </c>
      <c r="L463" s="5">
        <v>537.29</v>
      </c>
      <c r="M463">
        <v>31</v>
      </c>
      <c r="N463">
        <v>17</v>
      </c>
      <c r="O463">
        <v>6</v>
      </c>
      <c r="P463">
        <v>2</v>
      </c>
      <c r="Q463">
        <v>12</v>
      </c>
      <c r="R463">
        <v>2</v>
      </c>
      <c r="S463">
        <v>1</v>
      </c>
      <c r="T463">
        <v>0</v>
      </c>
      <c r="U463">
        <v>1</v>
      </c>
      <c r="V463">
        <v>0</v>
      </c>
      <c r="W463" t="s">
        <v>45</v>
      </c>
      <c r="X463">
        <v>74</v>
      </c>
      <c r="Y463">
        <v>0</v>
      </c>
      <c r="Z463">
        <f t="shared" si="42"/>
        <v>75</v>
      </c>
      <c r="AA463">
        <f t="shared" si="43"/>
        <v>0.79629629629629628</v>
      </c>
      <c r="AB463">
        <f t="shared" si="44"/>
        <v>0</v>
      </c>
      <c r="AC463" t="str">
        <f t="shared" si="45"/>
        <v>Low</v>
      </c>
      <c r="AD463" t="str">
        <f t="shared" si="46"/>
        <v>Upsell premium bundle</v>
      </c>
      <c r="AE463">
        <f t="shared" si="47"/>
        <v>25</v>
      </c>
    </row>
    <row r="464" spans="1:31" x14ac:dyDescent="0.35">
      <c r="A464" t="s">
        <v>522</v>
      </c>
      <c r="B464" s="4">
        <v>45100</v>
      </c>
      <c r="C464" s="4">
        <v>46143</v>
      </c>
      <c r="D464" t="s">
        <v>47</v>
      </c>
      <c r="E464">
        <v>59</v>
      </c>
      <c r="F464" t="s">
        <v>33</v>
      </c>
      <c r="G464" t="s">
        <v>67</v>
      </c>
      <c r="H464" t="s">
        <v>41</v>
      </c>
      <c r="I464" t="s">
        <v>49</v>
      </c>
      <c r="J464">
        <v>34</v>
      </c>
      <c r="K464" s="5">
        <v>460.08</v>
      </c>
      <c r="L464" s="5">
        <v>456.06</v>
      </c>
      <c r="M464">
        <v>0</v>
      </c>
      <c r="N464">
        <v>0</v>
      </c>
      <c r="O464">
        <v>0</v>
      </c>
      <c r="P464">
        <v>0</v>
      </c>
      <c r="Q464">
        <v>5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45</v>
      </c>
      <c r="X464">
        <v>27</v>
      </c>
      <c r="Y464">
        <v>1</v>
      </c>
      <c r="Z464">
        <f t="shared" si="42"/>
        <v>5</v>
      </c>
      <c r="AA464">
        <f t="shared" si="43"/>
        <v>7.8125E-2</v>
      </c>
      <c r="AB464">
        <f t="shared" si="44"/>
        <v>59</v>
      </c>
      <c r="AC464" t="str">
        <f t="shared" si="45"/>
        <v>Medium</v>
      </c>
      <c r="AD464" t="str">
        <f t="shared" si="46"/>
        <v>Nudge core feature adoption</v>
      </c>
      <c r="AE464">
        <f t="shared" si="47"/>
        <v>95</v>
      </c>
    </row>
    <row r="465" spans="1:31" x14ac:dyDescent="0.35">
      <c r="A465" t="s">
        <v>523</v>
      </c>
      <c r="B465" s="4">
        <v>46068</v>
      </c>
      <c r="C465" s="4">
        <v>46143</v>
      </c>
      <c r="D465" t="s">
        <v>72</v>
      </c>
      <c r="E465">
        <v>50</v>
      </c>
      <c r="F465" t="s">
        <v>61</v>
      </c>
      <c r="G465" t="s">
        <v>40</v>
      </c>
      <c r="H465" t="s">
        <v>58</v>
      </c>
      <c r="I465" t="s">
        <v>36</v>
      </c>
      <c r="J465">
        <v>2</v>
      </c>
      <c r="K465" s="5">
        <v>4472.0200000000004</v>
      </c>
      <c r="L465" s="5">
        <v>1582.52</v>
      </c>
      <c r="M465">
        <v>15</v>
      </c>
      <c r="N465">
        <v>5</v>
      </c>
      <c r="O465">
        <v>3</v>
      </c>
      <c r="P465">
        <v>1</v>
      </c>
      <c r="Q465">
        <v>24</v>
      </c>
      <c r="R465">
        <v>1</v>
      </c>
      <c r="S465">
        <v>0</v>
      </c>
      <c r="T465">
        <v>1</v>
      </c>
      <c r="U465">
        <v>1</v>
      </c>
      <c r="V465">
        <v>0</v>
      </c>
      <c r="W465" t="s">
        <v>52</v>
      </c>
      <c r="X465">
        <v>35</v>
      </c>
      <c r="Y465">
        <v>0</v>
      </c>
      <c r="Z465">
        <f t="shared" si="42"/>
        <v>55</v>
      </c>
      <c r="AA465">
        <f t="shared" si="43"/>
        <v>1.21875</v>
      </c>
      <c r="AB465">
        <f t="shared" si="44"/>
        <v>0</v>
      </c>
      <c r="AC465" t="str">
        <f t="shared" si="45"/>
        <v>Low</v>
      </c>
      <c r="AD465" t="str">
        <f t="shared" si="46"/>
        <v>Upsell premium bundle</v>
      </c>
      <c r="AE465">
        <f t="shared" si="47"/>
        <v>45</v>
      </c>
    </row>
    <row r="466" spans="1:31" x14ac:dyDescent="0.35">
      <c r="A466" t="s">
        <v>524</v>
      </c>
      <c r="B466" s="4">
        <v>44856</v>
      </c>
      <c r="C466" s="4">
        <v>46143</v>
      </c>
      <c r="D466" t="s">
        <v>60</v>
      </c>
      <c r="E466">
        <v>25</v>
      </c>
      <c r="F466" t="s">
        <v>43</v>
      </c>
      <c r="G466" t="s">
        <v>48</v>
      </c>
      <c r="H466" t="s">
        <v>41</v>
      </c>
      <c r="I466" t="s">
        <v>36</v>
      </c>
      <c r="J466">
        <v>42</v>
      </c>
      <c r="K466" s="5">
        <v>124.28</v>
      </c>
      <c r="L466" s="5">
        <v>44.07</v>
      </c>
      <c r="M466">
        <v>25</v>
      </c>
      <c r="N466">
        <v>7</v>
      </c>
      <c r="O466">
        <v>2</v>
      </c>
      <c r="P466">
        <v>2</v>
      </c>
      <c r="Q466">
        <v>26</v>
      </c>
      <c r="R466">
        <v>2</v>
      </c>
      <c r="S466">
        <v>1</v>
      </c>
      <c r="T466">
        <v>0</v>
      </c>
      <c r="U466">
        <v>0</v>
      </c>
      <c r="V466">
        <v>1</v>
      </c>
      <c r="W466" t="s">
        <v>37</v>
      </c>
      <c r="X466">
        <v>-4</v>
      </c>
      <c r="Y466">
        <v>1</v>
      </c>
      <c r="Z466">
        <f t="shared" si="42"/>
        <v>68</v>
      </c>
      <c r="AA466">
        <f t="shared" si="43"/>
        <v>0.70833333333333337</v>
      </c>
      <c r="AB466">
        <f t="shared" si="44"/>
        <v>38</v>
      </c>
      <c r="AC466" t="str">
        <f t="shared" si="45"/>
        <v>Low</v>
      </c>
      <c r="AD466" t="str">
        <f t="shared" si="46"/>
        <v>Upsell premium bundle</v>
      </c>
      <c r="AE466">
        <f t="shared" si="47"/>
        <v>32</v>
      </c>
    </row>
    <row r="467" spans="1:31" x14ac:dyDescent="0.35">
      <c r="A467" t="s">
        <v>525</v>
      </c>
      <c r="B467" s="4">
        <v>45055</v>
      </c>
      <c r="C467" s="4">
        <v>46143</v>
      </c>
      <c r="D467" t="s">
        <v>66</v>
      </c>
      <c r="E467">
        <v>67</v>
      </c>
      <c r="F467" t="s">
        <v>57</v>
      </c>
      <c r="G467" t="s">
        <v>40</v>
      </c>
      <c r="H467" t="s">
        <v>58</v>
      </c>
      <c r="I467" t="s">
        <v>36</v>
      </c>
      <c r="J467">
        <v>36</v>
      </c>
      <c r="K467" s="5">
        <v>1146.22</v>
      </c>
      <c r="L467" s="5">
        <v>0</v>
      </c>
      <c r="M467">
        <v>34</v>
      </c>
      <c r="N467">
        <v>11</v>
      </c>
      <c r="O467">
        <v>4</v>
      </c>
      <c r="P467">
        <v>2</v>
      </c>
      <c r="Q467">
        <v>27</v>
      </c>
      <c r="R467">
        <v>1</v>
      </c>
      <c r="S467">
        <v>1</v>
      </c>
      <c r="T467">
        <v>0</v>
      </c>
      <c r="U467">
        <v>1</v>
      </c>
      <c r="V467">
        <v>1</v>
      </c>
      <c r="W467" t="s">
        <v>52</v>
      </c>
      <c r="X467">
        <v>12</v>
      </c>
      <c r="Y467">
        <v>0</v>
      </c>
      <c r="Z467">
        <f t="shared" si="42"/>
        <v>92</v>
      </c>
      <c r="AA467">
        <f t="shared" si="43"/>
        <v>0.9242424242424242</v>
      </c>
      <c r="AB467">
        <f t="shared" si="44"/>
        <v>12</v>
      </c>
      <c r="AC467" t="str">
        <f t="shared" si="45"/>
        <v>Low</v>
      </c>
      <c r="AD467" t="str">
        <f t="shared" si="46"/>
        <v>Upsell premium bundle</v>
      </c>
      <c r="AE467">
        <f t="shared" si="47"/>
        <v>8</v>
      </c>
    </row>
    <row r="468" spans="1:31" x14ac:dyDescent="0.35">
      <c r="A468" t="s">
        <v>526</v>
      </c>
      <c r="B468" s="4">
        <v>45181</v>
      </c>
      <c r="C468" s="4">
        <v>46143</v>
      </c>
      <c r="D468" t="s">
        <v>66</v>
      </c>
      <c r="E468">
        <v>44</v>
      </c>
      <c r="F468" t="s">
        <v>33</v>
      </c>
      <c r="G468" t="s">
        <v>63</v>
      </c>
      <c r="H468" t="s">
        <v>41</v>
      </c>
      <c r="I468" t="s">
        <v>36</v>
      </c>
      <c r="J468">
        <v>32</v>
      </c>
      <c r="K468" s="5">
        <v>328.22</v>
      </c>
      <c r="L468" s="5">
        <v>121.03</v>
      </c>
      <c r="M468">
        <v>35</v>
      </c>
      <c r="N468">
        <v>14</v>
      </c>
      <c r="O468">
        <v>4</v>
      </c>
      <c r="P468">
        <v>2</v>
      </c>
      <c r="Q468">
        <v>23</v>
      </c>
      <c r="R468">
        <v>0</v>
      </c>
      <c r="S468">
        <v>0</v>
      </c>
      <c r="T468">
        <v>1</v>
      </c>
      <c r="U468">
        <v>0</v>
      </c>
      <c r="V468">
        <v>0</v>
      </c>
      <c r="W468" t="s">
        <v>45</v>
      </c>
      <c r="X468">
        <v>75</v>
      </c>
      <c r="Y468">
        <v>0</v>
      </c>
      <c r="Z468">
        <f t="shared" si="42"/>
        <v>77</v>
      </c>
      <c r="AA468">
        <f t="shared" si="43"/>
        <v>0.93548387096774188</v>
      </c>
      <c r="AB468">
        <f t="shared" si="44"/>
        <v>0</v>
      </c>
      <c r="AC468" t="str">
        <f t="shared" si="45"/>
        <v>Low</v>
      </c>
      <c r="AD468" t="str">
        <f t="shared" si="46"/>
        <v>Upsell premium bundle</v>
      </c>
      <c r="AE468">
        <f t="shared" si="47"/>
        <v>23</v>
      </c>
    </row>
    <row r="469" spans="1:31" x14ac:dyDescent="0.35">
      <c r="A469" t="s">
        <v>527</v>
      </c>
      <c r="B469" s="4">
        <v>46037</v>
      </c>
      <c r="C469" s="4">
        <v>46143</v>
      </c>
      <c r="D469" t="s">
        <v>32</v>
      </c>
      <c r="E469">
        <v>37</v>
      </c>
      <c r="F469" t="s">
        <v>33</v>
      </c>
      <c r="G469" t="s">
        <v>34</v>
      </c>
      <c r="H469" t="s">
        <v>58</v>
      </c>
      <c r="I469" t="s">
        <v>36</v>
      </c>
      <c r="J469">
        <v>3</v>
      </c>
      <c r="K469" s="5">
        <v>250.84</v>
      </c>
      <c r="L469" s="5">
        <v>469.01</v>
      </c>
      <c r="M469">
        <v>26</v>
      </c>
      <c r="N469">
        <v>8</v>
      </c>
      <c r="O469">
        <v>5</v>
      </c>
      <c r="P469">
        <v>1</v>
      </c>
      <c r="Q469">
        <v>18</v>
      </c>
      <c r="R469">
        <v>2</v>
      </c>
      <c r="S469">
        <v>0</v>
      </c>
      <c r="T469">
        <v>0</v>
      </c>
      <c r="U469">
        <v>0</v>
      </c>
      <c r="V469">
        <v>0</v>
      </c>
      <c r="W469" t="s">
        <v>45</v>
      </c>
      <c r="X469">
        <v>76</v>
      </c>
      <c r="Y469">
        <v>0</v>
      </c>
      <c r="Z469">
        <f t="shared" si="42"/>
        <v>58</v>
      </c>
      <c r="AA469">
        <f t="shared" si="43"/>
        <v>1.3333333333333333</v>
      </c>
      <c r="AB469">
        <f t="shared" si="44"/>
        <v>0</v>
      </c>
      <c r="AC469" t="str">
        <f t="shared" si="45"/>
        <v>Low</v>
      </c>
      <c r="AD469" t="str">
        <f t="shared" si="46"/>
        <v>Upsell premium bundle</v>
      </c>
      <c r="AE469">
        <f t="shared" si="47"/>
        <v>42</v>
      </c>
    </row>
    <row r="470" spans="1:31" x14ac:dyDescent="0.35">
      <c r="A470" t="s">
        <v>528</v>
      </c>
      <c r="B470" s="4">
        <v>45192</v>
      </c>
      <c r="C470" s="4">
        <v>46143</v>
      </c>
      <c r="D470" t="s">
        <v>39</v>
      </c>
      <c r="E470">
        <v>44</v>
      </c>
      <c r="F470" t="s">
        <v>57</v>
      </c>
      <c r="G470" t="s">
        <v>85</v>
      </c>
      <c r="H470" t="s">
        <v>41</v>
      </c>
      <c r="I470" t="s">
        <v>49</v>
      </c>
      <c r="J470">
        <v>31</v>
      </c>
      <c r="K470" s="5">
        <v>1606.09</v>
      </c>
      <c r="L470" s="5">
        <v>1772.35</v>
      </c>
      <c r="M470">
        <v>23</v>
      </c>
      <c r="N470">
        <v>11</v>
      </c>
      <c r="O470">
        <v>5</v>
      </c>
      <c r="P470">
        <v>0</v>
      </c>
      <c r="Q470">
        <v>14</v>
      </c>
      <c r="R470">
        <v>0</v>
      </c>
      <c r="S470">
        <v>0</v>
      </c>
      <c r="T470">
        <v>0</v>
      </c>
      <c r="U470">
        <v>0</v>
      </c>
      <c r="V470">
        <v>1</v>
      </c>
      <c r="W470" t="s">
        <v>50</v>
      </c>
      <c r="X470">
        <v>44</v>
      </c>
      <c r="Y470">
        <v>1</v>
      </c>
      <c r="Z470">
        <f t="shared" si="42"/>
        <v>59</v>
      </c>
      <c r="AA470">
        <f t="shared" si="43"/>
        <v>0.60655737704918034</v>
      </c>
      <c r="AB470">
        <f t="shared" si="44"/>
        <v>18</v>
      </c>
      <c r="AC470" t="str">
        <f t="shared" si="45"/>
        <v>Low</v>
      </c>
      <c r="AD470" t="str">
        <f t="shared" si="46"/>
        <v>Upsell premium bundle</v>
      </c>
      <c r="AE470">
        <f t="shared" si="47"/>
        <v>41</v>
      </c>
    </row>
    <row r="471" spans="1:31" x14ac:dyDescent="0.35">
      <c r="A471" t="s">
        <v>529</v>
      </c>
      <c r="B471" s="4">
        <v>45096</v>
      </c>
      <c r="C471" s="4">
        <v>46143</v>
      </c>
      <c r="D471" t="s">
        <v>32</v>
      </c>
      <c r="E471">
        <v>69</v>
      </c>
      <c r="F471" t="s">
        <v>43</v>
      </c>
      <c r="G471" t="s">
        <v>40</v>
      </c>
      <c r="H471" t="s">
        <v>44</v>
      </c>
      <c r="I471" t="s">
        <v>36</v>
      </c>
      <c r="J471">
        <v>34</v>
      </c>
      <c r="K471" s="5">
        <v>21.69</v>
      </c>
      <c r="L471" s="5">
        <v>63.05</v>
      </c>
      <c r="M471">
        <v>30</v>
      </c>
      <c r="N471">
        <v>18</v>
      </c>
      <c r="O471">
        <v>2</v>
      </c>
      <c r="P471">
        <v>3</v>
      </c>
      <c r="Q471">
        <v>22</v>
      </c>
      <c r="R471">
        <v>0</v>
      </c>
      <c r="S471">
        <v>0</v>
      </c>
      <c r="T471">
        <v>0</v>
      </c>
      <c r="U471">
        <v>1</v>
      </c>
      <c r="V471">
        <v>0</v>
      </c>
      <c r="W471" t="s">
        <v>52</v>
      </c>
      <c r="X471">
        <v>-16</v>
      </c>
      <c r="Y471">
        <v>0</v>
      </c>
      <c r="Z471">
        <f t="shared" si="42"/>
        <v>80</v>
      </c>
      <c r="AA471">
        <f t="shared" si="43"/>
        <v>0.8125</v>
      </c>
      <c r="AB471">
        <f t="shared" si="44"/>
        <v>24</v>
      </c>
      <c r="AC471" t="str">
        <f t="shared" si="45"/>
        <v>Low</v>
      </c>
      <c r="AD471" t="str">
        <f t="shared" si="46"/>
        <v>Upsell premium bundle</v>
      </c>
      <c r="AE471">
        <f t="shared" si="47"/>
        <v>20</v>
      </c>
    </row>
    <row r="472" spans="1:31" x14ac:dyDescent="0.35">
      <c r="A472" t="s">
        <v>530</v>
      </c>
      <c r="B472" s="4">
        <v>45729</v>
      </c>
      <c r="C472" s="4">
        <v>46143</v>
      </c>
      <c r="D472" t="s">
        <v>72</v>
      </c>
      <c r="E472">
        <v>60</v>
      </c>
      <c r="F472" t="s">
        <v>57</v>
      </c>
      <c r="G472" t="s">
        <v>40</v>
      </c>
      <c r="H472" t="s">
        <v>41</v>
      </c>
      <c r="I472" t="s">
        <v>36</v>
      </c>
      <c r="J472">
        <v>13</v>
      </c>
      <c r="K472" s="5">
        <v>895.26</v>
      </c>
      <c r="L472" s="5">
        <v>953.21</v>
      </c>
      <c r="M472">
        <v>23</v>
      </c>
      <c r="N472">
        <v>7</v>
      </c>
      <c r="O472">
        <v>2</v>
      </c>
      <c r="P472">
        <v>0</v>
      </c>
      <c r="Q472">
        <v>16</v>
      </c>
      <c r="R472">
        <v>0</v>
      </c>
      <c r="S472">
        <v>2</v>
      </c>
      <c r="T472">
        <v>1</v>
      </c>
      <c r="U472">
        <v>0</v>
      </c>
      <c r="V472">
        <v>0</v>
      </c>
      <c r="W472" t="s">
        <v>50</v>
      </c>
      <c r="X472">
        <v>49</v>
      </c>
      <c r="Y472">
        <v>0</v>
      </c>
      <c r="Z472">
        <f t="shared" si="42"/>
        <v>47</v>
      </c>
      <c r="AA472">
        <f t="shared" si="43"/>
        <v>0.90697674418604646</v>
      </c>
      <c r="AB472">
        <f t="shared" si="44"/>
        <v>31</v>
      </c>
      <c r="AC472" t="str">
        <f t="shared" si="45"/>
        <v>Low</v>
      </c>
      <c r="AD472" t="str">
        <f t="shared" si="46"/>
        <v>Upsell premium bundle</v>
      </c>
      <c r="AE472">
        <f t="shared" si="47"/>
        <v>53</v>
      </c>
    </row>
    <row r="473" spans="1:31" x14ac:dyDescent="0.35">
      <c r="A473" t="s">
        <v>531</v>
      </c>
      <c r="B473" s="4">
        <v>44732</v>
      </c>
      <c r="C473" s="4">
        <v>46143</v>
      </c>
      <c r="D473" t="s">
        <v>60</v>
      </c>
      <c r="E473">
        <v>50</v>
      </c>
      <c r="F473" t="s">
        <v>57</v>
      </c>
      <c r="G473" t="s">
        <v>67</v>
      </c>
      <c r="H473" t="s">
        <v>41</v>
      </c>
      <c r="I473" t="s">
        <v>49</v>
      </c>
      <c r="J473">
        <v>47</v>
      </c>
      <c r="K473" s="5">
        <v>1486.34</v>
      </c>
      <c r="L473" s="5">
        <v>1410.55</v>
      </c>
      <c r="M473">
        <v>14</v>
      </c>
      <c r="N473">
        <v>3</v>
      </c>
      <c r="O473">
        <v>1</v>
      </c>
      <c r="P473">
        <v>0</v>
      </c>
      <c r="Q473">
        <v>18</v>
      </c>
      <c r="R473">
        <v>1</v>
      </c>
      <c r="S473">
        <v>1</v>
      </c>
      <c r="T473">
        <v>1</v>
      </c>
      <c r="U473">
        <v>1</v>
      </c>
      <c r="V473">
        <v>1</v>
      </c>
      <c r="W473" t="s">
        <v>37</v>
      </c>
      <c r="X473">
        <v>-10</v>
      </c>
      <c r="Y473">
        <v>1</v>
      </c>
      <c r="Z473">
        <f t="shared" si="42"/>
        <v>50</v>
      </c>
      <c r="AA473">
        <f t="shared" si="43"/>
        <v>0.41558441558441561</v>
      </c>
      <c r="AB473">
        <f t="shared" si="44"/>
        <v>66</v>
      </c>
      <c r="AC473" t="str">
        <f t="shared" si="45"/>
        <v>Medium</v>
      </c>
      <c r="AD473" t="str">
        <f t="shared" si="46"/>
        <v>Nudge core feature adoption</v>
      </c>
      <c r="AE473">
        <f t="shared" si="47"/>
        <v>50</v>
      </c>
    </row>
    <row r="474" spans="1:31" x14ac:dyDescent="0.35">
      <c r="A474" t="s">
        <v>532</v>
      </c>
      <c r="B474" s="4">
        <v>45931</v>
      </c>
      <c r="C474" s="4">
        <v>46143</v>
      </c>
      <c r="D474" t="s">
        <v>72</v>
      </c>
      <c r="E474">
        <v>47</v>
      </c>
      <c r="F474" t="s">
        <v>43</v>
      </c>
      <c r="G474" t="s">
        <v>85</v>
      </c>
      <c r="H474" t="s">
        <v>41</v>
      </c>
      <c r="I474" t="s">
        <v>36</v>
      </c>
      <c r="J474">
        <v>7</v>
      </c>
      <c r="K474" s="5">
        <v>117.82</v>
      </c>
      <c r="L474" s="5">
        <v>101.42</v>
      </c>
      <c r="M474">
        <v>18</v>
      </c>
      <c r="N474">
        <v>9</v>
      </c>
      <c r="O474">
        <v>1</v>
      </c>
      <c r="P474">
        <v>0</v>
      </c>
      <c r="Q474">
        <v>12</v>
      </c>
      <c r="R474">
        <v>0</v>
      </c>
      <c r="S474">
        <v>0</v>
      </c>
      <c r="T474">
        <v>1</v>
      </c>
      <c r="U474">
        <v>0</v>
      </c>
      <c r="V474">
        <v>0</v>
      </c>
      <c r="W474" t="s">
        <v>55</v>
      </c>
      <c r="X474">
        <v>20</v>
      </c>
      <c r="Y474">
        <v>0</v>
      </c>
      <c r="Z474">
        <f t="shared" si="42"/>
        <v>38</v>
      </c>
      <c r="AA474">
        <f t="shared" si="43"/>
        <v>0.81081081081081086</v>
      </c>
      <c r="AB474">
        <f t="shared" si="44"/>
        <v>33</v>
      </c>
      <c r="AC474" t="str">
        <f t="shared" si="45"/>
        <v>Low</v>
      </c>
      <c r="AD474" t="str">
        <f t="shared" si="46"/>
        <v>Upsell premium bundle</v>
      </c>
      <c r="AE474">
        <f t="shared" si="47"/>
        <v>62</v>
      </c>
    </row>
    <row r="475" spans="1:31" x14ac:dyDescent="0.35">
      <c r="A475" t="s">
        <v>533</v>
      </c>
      <c r="B475" s="4">
        <v>44935</v>
      </c>
      <c r="C475" s="4">
        <v>46143</v>
      </c>
      <c r="D475" t="s">
        <v>66</v>
      </c>
      <c r="E475">
        <v>32</v>
      </c>
      <c r="F475" t="s">
        <v>33</v>
      </c>
      <c r="G475" t="s">
        <v>63</v>
      </c>
      <c r="H475" t="s">
        <v>44</v>
      </c>
      <c r="I475" t="s">
        <v>36</v>
      </c>
      <c r="J475">
        <v>40</v>
      </c>
      <c r="K475" s="5">
        <v>461.88</v>
      </c>
      <c r="L475" s="5">
        <v>385.03</v>
      </c>
      <c r="M475">
        <v>47</v>
      </c>
      <c r="N475">
        <v>27</v>
      </c>
      <c r="O475">
        <v>4</v>
      </c>
      <c r="P475">
        <v>5</v>
      </c>
      <c r="Q475">
        <v>33</v>
      </c>
      <c r="R475">
        <v>2</v>
      </c>
      <c r="S475">
        <v>2</v>
      </c>
      <c r="T475">
        <v>1</v>
      </c>
      <c r="U475">
        <v>1</v>
      </c>
      <c r="V475">
        <v>0</v>
      </c>
      <c r="W475" t="s">
        <v>50</v>
      </c>
      <c r="X475">
        <v>-24</v>
      </c>
      <c r="Y475">
        <v>0</v>
      </c>
      <c r="Z475">
        <f t="shared" si="42"/>
        <v>100</v>
      </c>
      <c r="AA475">
        <f t="shared" si="43"/>
        <v>1.1428571428571428</v>
      </c>
      <c r="AB475">
        <f t="shared" si="44"/>
        <v>33</v>
      </c>
      <c r="AC475" t="str">
        <f t="shared" si="45"/>
        <v>Low</v>
      </c>
      <c r="AD475" t="str">
        <f t="shared" si="46"/>
        <v>Upsell premium bundle</v>
      </c>
      <c r="AE475">
        <f t="shared" si="47"/>
        <v>0</v>
      </c>
    </row>
    <row r="476" spans="1:31" x14ac:dyDescent="0.35">
      <c r="A476" t="s">
        <v>534</v>
      </c>
      <c r="B476" s="4">
        <v>45784</v>
      </c>
      <c r="C476" s="4">
        <v>46143</v>
      </c>
      <c r="D476" t="s">
        <v>60</v>
      </c>
      <c r="E476">
        <v>34</v>
      </c>
      <c r="F476" t="s">
        <v>57</v>
      </c>
      <c r="G476" t="s">
        <v>34</v>
      </c>
      <c r="H476" t="s">
        <v>41</v>
      </c>
      <c r="I476" t="s">
        <v>36</v>
      </c>
      <c r="J476">
        <v>11</v>
      </c>
      <c r="K476" s="5">
        <v>1349.35</v>
      </c>
      <c r="L476" s="5">
        <v>1091.92</v>
      </c>
      <c r="M476">
        <v>13</v>
      </c>
      <c r="N476">
        <v>7</v>
      </c>
      <c r="O476">
        <v>3</v>
      </c>
      <c r="P476">
        <v>1</v>
      </c>
      <c r="Q476">
        <v>8</v>
      </c>
      <c r="R476">
        <v>4</v>
      </c>
      <c r="S476">
        <v>0</v>
      </c>
      <c r="T476">
        <v>0</v>
      </c>
      <c r="U476">
        <v>0</v>
      </c>
      <c r="V476">
        <v>0</v>
      </c>
      <c r="W476" t="s">
        <v>37</v>
      </c>
      <c r="X476">
        <v>7</v>
      </c>
      <c r="Y476">
        <v>1</v>
      </c>
      <c r="Z476">
        <f t="shared" si="42"/>
        <v>31</v>
      </c>
      <c r="AA476">
        <f t="shared" si="43"/>
        <v>0.51219512195121952</v>
      </c>
      <c r="AB476">
        <f t="shared" si="44"/>
        <v>36</v>
      </c>
      <c r="AC476" t="str">
        <f t="shared" si="45"/>
        <v>Low</v>
      </c>
      <c r="AD476" t="str">
        <f t="shared" si="46"/>
        <v>Upsell premium bundle</v>
      </c>
      <c r="AE476">
        <f t="shared" si="47"/>
        <v>69</v>
      </c>
    </row>
    <row r="477" spans="1:31" x14ac:dyDescent="0.35">
      <c r="A477" t="s">
        <v>535</v>
      </c>
      <c r="B477" s="4">
        <v>45943</v>
      </c>
      <c r="C477" s="4">
        <v>46143</v>
      </c>
      <c r="D477" t="s">
        <v>72</v>
      </c>
      <c r="E477">
        <v>61</v>
      </c>
      <c r="F477" t="s">
        <v>33</v>
      </c>
      <c r="G477" t="s">
        <v>40</v>
      </c>
      <c r="H477" t="s">
        <v>41</v>
      </c>
      <c r="I477" t="s">
        <v>36</v>
      </c>
      <c r="J477">
        <v>6</v>
      </c>
      <c r="K477" s="5">
        <v>423.22</v>
      </c>
      <c r="L477" s="5">
        <v>310.85000000000002</v>
      </c>
      <c r="M477">
        <v>7</v>
      </c>
      <c r="N477">
        <v>3</v>
      </c>
      <c r="O477">
        <v>1</v>
      </c>
      <c r="P477">
        <v>0</v>
      </c>
      <c r="Q477">
        <v>2</v>
      </c>
      <c r="R477">
        <v>2</v>
      </c>
      <c r="S477">
        <v>0</v>
      </c>
      <c r="T477">
        <v>1</v>
      </c>
      <c r="U477">
        <v>0</v>
      </c>
      <c r="V477">
        <v>0</v>
      </c>
      <c r="W477" t="s">
        <v>50</v>
      </c>
      <c r="X477">
        <v>22</v>
      </c>
      <c r="Y477">
        <v>1</v>
      </c>
      <c r="Z477">
        <f t="shared" si="42"/>
        <v>13</v>
      </c>
      <c r="AA477">
        <f t="shared" si="43"/>
        <v>0.25</v>
      </c>
      <c r="AB477">
        <f t="shared" si="44"/>
        <v>39</v>
      </c>
      <c r="AC477" t="str">
        <f t="shared" si="45"/>
        <v>Low</v>
      </c>
      <c r="AD477" t="str">
        <f t="shared" si="46"/>
        <v>Upsell premium bundle</v>
      </c>
      <c r="AE477">
        <f t="shared" si="47"/>
        <v>87</v>
      </c>
    </row>
    <row r="478" spans="1:31" x14ac:dyDescent="0.35">
      <c r="A478" t="s">
        <v>536</v>
      </c>
      <c r="B478" s="4">
        <v>45470</v>
      </c>
      <c r="C478" s="4">
        <v>46143</v>
      </c>
      <c r="D478" t="s">
        <v>60</v>
      </c>
      <c r="E478">
        <v>47</v>
      </c>
      <c r="F478" t="s">
        <v>33</v>
      </c>
      <c r="G478" t="s">
        <v>34</v>
      </c>
      <c r="H478" t="s">
        <v>44</v>
      </c>
      <c r="I478" t="s">
        <v>54</v>
      </c>
      <c r="J478">
        <v>22</v>
      </c>
      <c r="K478" s="5">
        <v>309.22000000000003</v>
      </c>
      <c r="L478" s="5">
        <v>168.81</v>
      </c>
      <c r="M478">
        <v>39</v>
      </c>
      <c r="N478">
        <v>14</v>
      </c>
      <c r="O478">
        <v>4</v>
      </c>
      <c r="P478">
        <v>5</v>
      </c>
      <c r="Q478">
        <v>19</v>
      </c>
      <c r="R478">
        <v>2</v>
      </c>
      <c r="S478">
        <v>1</v>
      </c>
      <c r="T478">
        <v>0</v>
      </c>
      <c r="U478">
        <v>1</v>
      </c>
      <c r="V478">
        <v>1</v>
      </c>
      <c r="W478" t="s">
        <v>37</v>
      </c>
      <c r="X478">
        <v>-10</v>
      </c>
      <c r="Y478">
        <v>1</v>
      </c>
      <c r="Z478">
        <f t="shared" si="42"/>
        <v>97</v>
      </c>
      <c r="AA478">
        <f t="shared" si="43"/>
        <v>1.1153846153846154</v>
      </c>
      <c r="AB478">
        <f t="shared" si="44"/>
        <v>35</v>
      </c>
      <c r="AC478" t="str">
        <f t="shared" si="45"/>
        <v>Low</v>
      </c>
      <c r="AD478" t="str">
        <f t="shared" si="46"/>
        <v>Upsell premium bundle</v>
      </c>
      <c r="AE478">
        <f t="shared" si="47"/>
        <v>3</v>
      </c>
    </row>
    <row r="479" spans="1:31" x14ac:dyDescent="0.35">
      <c r="A479" t="s">
        <v>537</v>
      </c>
      <c r="B479" s="4">
        <v>45249</v>
      </c>
      <c r="C479" s="4">
        <v>46143</v>
      </c>
      <c r="D479" t="s">
        <v>60</v>
      </c>
      <c r="E479">
        <v>70</v>
      </c>
      <c r="F479" t="s">
        <v>33</v>
      </c>
      <c r="G479" t="s">
        <v>63</v>
      </c>
      <c r="H479" t="s">
        <v>41</v>
      </c>
      <c r="I479" t="s">
        <v>49</v>
      </c>
      <c r="J479">
        <v>29</v>
      </c>
      <c r="K479" s="5">
        <v>315.52999999999997</v>
      </c>
      <c r="L479" s="5">
        <v>293.37</v>
      </c>
      <c r="M479">
        <v>20</v>
      </c>
      <c r="N479">
        <v>9</v>
      </c>
      <c r="O479">
        <v>3</v>
      </c>
      <c r="P479">
        <v>0</v>
      </c>
      <c r="Q479">
        <v>24</v>
      </c>
      <c r="R479">
        <v>2</v>
      </c>
      <c r="S479">
        <v>1</v>
      </c>
      <c r="T479">
        <v>0</v>
      </c>
      <c r="U479">
        <v>0</v>
      </c>
      <c r="V479">
        <v>1</v>
      </c>
      <c r="W479" t="s">
        <v>50</v>
      </c>
      <c r="X479">
        <v>9</v>
      </c>
      <c r="Y479">
        <v>1</v>
      </c>
      <c r="Z479">
        <f t="shared" si="42"/>
        <v>61</v>
      </c>
      <c r="AA479">
        <f t="shared" si="43"/>
        <v>0.74576271186440679</v>
      </c>
      <c r="AB479">
        <f t="shared" si="44"/>
        <v>50</v>
      </c>
      <c r="AC479" t="str">
        <f t="shared" si="45"/>
        <v>Medium</v>
      </c>
      <c r="AD479" t="str">
        <f t="shared" si="46"/>
        <v>Nudge core feature adoption</v>
      </c>
      <c r="AE479">
        <f t="shared" si="47"/>
        <v>39</v>
      </c>
    </row>
    <row r="480" spans="1:31" x14ac:dyDescent="0.35">
      <c r="A480" t="s">
        <v>538</v>
      </c>
      <c r="B480" s="4">
        <v>45788</v>
      </c>
      <c r="C480" s="4">
        <v>46143</v>
      </c>
      <c r="D480" t="s">
        <v>72</v>
      </c>
      <c r="E480">
        <v>66</v>
      </c>
      <c r="F480" t="s">
        <v>57</v>
      </c>
      <c r="G480" t="s">
        <v>40</v>
      </c>
      <c r="H480" t="s">
        <v>44</v>
      </c>
      <c r="I480" t="s">
        <v>36</v>
      </c>
      <c r="J480">
        <v>11</v>
      </c>
      <c r="K480" s="5">
        <v>0</v>
      </c>
      <c r="L480" s="5">
        <v>1709.04</v>
      </c>
      <c r="M480">
        <v>42</v>
      </c>
      <c r="N480">
        <v>20</v>
      </c>
      <c r="O480">
        <v>10</v>
      </c>
      <c r="P480">
        <v>4</v>
      </c>
      <c r="Q480">
        <v>18</v>
      </c>
      <c r="R480">
        <v>2</v>
      </c>
      <c r="S480">
        <v>1</v>
      </c>
      <c r="T480">
        <v>0</v>
      </c>
      <c r="U480">
        <v>1</v>
      </c>
      <c r="V480">
        <v>1</v>
      </c>
      <c r="W480" t="s">
        <v>45</v>
      </c>
      <c r="X480">
        <v>41</v>
      </c>
      <c r="Y480">
        <v>0</v>
      </c>
      <c r="Z480">
        <f t="shared" si="42"/>
        <v>100</v>
      </c>
      <c r="AA480">
        <f t="shared" si="43"/>
        <v>1.4634146341463414</v>
      </c>
      <c r="AB480">
        <f t="shared" si="44"/>
        <v>0</v>
      </c>
      <c r="AC480" t="str">
        <f t="shared" si="45"/>
        <v>Low</v>
      </c>
      <c r="AD480" t="str">
        <f t="shared" si="46"/>
        <v>Upsell premium bundle</v>
      </c>
      <c r="AE480">
        <f t="shared" si="47"/>
        <v>0</v>
      </c>
    </row>
    <row r="481" spans="1:31" x14ac:dyDescent="0.35">
      <c r="A481" t="s">
        <v>539</v>
      </c>
      <c r="B481" s="4">
        <v>45610</v>
      </c>
      <c r="C481" s="4">
        <v>46143</v>
      </c>
      <c r="D481" t="s">
        <v>60</v>
      </c>
      <c r="E481">
        <v>25</v>
      </c>
      <c r="F481" t="s">
        <v>33</v>
      </c>
      <c r="G481" t="s">
        <v>34</v>
      </c>
      <c r="H481" t="s">
        <v>58</v>
      </c>
      <c r="I481" t="s">
        <v>36</v>
      </c>
      <c r="J481">
        <v>17</v>
      </c>
      <c r="K481" s="5">
        <v>448.33</v>
      </c>
      <c r="L481" s="5">
        <v>145.94999999999999</v>
      </c>
      <c r="M481">
        <v>27</v>
      </c>
      <c r="N481">
        <v>9</v>
      </c>
      <c r="O481">
        <v>7</v>
      </c>
      <c r="P481">
        <v>1</v>
      </c>
      <c r="Q481">
        <v>25</v>
      </c>
      <c r="R481">
        <v>3</v>
      </c>
      <c r="S481">
        <v>1</v>
      </c>
      <c r="T481">
        <v>1</v>
      </c>
      <c r="U481">
        <v>1</v>
      </c>
      <c r="V481">
        <v>0</v>
      </c>
      <c r="W481" t="s">
        <v>37</v>
      </c>
      <c r="X481">
        <v>24</v>
      </c>
      <c r="Y481">
        <v>0</v>
      </c>
      <c r="Z481">
        <f t="shared" si="42"/>
        <v>76</v>
      </c>
      <c r="AA481">
        <f t="shared" si="43"/>
        <v>1.1063829787234043</v>
      </c>
      <c r="AB481">
        <f t="shared" si="44"/>
        <v>9</v>
      </c>
      <c r="AC481" t="str">
        <f t="shared" si="45"/>
        <v>Low</v>
      </c>
      <c r="AD481" t="str">
        <f t="shared" si="46"/>
        <v>Upsell premium bundle</v>
      </c>
      <c r="AE481">
        <f t="shared" si="47"/>
        <v>24</v>
      </c>
    </row>
    <row r="482" spans="1:31" x14ac:dyDescent="0.35">
      <c r="A482" t="s">
        <v>540</v>
      </c>
      <c r="B482" s="4">
        <v>46029</v>
      </c>
      <c r="C482" s="4">
        <v>46143</v>
      </c>
      <c r="D482" t="s">
        <v>47</v>
      </c>
      <c r="E482">
        <v>21</v>
      </c>
      <c r="F482" t="s">
        <v>57</v>
      </c>
      <c r="G482" t="s">
        <v>40</v>
      </c>
      <c r="H482" t="s">
        <v>41</v>
      </c>
      <c r="I482" t="s">
        <v>36</v>
      </c>
      <c r="J482">
        <v>3</v>
      </c>
      <c r="K482" s="5">
        <v>1629.33</v>
      </c>
      <c r="L482" s="5">
        <v>372.03</v>
      </c>
      <c r="M482">
        <v>29</v>
      </c>
      <c r="N482">
        <v>14</v>
      </c>
      <c r="O482">
        <v>7</v>
      </c>
      <c r="P482">
        <v>2</v>
      </c>
      <c r="Q482">
        <v>13</v>
      </c>
      <c r="R482">
        <v>0</v>
      </c>
      <c r="S482">
        <v>0</v>
      </c>
      <c r="T482">
        <v>1</v>
      </c>
      <c r="U482">
        <v>0</v>
      </c>
      <c r="V482">
        <v>0</v>
      </c>
      <c r="W482" t="s">
        <v>37</v>
      </c>
      <c r="X482">
        <v>30</v>
      </c>
      <c r="Y482">
        <v>0</v>
      </c>
      <c r="Z482">
        <f t="shared" si="42"/>
        <v>65</v>
      </c>
      <c r="AA482">
        <f t="shared" si="43"/>
        <v>1.2727272727272727</v>
      </c>
      <c r="AB482">
        <f t="shared" si="44"/>
        <v>17</v>
      </c>
      <c r="AC482" t="str">
        <f t="shared" si="45"/>
        <v>Low</v>
      </c>
      <c r="AD482" t="str">
        <f t="shared" si="46"/>
        <v>Upsell premium bundle</v>
      </c>
      <c r="AE482">
        <f t="shared" si="47"/>
        <v>35</v>
      </c>
    </row>
    <row r="483" spans="1:31" x14ac:dyDescent="0.35">
      <c r="A483" t="s">
        <v>541</v>
      </c>
      <c r="B483" s="4">
        <v>44819</v>
      </c>
      <c r="C483" s="4">
        <v>46143</v>
      </c>
      <c r="D483" t="s">
        <v>32</v>
      </c>
      <c r="E483">
        <v>58</v>
      </c>
      <c r="F483" t="s">
        <v>57</v>
      </c>
      <c r="G483" t="s">
        <v>48</v>
      </c>
      <c r="H483" t="s">
        <v>41</v>
      </c>
      <c r="I483" t="s">
        <v>36</v>
      </c>
      <c r="J483">
        <v>44</v>
      </c>
      <c r="K483" s="5">
        <v>504.89</v>
      </c>
      <c r="L483" s="5">
        <v>1296.1600000000001</v>
      </c>
      <c r="M483">
        <v>2</v>
      </c>
      <c r="N483">
        <v>1</v>
      </c>
      <c r="O483">
        <v>0</v>
      </c>
      <c r="P483">
        <v>0</v>
      </c>
      <c r="Q483">
        <v>7</v>
      </c>
      <c r="R483">
        <v>0</v>
      </c>
      <c r="S483">
        <v>0</v>
      </c>
      <c r="T483">
        <v>0</v>
      </c>
      <c r="U483">
        <v>1</v>
      </c>
      <c r="V483">
        <v>1</v>
      </c>
      <c r="W483" t="s">
        <v>52</v>
      </c>
      <c r="X483">
        <v>27</v>
      </c>
      <c r="Y483">
        <v>1</v>
      </c>
      <c r="Z483">
        <f t="shared" si="42"/>
        <v>24</v>
      </c>
      <c r="AA483">
        <f t="shared" si="43"/>
        <v>0.12162162162162163</v>
      </c>
      <c r="AB483">
        <f t="shared" si="44"/>
        <v>35</v>
      </c>
      <c r="AC483" t="str">
        <f t="shared" si="45"/>
        <v>Low</v>
      </c>
      <c r="AD483" t="str">
        <f t="shared" si="46"/>
        <v>Upsell premium bundle</v>
      </c>
      <c r="AE483">
        <f t="shared" si="47"/>
        <v>76</v>
      </c>
    </row>
    <row r="484" spans="1:31" x14ac:dyDescent="0.35">
      <c r="A484" t="s">
        <v>542</v>
      </c>
      <c r="B484" s="4">
        <v>45634</v>
      </c>
      <c r="C484" s="4">
        <v>46143</v>
      </c>
      <c r="D484" t="s">
        <v>72</v>
      </c>
      <c r="E484">
        <v>55</v>
      </c>
      <c r="F484" t="s">
        <v>33</v>
      </c>
      <c r="G484" t="s">
        <v>63</v>
      </c>
      <c r="H484" t="s">
        <v>44</v>
      </c>
      <c r="I484" t="s">
        <v>36</v>
      </c>
      <c r="J484">
        <v>16</v>
      </c>
      <c r="K484" s="5">
        <v>504.09</v>
      </c>
      <c r="L484" s="5">
        <v>291.86</v>
      </c>
      <c r="M484">
        <v>37</v>
      </c>
      <c r="N484">
        <v>25</v>
      </c>
      <c r="O484">
        <v>8</v>
      </c>
      <c r="P484">
        <v>0</v>
      </c>
      <c r="Q484">
        <v>19</v>
      </c>
      <c r="R484">
        <v>0</v>
      </c>
      <c r="S484">
        <v>0</v>
      </c>
      <c r="T484">
        <v>1</v>
      </c>
      <c r="U484">
        <v>1</v>
      </c>
      <c r="V484">
        <v>1</v>
      </c>
      <c r="W484" t="s">
        <v>45</v>
      </c>
      <c r="X484">
        <v>-14</v>
      </c>
      <c r="Y484">
        <v>0</v>
      </c>
      <c r="Z484">
        <f t="shared" si="42"/>
        <v>100</v>
      </c>
      <c r="AA484">
        <f t="shared" si="43"/>
        <v>1.2173913043478262</v>
      </c>
      <c r="AB484">
        <f t="shared" si="44"/>
        <v>15</v>
      </c>
      <c r="AC484" t="str">
        <f t="shared" si="45"/>
        <v>Low</v>
      </c>
      <c r="AD484" t="str">
        <f t="shared" si="46"/>
        <v>Upsell premium bundle</v>
      </c>
      <c r="AE484">
        <f t="shared" si="47"/>
        <v>0</v>
      </c>
    </row>
    <row r="485" spans="1:31" x14ac:dyDescent="0.35">
      <c r="A485" t="s">
        <v>543</v>
      </c>
      <c r="B485" s="4">
        <v>45608</v>
      </c>
      <c r="C485" s="4">
        <v>46143</v>
      </c>
      <c r="D485" t="s">
        <v>72</v>
      </c>
      <c r="E485">
        <v>20</v>
      </c>
      <c r="F485" t="s">
        <v>33</v>
      </c>
      <c r="G485" t="s">
        <v>40</v>
      </c>
      <c r="H485" t="s">
        <v>41</v>
      </c>
      <c r="I485" t="s">
        <v>36</v>
      </c>
      <c r="J485">
        <v>17</v>
      </c>
      <c r="K485" s="5">
        <v>622.46</v>
      </c>
      <c r="L485" s="5">
        <v>88.85</v>
      </c>
      <c r="M485">
        <v>30</v>
      </c>
      <c r="N485">
        <v>20</v>
      </c>
      <c r="O485">
        <v>3</v>
      </c>
      <c r="P485">
        <v>0</v>
      </c>
      <c r="Q485">
        <v>18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45</v>
      </c>
      <c r="X485">
        <v>68</v>
      </c>
      <c r="Y485">
        <v>0</v>
      </c>
      <c r="Z485">
        <f t="shared" si="42"/>
        <v>67</v>
      </c>
      <c r="AA485">
        <f t="shared" si="43"/>
        <v>1.0212765957446808</v>
      </c>
      <c r="AB485">
        <f t="shared" si="44"/>
        <v>0</v>
      </c>
      <c r="AC485" t="str">
        <f t="shared" si="45"/>
        <v>Low</v>
      </c>
      <c r="AD485" t="str">
        <f t="shared" si="46"/>
        <v>Upsell premium bundle</v>
      </c>
      <c r="AE485">
        <f t="shared" si="47"/>
        <v>33</v>
      </c>
    </row>
    <row r="486" spans="1:31" x14ac:dyDescent="0.35">
      <c r="A486" t="s">
        <v>544</v>
      </c>
      <c r="B486" s="4">
        <v>45884</v>
      </c>
      <c r="C486" s="4">
        <v>46143</v>
      </c>
      <c r="D486" t="s">
        <v>39</v>
      </c>
      <c r="E486">
        <v>39</v>
      </c>
      <c r="F486" t="s">
        <v>43</v>
      </c>
      <c r="G486" t="s">
        <v>40</v>
      </c>
      <c r="H486" t="s">
        <v>58</v>
      </c>
      <c r="I486" t="s">
        <v>36</v>
      </c>
      <c r="J486">
        <v>8</v>
      </c>
      <c r="K486" s="5">
        <v>117.22</v>
      </c>
      <c r="L486" s="5">
        <v>46.55</v>
      </c>
      <c r="M486">
        <v>33</v>
      </c>
      <c r="N486">
        <v>12</v>
      </c>
      <c r="O486">
        <v>6</v>
      </c>
      <c r="P486">
        <v>6</v>
      </c>
      <c r="Q486">
        <v>26</v>
      </c>
      <c r="R486">
        <v>0</v>
      </c>
      <c r="S486">
        <v>2</v>
      </c>
      <c r="T486">
        <v>1</v>
      </c>
      <c r="U486">
        <v>0</v>
      </c>
      <c r="V486">
        <v>1</v>
      </c>
      <c r="W486" t="s">
        <v>50</v>
      </c>
      <c r="X486">
        <v>27</v>
      </c>
      <c r="Y486">
        <v>0</v>
      </c>
      <c r="Z486">
        <f t="shared" si="42"/>
        <v>91</v>
      </c>
      <c r="AA486">
        <f t="shared" si="43"/>
        <v>1.5526315789473684</v>
      </c>
      <c r="AB486">
        <f t="shared" si="44"/>
        <v>14</v>
      </c>
      <c r="AC486" t="str">
        <f t="shared" si="45"/>
        <v>Low</v>
      </c>
      <c r="AD486" t="str">
        <f t="shared" si="46"/>
        <v>Upsell premium bundle</v>
      </c>
      <c r="AE486">
        <f t="shared" si="47"/>
        <v>9</v>
      </c>
    </row>
    <row r="487" spans="1:31" x14ac:dyDescent="0.35">
      <c r="A487" t="s">
        <v>545</v>
      </c>
      <c r="B487" s="4">
        <v>45599</v>
      </c>
      <c r="C487" s="4">
        <v>46143</v>
      </c>
      <c r="D487" t="s">
        <v>39</v>
      </c>
      <c r="E487">
        <v>43</v>
      </c>
      <c r="F487" t="s">
        <v>33</v>
      </c>
      <c r="G487" t="s">
        <v>34</v>
      </c>
      <c r="H487" t="s">
        <v>41</v>
      </c>
      <c r="I487" t="s">
        <v>36</v>
      </c>
      <c r="J487">
        <v>18</v>
      </c>
      <c r="K487" s="5">
        <v>266.88</v>
      </c>
      <c r="L487" s="5">
        <v>377.17</v>
      </c>
      <c r="M487">
        <v>12</v>
      </c>
      <c r="N487">
        <v>4</v>
      </c>
      <c r="O487">
        <v>2</v>
      </c>
      <c r="P487">
        <v>1</v>
      </c>
      <c r="Q487">
        <v>11</v>
      </c>
      <c r="R487">
        <v>0</v>
      </c>
      <c r="S487">
        <v>2</v>
      </c>
      <c r="T487">
        <v>1</v>
      </c>
      <c r="U487">
        <v>1</v>
      </c>
      <c r="V487">
        <v>0</v>
      </c>
      <c r="W487" t="s">
        <v>37</v>
      </c>
      <c r="X487">
        <v>13</v>
      </c>
      <c r="Y487">
        <v>1</v>
      </c>
      <c r="Z487">
        <f t="shared" si="42"/>
        <v>38</v>
      </c>
      <c r="AA487">
        <f t="shared" si="43"/>
        <v>0.47916666666666669</v>
      </c>
      <c r="AB487">
        <f t="shared" si="44"/>
        <v>52</v>
      </c>
      <c r="AC487" t="str">
        <f t="shared" si="45"/>
        <v>Medium</v>
      </c>
      <c r="AD487" t="str">
        <f t="shared" si="46"/>
        <v>Nudge core feature adoption</v>
      </c>
      <c r="AE487">
        <f t="shared" si="47"/>
        <v>62</v>
      </c>
    </row>
    <row r="488" spans="1:31" x14ac:dyDescent="0.35">
      <c r="A488" t="s">
        <v>546</v>
      </c>
      <c r="B488" s="4">
        <v>44701</v>
      </c>
      <c r="C488" s="4">
        <v>46143</v>
      </c>
      <c r="D488" t="s">
        <v>47</v>
      </c>
      <c r="E488">
        <v>21</v>
      </c>
      <c r="F488" t="s">
        <v>43</v>
      </c>
      <c r="G488" t="s">
        <v>34</v>
      </c>
      <c r="H488" t="s">
        <v>41</v>
      </c>
      <c r="I488" t="s">
        <v>49</v>
      </c>
      <c r="J488">
        <v>48</v>
      </c>
      <c r="K488" s="5">
        <v>42.85</v>
      </c>
      <c r="L488" s="5">
        <v>49.38</v>
      </c>
      <c r="M488">
        <v>21</v>
      </c>
      <c r="N488">
        <v>6</v>
      </c>
      <c r="O488">
        <v>3</v>
      </c>
      <c r="P488">
        <v>1</v>
      </c>
      <c r="Q488">
        <v>13</v>
      </c>
      <c r="R488">
        <v>1</v>
      </c>
      <c r="S488">
        <v>1</v>
      </c>
      <c r="T488">
        <v>1</v>
      </c>
      <c r="U488">
        <v>1</v>
      </c>
      <c r="V488">
        <v>1</v>
      </c>
      <c r="W488" t="s">
        <v>37</v>
      </c>
      <c r="X488">
        <v>36</v>
      </c>
      <c r="Y488">
        <v>0</v>
      </c>
      <c r="Z488">
        <f t="shared" si="42"/>
        <v>59</v>
      </c>
      <c r="AA488">
        <f t="shared" si="43"/>
        <v>0.4358974358974359</v>
      </c>
      <c r="AB488">
        <f t="shared" si="44"/>
        <v>39</v>
      </c>
      <c r="AC488" t="str">
        <f t="shared" si="45"/>
        <v>Low</v>
      </c>
      <c r="AD488" t="str">
        <f t="shared" si="46"/>
        <v>Upsell premium bundle</v>
      </c>
      <c r="AE488">
        <f t="shared" si="47"/>
        <v>41</v>
      </c>
    </row>
    <row r="489" spans="1:31" x14ac:dyDescent="0.35">
      <c r="A489" t="s">
        <v>547</v>
      </c>
      <c r="B489" s="4">
        <v>44862</v>
      </c>
      <c r="C489" s="4">
        <v>46143</v>
      </c>
      <c r="D489" t="s">
        <v>72</v>
      </c>
      <c r="E489">
        <v>71</v>
      </c>
      <c r="F489" t="s">
        <v>77</v>
      </c>
      <c r="G489" t="s">
        <v>48</v>
      </c>
      <c r="H489" t="s">
        <v>41</v>
      </c>
      <c r="I489" t="s">
        <v>49</v>
      </c>
      <c r="J489">
        <v>42</v>
      </c>
      <c r="K489" s="5">
        <v>3217.83</v>
      </c>
      <c r="L489" s="5">
        <v>1917.42</v>
      </c>
      <c r="M489">
        <v>34</v>
      </c>
      <c r="N489">
        <v>14</v>
      </c>
      <c r="O489">
        <v>9</v>
      </c>
      <c r="P489">
        <v>2</v>
      </c>
      <c r="Q489">
        <v>33</v>
      </c>
      <c r="R489">
        <v>2</v>
      </c>
      <c r="S489">
        <v>0</v>
      </c>
      <c r="T489">
        <v>0</v>
      </c>
      <c r="U489">
        <v>0</v>
      </c>
      <c r="V489">
        <v>0</v>
      </c>
      <c r="W489" t="s">
        <v>55</v>
      </c>
      <c r="X489">
        <v>3</v>
      </c>
      <c r="Y489">
        <v>0</v>
      </c>
      <c r="Z489">
        <f t="shared" si="42"/>
        <v>91</v>
      </c>
      <c r="AA489">
        <f t="shared" si="43"/>
        <v>0.93055555555555558</v>
      </c>
      <c r="AB489">
        <f t="shared" si="44"/>
        <v>23</v>
      </c>
      <c r="AC489" t="str">
        <f t="shared" si="45"/>
        <v>Low</v>
      </c>
      <c r="AD489" t="str">
        <f t="shared" si="46"/>
        <v>Upsell premium bundle</v>
      </c>
      <c r="AE489">
        <f t="shared" si="47"/>
        <v>9</v>
      </c>
    </row>
    <row r="490" spans="1:31" x14ac:dyDescent="0.35">
      <c r="A490" t="s">
        <v>548</v>
      </c>
      <c r="B490" s="4">
        <v>44798</v>
      </c>
      <c r="C490" s="4">
        <v>46143</v>
      </c>
      <c r="D490" t="s">
        <v>39</v>
      </c>
      <c r="E490">
        <v>59</v>
      </c>
      <c r="F490" t="s">
        <v>43</v>
      </c>
      <c r="G490" t="s">
        <v>63</v>
      </c>
      <c r="H490" t="s">
        <v>41</v>
      </c>
      <c r="I490" t="s">
        <v>36</v>
      </c>
      <c r="J490">
        <v>44</v>
      </c>
      <c r="K490" s="5">
        <v>19.670000000000002</v>
      </c>
      <c r="L490" s="5">
        <v>40.090000000000003</v>
      </c>
      <c r="M490">
        <v>25</v>
      </c>
      <c r="N490">
        <v>14</v>
      </c>
      <c r="O490">
        <v>6</v>
      </c>
      <c r="P490">
        <v>3</v>
      </c>
      <c r="Q490">
        <v>12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45</v>
      </c>
      <c r="X490">
        <v>-5</v>
      </c>
      <c r="Y490">
        <v>1</v>
      </c>
      <c r="Z490">
        <f t="shared" si="42"/>
        <v>60</v>
      </c>
      <c r="AA490">
        <f t="shared" si="43"/>
        <v>0.5</v>
      </c>
      <c r="AB490">
        <f t="shared" si="44"/>
        <v>37</v>
      </c>
      <c r="AC490" t="str">
        <f t="shared" si="45"/>
        <v>Low</v>
      </c>
      <c r="AD490" t="str">
        <f t="shared" si="46"/>
        <v>Upsell premium bundle</v>
      </c>
      <c r="AE490">
        <f t="shared" si="47"/>
        <v>40</v>
      </c>
    </row>
    <row r="491" spans="1:31" x14ac:dyDescent="0.35">
      <c r="A491" t="s">
        <v>549</v>
      </c>
      <c r="B491" s="4">
        <v>45543</v>
      </c>
      <c r="C491" s="4">
        <v>46143</v>
      </c>
      <c r="D491" t="s">
        <v>47</v>
      </c>
      <c r="E491">
        <v>72</v>
      </c>
      <c r="F491" t="s">
        <v>57</v>
      </c>
      <c r="G491" t="s">
        <v>48</v>
      </c>
      <c r="H491" t="s">
        <v>58</v>
      </c>
      <c r="I491" t="s">
        <v>36</v>
      </c>
      <c r="J491">
        <v>20</v>
      </c>
      <c r="K491" s="5">
        <v>554.11</v>
      </c>
      <c r="L491" s="5">
        <v>488.05</v>
      </c>
      <c r="M491">
        <v>14</v>
      </c>
      <c r="N491">
        <v>7</v>
      </c>
      <c r="O491">
        <v>2</v>
      </c>
      <c r="P491">
        <v>2</v>
      </c>
      <c r="Q491">
        <v>19</v>
      </c>
      <c r="R491">
        <v>0</v>
      </c>
      <c r="S491">
        <v>1</v>
      </c>
      <c r="T491">
        <v>1</v>
      </c>
      <c r="U491">
        <v>0</v>
      </c>
      <c r="V491">
        <v>0</v>
      </c>
      <c r="W491" t="s">
        <v>52</v>
      </c>
      <c r="X491">
        <v>57</v>
      </c>
      <c r="Y491">
        <v>0</v>
      </c>
      <c r="Z491">
        <f t="shared" si="42"/>
        <v>43</v>
      </c>
      <c r="AA491">
        <f t="shared" si="43"/>
        <v>0.66</v>
      </c>
      <c r="AB491">
        <f t="shared" si="44"/>
        <v>10</v>
      </c>
      <c r="AC491" t="str">
        <f t="shared" si="45"/>
        <v>Low</v>
      </c>
      <c r="AD491" t="str">
        <f t="shared" si="46"/>
        <v>Upsell premium bundle</v>
      </c>
      <c r="AE491">
        <f t="shared" si="47"/>
        <v>57</v>
      </c>
    </row>
    <row r="492" spans="1:31" x14ac:dyDescent="0.35">
      <c r="A492" t="s">
        <v>550</v>
      </c>
      <c r="B492" s="4">
        <v>44741</v>
      </c>
      <c r="C492" s="4">
        <v>46143</v>
      </c>
      <c r="D492" t="s">
        <v>72</v>
      </c>
      <c r="E492">
        <v>44</v>
      </c>
      <c r="F492" t="s">
        <v>61</v>
      </c>
      <c r="G492" t="s">
        <v>67</v>
      </c>
      <c r="H492" t="s">
        <v>41</v>
      </c>
      <c r="I492" t="s">
        <v>36</v>
      </c>
      <c r="J492">
        <v>46</v>
      </c>
      <c r="K492" s="5">
        <v>4123.43</v>
      </c>
      <c r="L492" s="5">
        <v>4901.17</v>
      </c>
      <c r="M492">
        <v>22</v>
      </c>
      <c r="N492">
        <v>8</v>
      </c>
      <c r="O492">
        <v>4</v>
      </c>
      <c r="P492">
        <v>2</v>
      </c>
      <c r="Q492">
        <v>14</v>
      </c>
      <c r="R492">
        <v>2</v>
      </c>
      <c r="S492">
        <v>1</v>
      </c>
      <c r="T492">
        <v>1</v>
      </c>
      <c r="U492">
        <v>0</v>
      </c>
      <c r="V492">
        <v>0</v>
      </c>
      <c r="W492" t="s">
        <v>52</v>
      </c>
      <c r="X492">
        <v>10</v>
      </c>
      <c r="Y492">
        <v>1</v>
      </c>
      <c r="Z492">
        <f t="shared" si="42"/>
        <v>50</v>
      </c>
      <c r="AA492">
        <f t="shared" si="43"/>
        <v>0.47368421052631576</v>
      </c>
      <c r="AB492">
        <f t="shared" si="44"/>
        <v>28</v>
      </c>
      <c r="AC492" t="str">
        <f t="shared" si="45"/>
        <v>Low</v>
      </c>
      <c r="AD492" t="str">
        <f t="shared" si="46"/>
        <v>Upsell premium bundle</v>
      </c>
      <c r="AE492">
        <f t="shared" si="47"/>
        <v>50</v>
      </c>
    </row>
    <row r="493" spans="1:31" x14ac:dyDescent="0.35">
      <c r="A493" t="s">
        <v>551</v>
      </c>
      <c r="B493" s="4">
        <v>44731</v>
      </c>
      <c r="C493" s="4">
        <v>46143</v>
      </c>
      <c r="D493" t="s">
        <v>72</v>
      </c>
      <c r="E493">
        <v>22</v>
      </c>
      <c r="F493" t="s">
        <v>33</v>
      </c>
      <c r="G493" t="s">
        <v>85</v>
      </c>
      <c r="H493" t="s">
        <v>35</v>
      </c>
      <c r="I493" t="s">
        <v>36</v>
      </c>
      <c r="J493">
        <v>47</v>
      </c>
      <c r="K493" s="5">
        <v>180.73</v>
      </c>
      <c r="L493" s="5">
        <v>264.08999999999997</v>
      </c>
      <c r="M493">
        <v>40</v>
      </c>
      <c r="N493">
        <v>24</v>
      </c>
      <c r="O493">
        <v>8</v>
      </c>
      <c r="P493">
        <v>1</v>
      </c>
      <c r="Q493">
        <v>27</v>
      </c>
      <c r="R493">
        <v>1</v>
      </c>
      <c r="S493">
        <v>1</v>
      </c>
      <c r="T493">
        <v>1</v>
      </c>
      <c r="U493">
        <v>0</v>
      </c>
      <c r="V493">
        <v>0</v>
      </c>
      <c r="W493" t="s">
        <v>50</v>
      </c>
      <c r="X493">
        <v>4</v>
      </c>
      <c r="Y493">
        <v>0</v>
      </c>
      <c r="Z493">
        <f t="shared" si="42"/>
        <v>96</v>
      </c>
      <c r="AA493">
        <f t="shared" si="43"/>
        <v>0.87012987012987009</v>
      </c>
      <c r="AB493">
        <f t="shared" si="44"/>
        <v>14</v>
      </c>
      <c r="AC493" t="str">
        <f t="shared" si="45"/>
        <v>Low</v>
      </c>
      <c r="AD493" t="str">
        <f t="shared" si="46"/>
        <v>Upsell premium bundle</v>
      </c>
      <c r="AE493">
        <f t="shared" si="47"/>
        <v>4</v>
      </c>
    </row>
    <row r="494" spans="1:31" x14ac:dyDescent="0.35">
      <c r="A494" t="s">
        <v>552</v>
      </c>
      <c r="B494" s="4">
        <v>45518</v>
      </c>
      <c r="C494" s="4">
        <v>46143</v>
      </c>
      <c r="D494" t="s">
        <v>60</v>
      </c>
      <c r="E494">
        <v>58</v>
      </c>
      <c r="F494" t="s">
        <v>61</v>
      </c>
      <c r="G494" t="s">
        <v>34</v>
      </c>
      <c r="H494" t="s">
        <v>41</v>
      </c>
      <c r="I494" t="s">
        <v>36</v>
      </c>
      <c r="J494">
        <v>20</v>
      </c>
      <c r="K494" s="5">
        <v>1203.1400000000001</v>
      </c>
      <c r="L494" s="5">
        <v>4054.15</v>
      </c>
      <c r="M494">
        <v>14</v>
      </c>
      <c r="N494">
        <v>9</v>
      </c>
      <c r="O494">
        <v>1</v>
      </c>
      <c r="P494">
        <v>0</v>
      </c>
      <c r="Q494">
        <v>16</v>
      </c>
      <c r="R494">
        <v>3</v>
      </c>
      <c r="S494">
        <v>2</v>
      </c>
      <c r="T494">
        <v>0</v>
      </c>
      <c r="U494">
        <v>1</v>
      </c>
      <c r="V494">
        <v>1</v>
      </c>
      <c r="W494" t="s">
        <v>50</v>
      </c>
      <c r="X494">
        <v>-19</v>
      </c>
      <c r="Y494">
        <v>1</v>
      </c>
      <c r="Z494">
        <f t="shared" si="42"/>
        <v>52</v>
      </c>
      <c r="AA494">
        <f t="shared" si="43"/>
        <v>0.6</v>
      </c>
      <c r="AB494">
        <f t="shared" si="44"/>
        <v>48</v>
      </c>
      <c r="AC494" t="str">
        <f t="shared" si="45"/>
        <v>Medium</v>
      </c>
      <c r="AD494" t="str">
        <f t="shared" si="46"/>
        <v>Nudge core feature adoption</v>
      </c>
      <c r="AE494">
        <f t="shared" si="47"/>
        <v>48</v>
      </c>
    </row>
    <row r="495" spans="1:31" x14ac:dyDescent="0.35">
      <c r="A495" t="s">
        <v>553</v>
      </c>
      <c r="B495" s="4">
        <v>45453</v>
      </c>
      <c r="C495" s="4">
        <v>46143</v>
      </c>
      <c r="D495" t="s">
        <v>47</v>
      </c>
      <c r="E495">
        <v>46</v>
      </c>
      <c r="F495" t="s">
        <v>33</v>
      </c>
      <c r="G495" t="s">
        <v>67</v>
      </c>
      <c r="H495" t="s">
        <v>58</v>
      </c>
      <c r="I495" t="s">
        <v>36</v>
      </c>
      <c r="J495">
        <v>23</v>
      </c>
      <c r="K495" s="5">
        <v>223.55</v>
      </c>
      <c r="L495" s="5">
        <v>169.3</v>
      </c>
      <c r="M495">
        <v>27</v>
      </c>
      <c r="N495">
        <v>10</v>
      </c>
      <c r="O495">
        <v>3</v>
      </c>
      <c r="P495">
        <v>1</v>
      </c>
      <c r="Q495">
        <v>15</v>
      </c>
      <c r="R495">
        <v>3</v>
      </c>
      <c r="S495">
        <v>0</v>
      </c>
      <c r="T495">
        <v>1</v>
      </c>
      <c r="U495">
        <v>0</v>
      </c>
      <c r="V495">
        <v>0</v>
      </c>
      <c r="W495" t="s">
        <v>37</v>
      </c>
      <c r="X495">
        <v>-21</v>
      </c>
      <c r="Y495">
        <v>0</v>
      </c>
      <c r="Z495">
        <f t="shared" si="42"/>
        <v>55</v>
      </c>
      <c r="AA495">
        <f t="shared" si="43"/>
        <v>0.79245283018867929</v>
      </c>
      <c r="AB495">
        <f t="shared" si="44"/>
        <v>32</v>
      </c>
      <c r="AC495" t="str">
        <f t="shared" si="45"/>
        <v>Low</v>
      </c>
      <c r="AD495" t="str">
        <f t="shared" si="46"/>
        <v>Upsell premium bundle</v>
      </c>
      <c r="AE495">
        <f t="shared" si="47"/>
        <v>45</v>
      </c>
    </row>
    <row r="496" spans="1:31" x14ac:dyDescent="0.35">
      <c r="A496" t="s">
        <v>554</v>
      </c>
      <c r="B496" s="4">
        <v>45213</v>
      </c>
      <c r="C496" s="4">
        <v>46143</v>
      </c>
      <c r="D496" t="s">
        <v>39</v>
      </c>
      <c r="E496">
        <v>24</v>
      </c>
      <c r="F496" t="s">
        <v>33</v>
      </c>
      <c r="G496" t="s">
        <v>34</v>
      </c>
      <c r="H496" t="s">
        <v>41</v>
      </c>
      <c r="I496" t="s">
        <v>36</v>
      </c>
      <c r="J496">
        <v>31</v>
      </c>
      <c r="K496" s="5">
        <v>317.83999999999997</v>
      </c>
      <c r="L496" s="5">
        <v>320.22000000000003</v>
      </c>
      <c r="M496">
        <v>11</v>
      </c>
      <c r="N496">
        <v>6</v>
      </c>
      <c r="O496">
        <v>2</v>
      </c>
      <c r="P496">
        <v>1</v>
      </c>
      <c r="Q496">
        <v>4</v>
      </c>
      <c r="R496">
        <v>2</v>
      </c>
      <c r="S496">
        <v>2</v>
      </c>
      <c r="T496">
        <v>1</v>
      </c>
      <c r="U496">
        <v>0</v>
      </c>
      <c r="V496">
        <v>1</v>
      </c>
      <c r="W496" t="s">
        <v>55</v>
      </c>
      <c r="X496">
        <v>-1</v>
      </c>
      <c r="Y496">
        <v>1</v>
      </c>
      <c r="Z496">
        <f t="shared" si="42"/>
        <v>31</v>
      </c>
      <c r="AA496">
        <f t="shared" si="43"/>
        <v>0.24590163934426229</v>
      </c>
      <c r="AB496">
        <f t="shared" si="44"/>
        <v>59</v>
      </c>
      <c r="AC496" t="str">
        <f t="shared" si="45"/>
        <v>Medium</v>
      </c>
      <c r="AD496" t="str">
        <f t="shared" si="46"/>
        <v>Nudge core feature adoption</v>
      </c>
      <c r="AE496">
        <f t="shared" si="47"/>
        <v>69</v>
      </c>
    </row>
    <row r="497" spans="1:31" x14ac:dyDescent="0.35">
      <c r="A497" t="s">
        <v>555</v>
      </c>
      <c r="B497" s="4">
        <v>45134</v>
      </c>
      <c r="C497" s="4">
        <v>46143</v>
      </c>
      <c r="D497" t="s">
        <v>60</v>
      </c>
      <c r="E497">
        <v>54</v>
      </c>
      <c r="F497" t="s">
        <v>43</v>
      </c>
      <c r="G497" t="s">
        <v>40</v>
      </c>
      <c r="H497" t="s">
        <v>41</v>
      </c>
      <c r="I497" t="s">
        <v>36</v>
      </c>
      <c r="J497">
        <v>33</v>
      </c>
      <c r="K497" s="5">
        <v>52.94</v>
      </c>
      <c r="L497" s="5">
        <v>21.51</v>
      </c>
      <c r="M497">
        <v>56</v>
      </c>
      <c r="N497">
        <v>19</v>
      </c>
      <c r="O497">
        <v>14</v>
      </c>
      <c r="P497">
        <v>7</v>
      </c>
      <c r="Q497">
        <v>27</v>
      </c>
      <c r="R497">
        <v>4</v>
      </c>
      <c r="S497">
        <v>2</v>
      </c>
      <c r="T497">
        <v>1</v>
      </c>
      <c r="U497">
        <v>0</v>
      </c>
      <c r="V497">
        <v>0</v>
      </c>
      <c r="W497" t="s">
        <v>55</v>
      </c>
      <c r="X497">
        <v>37</v>
      </c>
      <c r="Y497">
        <v>0</v>
      </c>
      <c r="Z497">
        <f t="shared" si="42"/>
        <v>100</v>
      </c>
      <c r="AA497">
        <f t="shared" si="43"/>
        <v>1.3174603174603174</v>
      </c>
      <c r="AB497">
        <f t="shared" si="44"/>
        <v>10</v>
      </c>
      <c r="AC497" t="str">
        <f t="shared" si="45"/>
        <v>Low</v>
      </c>
      <c r="AD497" t="str">
        <f t="shared" si="46"/>
        <v>Upsell premium bundle</v>
      </c>
      <c r="AE497">
        <f t="shared" si="47"/>
        <v>0</v>
      </c>
    </row>
    <row r="498" spans="1:31" x14ac:dyDescent="0.35">
      <c r="A498" t="s">
        <v>556</v>
      </c>
      <c r="B498" s="4">
        <v>45907</v>
      </c>
      <c r="C498" s="4">
        <v>46143</v>
      </c>
      <c r="D498" t="s">
        <v>32</v>
      </c>
      <c r="E498">
        <v>48</v>
      </c>
      <c r="F498" t="s">
        <v>61</v>
      </c>
      <c r="G498" t="s">
        <v>63</v>
      </c>
      <c r="H498" t="s">
        <v>58</v>
      </c>
      <c r="I498" t="s">
        <v>49</v>
      </c>
      <c r="J498">
        <v>7</v>
      </c>
      <c r="K498" s="5">
        <v>3711.35</v>
      </c>
      <c r="L498" s="5">
        <v>2611.1</v>
      </c>
      <c r="M498">
        <v>9</v>
      </c>
      <c r="N498">
        <v>2</v>
      </c>
      <c r="O498">
        <v>2</v>
      </c>
      <c r="P498">
        <v>0</v>
      </c>
      <c r="Q498">
        <v>14</v>
      </c>
      <c r="R498">
        <v>2</v>
      </c>
      <c r="S498">
        <v>1</v>
      </c>
      <c r="T498">
        <v>0</v>
      </c>
      <c r="U498">
        <v>0</v>
      </c>
      <c r="V498">
        <v>1</v>
      </c>
      <c r="W498" t="s">
        <v>45</v>
      </c>
      <c r="X498">
        <v>41</v>
      </c>
      <c r="Y498">
        <v>0</v>
      </c>
      <c r="Z498">
        <f t="shared" si="42"/>
        <v>33</v>
      </c>
      <c r="AA498">
        <f t="shared" si="43"/>
        <v>0.6216216216216216</v>
      </c>
      <c r="AB498">
        <f t="shared" si="44"/>
        <v>25</v>
      </c>
      <c r="AC498" t="str">
        <f t="shared" si="45"/>
        <v>Low</v>
      </c>
      <c r="AD498" t="str">
        <f t="shared" si="46"/>
        <v>Upsell premium bundle</v>
      </c>
      <c r="AE498">
        <f t="shared" si="47"/>
        <v>67</v>
      </c>
    </row>
    <row r="499" spans="1:31" x14ac:dyDescent="0.35">
      <c r="A499" t="s">
        <v>557</v>
      </c>
      <c r="B499" s="4">
        <v>45802</v>
      </c>
      <c r="C499" s="4">
        <v>46143</v>
      </c>
      <c r="D499" t="s">
        <v>66</v>
      </c>
      <c r="E499">
        <v>37</v>
      </c>
      <c r="F499" t="s">
        <v>33</v>
      </c>
      <c r="G499" t="s">
        <v>48</v>
      </c>
      <c r="H499" t="s">
        <v>41</v>
      </c>
      <c r="I499" t="s">
        <v>36</v>
      </c>
      <c r="J499">
        <v>11</v>
      </c>
      <c r="K499" s="5">
        <v>359.17</v>
      </c>
      <c r="L499" s="5">
        <v>83.87</v>
      </c>
      <c r="M499">
        <v>24</v>
      </c>
      <c r="N499">
        <v>7</v>
      </c>
      <c r="O499">
        <v>1</v>
      </c>
      <c r="P499">
        <v>4</v>
      </c>
      <c r="Q499">
        <v>10</v>
      </c>
      <c r="R499">
        <v>3</v>
      </c>
      <c r="S499">
        <v>0</v>
      </c>
      <c r="T499">
        <v>1</v>
      </c>
      <c r="U499">
        <v>0</v>
      </c>
      <c r="V499">
        <v>0</v>
      </c>
      <c r="W499" t="s">
        <v>52</v>
      </c>
      <c r="X499">
        <v>-55</v>
      </c>
      <c r="Y499">
        <v>1</v>
      </c>
      <c r="Z499">
        <f t="shared" si="42"/>
        <v>47</v>
      </c>
      <c r="AA499">
        <f t="shared" si="43"/>
        <v>0.82926829268292679</v>
      </c>
      <c r="AB499">
        <f t="shared" si="44"/>
        <v>62</v>
      </c>
      <c r="AC499" t="str">
        <f t="shared" si="45"/>
        <v>Medium</v>
      </c>
      <c r="AD499" t="str">
        <f t="shared" si="46"/>
        <v>Nudge core feature adoption</v>
      </c>
      <c r="AE499">
        <f t="shared" si="47"/>
        <v>53</v>
      </c>
    </row>
    <row r="500" spans="1:31" x14ac:dyDescent="0.35">
      <c r="A500" t="s">
        <v>558</v>
      </c>
      <c r="B500" s="4">
        <v>45987</v>
      </c>
      <c r="C500" s="4">
        <v>46143</v>
      </c>
      <c r="D500" t="s">
        <v>60</v>
      </c>
      <c r="E500">
        <v>38</v>
      </c>
      <c r="F500" t="s">
        <v>33</v>
      </c>
      <c r="G500" t="s">
        <v>67</v>
      </c>
      <c r="H500" t="s">
        <v>41</v>
      </c>
      <c r="I500" t="s">
        <v>36</v>
      </c>
      <c r="J500">
        <v>5</v>
      </c>
      <c r="K500" s="5">
        <v>325.10000000000002</v>
      </c>
      <c r="L500" s="5">
        <v>252.87</v>
      </c>
      <c r="M500">
        <v>0</v>
      </c>
      <c r="N500">
        <v>0</v>
      </c>
      <c r="O500">
        <v>0</v>
      </c>
      <c r="P500">
        <v>0</v>
      </c>
      <c r="Q500">
        <v>14</v>
      </c>
      <c r="R500">
        <v>2</v>
      </c>
      <c r="S500">
        <v>2</v>
      </c>
      <c r="T500">
        <v>1</v>
      </c>
      <c r="U500">
        <v>1</v>
      </c>
      <c r="V500">
        <v>0</v>
      </c>
      <c r="W500" t="s">
        <v>50</v>
      </c>
      <c r="X500">
        <v>-24</v>
      </c>
      <c r="Y500">
        <v>1</v>
      </c>
      <c r="Z500">
        <f t="shared" si="42"/>
        <v>21</v>
      </c>
      <c r="AA500">
        <f t="shared" si="43"/>
        <v>0.4</v>
      </c>
      <c r="AB500">
        <f t="shared" si="44"/>
        <v>75</v>
      </c>
      <c r="AC500" t="str">
        <f t="shared" si="45"/>
        <v>High</v>
      </c>
      <c r="AD500" t="str">
        <f t="shared" si="46"/>
        <v>Retention call</v>
      </c>
      <c r="AE500">
        <f t="shared" si="47"/>
        <v>79</v>
      </c>
    </row>
    <row r="501" spans="1:31" x14ac:dyDescent="0.35">
      <c r="A501" t="s">
        <v>559</v>
      </c>
      <c r="B501" s="4">
        <v>45122</v>
      </c>
      <c r="C501" s="4">
        <v>46143</v>
      </c>
      <c r="D501" t="s">
        <v>39</v>
      </c>
      <c r="E501">
        <v>48</v>
      </c>
      <c r="F501" t="s">
        <v>61</v>
      </c>
      <c r="G501" t="s">
        <v>63</v>
      </c>
      <c r="H501" t="s">
        <v>41</v>
      </c>
      <c r="I501" t="s">
        <v>54</v>
      </c>
      <c r="J501">
        <v>34</v>
      </c>
      <c r="K501" s="5">
        <v>1606.69</v>
      </c>
      <c r="L501" s="5">
        <v>3931.98</v>
      </c>
      <c r="M501">
        <v>19</v>
      </c>
      <c r="N501">
        <v>11</v>
      </c>
      <c r="O501">
        <v>2</v>
      </c>
      <c r="P501">
        <v>3</v>
      </c>
      <c r="Q501">
        <v>19</v>
      </c>
      <c r="R501">
        <v>0</v>
      </c>
      <c r="S501">
        <v>0</v>
      </c>
      <c r="T501">
        <v>0</v>
      </c>
      <c r="U501">
        <v>1</v>
      </c>
      <c r="V501">
        <v>1</v>
      </c>
      <c r="W501" t="s">
        <v>37</v>
      </c>
      <c r="X501">
        <v>24</v>
      </c>
      <c r="Y501">
        <v>1</v>
      </c>
      <c r="Z501">
        <f t="shared" si="42"/>
        <v>67</v>
      </c>
      <c r="AA501">
        <f t="shared" si="43"/>
        <v>0.59375</v>
      </c>
      <c r="AB501">
        <f t="shared" si="44"/>
        <v>25</v>
      </c>
      <c r="AC501" t="str">
        <f t="shared" si="45"/>
        <v>Low</v>
      </c>
      <c r="AD501" t="str">
        <f t="shared" si="46"/>
        <v>Upsell premium bundle</v>
      </c>
      <c r="AE501">
        <f t="shared" si="47"/>
        <v>33</v>
      </c>
    </row>
    <row r="502" spans="1:31" x14ac:dyDescent="0.35">
      <c r="A502" t="s">
        <v>560</v>
      </c>
      <c r="B502" s="4">
        <v>45528</v>
      </c>
      <c r="C502" s="4">
        <v>46143</v>
      </c>
      <c r="D502" t="s">
        <v>32</v>
      </c>
      <c r="E502">
        <v>50</v>
      </c>
      <c r="F502" t="s">
        <v>61</v>
      </c>
      <c r="G502" t="s">
        <v>40</v>
      </c>
      <c r="H502" t="s">
        <v>41</v>
      </c>
      <c r="I502" t="s">
        <v>36</v>
      </c>
      <c r="J502">
        <v>20</v>
      </c>
      <c r="K502" s="5">
        <v>3559.28</v>
      </c>
      <c r="L502" s="5">
        <v>628.51</v>
      </c>
      <c r="M502">
        <v>18</v>
      </c>
      <c r="N502">
        <v>7</v>
      </c>
      <c r="O502">
        <v>4</v>
      </c>
      <c r="P502">
        <v>3</v>
      </c>
      <c r="Q502">
        <v>18</v>
      </c>
      <c r="R502">
        <v>0</v>
      </c>
      <c r="S502">
        <v>0</v>
      </c>
      <c r="T502">
        <v>0</v>
      </c>
      <c r="U502">
        <v>1</v>
      </c>
      <c r="V502">
        <v>1</v>
      </c>
      <c r="W502" t="s">
        <v>50</v>
      </c>
      <c r="X502">
        <v>58</v>
      </c>
      <c r="Y502">
        <v>0</v>
      </c>
      <c r="Z502">
        <f t="shared" si="42"/>
        <v>65</v>
      </c>
      <c r="AA502">
        <f t="shared" si="43"/>
        <v>0.72</v>
      </c>
      <c r="AB502">
        <f t="shared" si="44"/>
        <v>3</v>
      </c>
      <c r="AC502" t="str">
        <f t="shared" si="45"/>
        <v>Low</v>
      </c>
      <c r="AD502" t="str">
        <f t="shared" si="46"/>
        <v>Upsell premium bundle</v>
      </c>
      <c r="AE502">
        <f t="shared" si="47"/>
        <v>35</v>
      </c>
    </row>
    <row r="503" spans="1:31" x14ac:dyDescent="0.35">
      <c r="A503" t="s">
        <v>561</v>
      </c>
      <c r="B503" s="4">
        <v>44973</v>
      </c>
      <c r="C503" s="4">
        <v>46143</v>
      </c>
      <c r="D503" t="s">
        <v>39</v>
      </c>
      <c r="E503">
        <v>49</v>
      </c>
      <c r="F503" t="s">
        <v>57</v>
      </c>
      <c r="G503" t="s">
        <v>67</v>
      </c>
      <c r="H503" t="s">
        <v>58</v>
      </c>
      <c r="I503" t="s">
        <v>36</v>
      </c>
      <c r="J503">
        <v>39</v>
      </c>
      <c r="K503" s="5">
        <v>1082.8399999999999</v>
      </c>
      <c r="L503" s="5">
        <v>534.41</v>
      </c>
      <c r="M503">
        <v>37</v>
      </c>
      <c r="N503">
        <v>11</v>
      </c>
      <c r="O503">
        <v>3</v>
      </c>
      <c r="P503">
        <v>4</v>
      </c>
      <c r="Q503">
        <v>29</v>
      </c>
      <c r="R503">
        <v>0</v>
      </c>
      <c r="S503">
        <v>0</v>
      </c>
      <c r="T503">
        <v>1</v>
      </c>
      <c r="U503">
        <v>0</v>
      </c>
      <c r="V503">
        <v>0</v>
      </c>
      <c r="W503" t="s">
        <v>50</v>
      </c>
      <c r="X503">
        <v>83</v>
      </c>
      <c r="Y503">
        <v>0</v>
      </c>
      <c r="Z503">
        <f t="shared" si="42"/>
        <v>84</v>
      </c>
      <c r="AA503">
        <f t="shared" si="43"/>
        <v>0.95652173913043481</v>
      </c>
      <c r="AB503">
        <f t="shared" si="44"/>
        <v>0</v>
      </c>
      <c r="AC503" t="str">
        <f t="shared" si="45"/>
        <v>Low</v>
      </c>
      <c r="AD503" t="str">
        <f t="shared" si="46"/>
        <v>Upsell premium bundle</v>
      </c>
      <c r="AE503">
        <f t="shared" si="47"/>
        <v>16</v>
      </c>
    </row>
    <row r="504" spans="1:31" x14ac:dyDescent="0.35">
      <c r="A504" t="s">
        <v>562</v>
      </c>
      <c r="B504" s="4">
        <v>45915</v>
      </c>
      <c r="C504" s="4">
        <v>46143</v>
      </c>
      <c r="D504" t="s">
        <v>72</v>
      </c>
      <c r="E504">
        <v>58</v>
      </c>
      <c r="F504" t="s">
        <v>33</v>
      </c>
      <c r="G504" t="s">
        <v>40</v>
      </c>
      <c r="H504" t="s">
        <v>41</v>
      </c>
      <c r="I504" t="s">
        <v>36</v>
      </c>
      <c r="J504">
        <v>7</v>
      </c>
      <c r="K504" s="5">
        <v>74.150000000000006</v>
      </c>
      <c r="L504" s="5">
        <v>174.01</v>
      </c>
      <c r="M504">
        <v>24</v>
      </c>
      <c r="N504">
        <v>15</v>
      </c>
      <c r="O504">
        <v>5</v>
      </c>
      <c r="P504">
        <v>5</v>
      </c>
      <c r="Q504">
        <v>19</v>
      </c>
      <c r="R504">
        <v>4</v>
      </c>
      <c r="S504">
        <v>0</v>
      </c>
      <c r="T504">
        <v>1</v>
      </c>
      <c r="U504">
        <v>1</v>
      </c>
      <c r="V504">
        <v>0</v>
      </c>
      <c r="W504" t="s">
        <v>50</v>
      </c>
      <c r="X504">
        <v>0</v>
      </c>
      <c r="Y504">
        <v>0</v>
      </c>
      <c r="Z504">
        <f t="shared" si="42"/>
        <v>75</v>
      </c>
      <c r="AA504">
        <f t="shared" si="43"/>
        <v>1.1621621621621621</v>
      </c>
      <c r="AB504">
        <f t="shared" si="44"/>
        <v>22</v>
      </c>
      <c r="AC504" t="str">
        <f t="shared" si="45"/>
        <v>Low</v>
      </c>
      <c r="AD504" t="str">
        <f t="shared" si="46"/>
        <v>Upsell premium bundle</v>
      </c>
      <c r="AE504">
        <f t="shared" si="47"/>
        <v>25</v>
      </c>
    </row>
    <row r="505" spans="1:31" x14ac:dyDescent="0.35">
      <c r="A505" t="s">
        <v>563</v>
      </c>
      <c r="B505" s="4">
        <v>44810</v>
      </c>
      <c r="C505" s="4">
        <v>46143</v>
      </c>
      <c r="D505" t="s">
        <v>72</v>
      </c>
      <c r="E505">
        <v>21</v>
      </c>
      <c r="F505" t="s">
        <v>43</v>
      </c>
      <c r="G505" t="s">
        <v>63</v>
      </c>
      <c r="H505" t="s">
        <v>44</v>
      </c>
      <c r="I505" t="s">
        <v>36</v>
      </c>
      <c r="J505">
        <v>44</v>
      </c>
      <c r="K505" s="5">
        <v>118.45</v>
      </c>
      <c r="L505" s="5">
        <v>90.24</v>
      </c>
      <c r="M505">
        <v>31</v>
      </c>
      <c r="N505">
        <v>18</v>
      </c>
      <c r="O505">
        <v>4</v>
      </c>
      <c r="P505">
        <v>0</v>
      </c>
      <c r="Q505">
        <v>29</v>
      </c>
      <c r="R505">
        <v>0</v>
      </c>
      <c r="S505">
        <v>0</v>
      </c>
      <c r="T505">
        <v>0</v>
      </c>
      <c r="U505">
        <v>1</v>
      </c>
      <c r="V505">
        <v>0</v>
      </c>
      <c r="W505" t="s">
        <v>37</v>
      </c>
      <c r="X505">
        <v>100</v>
      </c>
      <c r="Y505">
        <v>0</v>
      </c>
      <c r="Z505">
        <f t="shared" si="42"/>
        <v>86</v>
      </c>
      <c r="AA505">
        <f t="shared" si="43"/>
        <v>0.81081081081081086</v>
      </c>
      <c r="AB505">
        <f t="shared" si="44"/>
        <v>0</v>
      </c>
      <c r="AC505" t="str">
        <f t="shared" si="45"/>
        <v>Low</v>
      </c>
      <c r="AD505" t="str">
        <f t="shared" si="46"/>
        <v>Upsell premium bundle</v>
      </c>
      <c r="AE505">
        <f t="shared" si="47"/>
        <v>14</v>
      </c>
    </row>
    <row r="506" spans="1:31" x14ac:dyDescent="0.35">
      <c r="A506" t="s">
        <v>564</v>
      </c>
      <c r="B506" s="4">
        <v>44775</v>
      </c>
      <c r="C506" s="4">
        <v>46143</v>
      </c>
      <c r="D506" t="s">
        <v>66</v>
      </c>
      <c r="E506">
        <v>68</v>
      </c>
      <c r="F506" t="s">
        <v>43</v>
      </c>
      <c r="G506" t="s">
        <v>63</v>
      </c>
      <c r="H506" t="s">
        <v>58</v>
      </c>
      <c r="I506" t="s">
        <v>36</v>
      </c>
      <c r="J506">
        <v>45</v>
      </c>
      <c r="K506" s="5">
        <v>72.16</v>
      </c>
      <c r="L506" s="5">
        <v>113.57</v>
      </c>
      <c r="M506">
        <v>17</v>
      </c>
      <c r="N506">
        <v>8</v>
      </c>
      <c r="O506">
        <v>2</v>
      </c>
      <c r="P506">
        <v>0</v>
      </c>
      <c r="Q506">
        <v>19</v>
      </c>
      <c r="R506">
        <v>2</v>
      </c>
      <c r="S506">
        <v>0</v>
      </c>
      <c r="T506">
        <v>0</v>
      </c>
      <c r="U506">
        <v>0</v>
      </c>
      <c r="V506">
        <v>0</v>
      </c>
      <c r="W506" t="s">
        <v>50</v>
      </c>
      <c r="X506">
        <v>-10</v>
      </c>
      <c r="Y506">
        <v>0</v>
      </c>
      <c r="Z506">
        <f t="shared" si="42"/>
        <v>44</v>
      </c>
      <c r="AA506">
        <f t="shared" si="43"/>
        <v>0.48</v>
      </c>
      <c r="AB506">
        <f t="shared" si="44"/>
        <v>32</v>
      </c>
      <c r="AC506" t="str">
        <f t="shared" si="45"/>
        <v>Low</v>
      </c>
      <c r="AD506" t="str">
        <f t="shared" si="46"/>
        <v>Upsell premium bundle</v>
      </c>
      <c r="AE506">
        <f t="shared" si="47"/>
        <v>56</v>
      </c>
    </row>
    <row r="507" spans="1:31" x14ac:dyDescent="0.35">
      <c r="A507" t="s">
        <v>565</v>
      </c>
      <c r="B507" s="4">
        <v>44872</v>
      </c>
      <c r="C507" s="4">
        <v>46143</v>
      </c>
      <c r="D507" t="s">
        <v>60</v>
      </c>
      <c r="E507">
        <v>29</v>
      </c>
      <c r="F507" t="s">
        <v>33</v>
      </c>
      <c r="G507" t="s">
        <v>85</v>
      </c>
      <c r="H507" t="s">
        <v>58</v>
      </c>
      <c r="I507" t="s">
        <v>49</v>
      </c>
      <c r="J507">
        <v>42</v>
      </c>
      <c r="K507" s="5">
        <v>36.979999999999997</v>
      </c>
      <c r="L507" s="5">
        <v>19.18</v>
      </c>
      <c r="M507">
        <v>14</v>
      </c>
      <c r="N507">
        <v>5</v>
      </c>
      <c r="O507">
        <v>1</v>
      </c>
      <c r="P507">
        <v>0</v>
      </c>
      <c r="Q507">
        <v>22</v>
      </c>
      <c r="R507">
        <v>0</v>
      </c>
      <c r="S507">
        <v>1</v>
      </c>
      <c r="T507">
        <v>1</v>
      </c>
      <c r="U507">
        <v>1</v>
      </c>
      <c r="V507">
        <v>0</v>
      </c>
      <c r="W507" t="s">
        <v>50</v>
      </c>
      <c r="X507">
        <v>-2</v>
      </c>
      <c r="Y507">
        <v>0</v>
      </c>
      <c r="Z507">
        <f t="shared" si="42"/>
        <v>48</v>
      </c>
      <c r="AA507">
        <f t="shared" si="43"/>
        <v>0.5</v>
      </c>
      <c r="AB507">
        <f t="shared" si="44"/>
        <v>54</v>
      </c>
      <c r="AC507" t="str">
        <f t="shared" si="45"/>
        <v>Medium</v>
      </c>
      <c r="AD507" t="str">
        <f t="shared" si="46"/>
        <v>Nudge core feature adoption</v>
      </c>
      <c r="AE507">
        <f t="shared" si="47"/>
        <v>52</v>
      </c>
    </row>
    <row r="508" spans="1:31" x14ac:dyDescent="0.35">
      <c r="A508" t="s">
        <v>566</v>
      </c>
      <c r="B508" s="4">
        <v>45716</v>
      </c>
      <c r="C508" s="4">
        <v>46143</v>
      </c>
      <c r="D508" t="s">
        <v>60</v>
      </c>
      <c r="E508">
        <v>19</v>
      </c>
      <c r="F508" t="s">
        <v>57</v>
      </c>
      <c r="G508" t="s">
        <v>48</v>
      </c>
      <c r="H508" t="s">
        <v>41</v>
      </c>
      <c r="I508" t="s">
        <v>36</v>
      </c>
      <c r="J508">
        <v>14</v>
      </c>
      <c r="K508" s="5">
        <v>988.81</v>
      </c>
      <c r="L508" s="5">
        <v>0</v>
      </c>
      <c r="M508">
        <v>0</v>
      </c>
      <c r="N508">
        <v>0</v>
      </c>
      <c r="O508">
        <v>0</v>
      </c>
      <c r="P508">
        <v>0</v>
      </c>
      <c r="Q508">
        <v>4</v>
      </c>
      <c r="R508">
        <v>2</v>
      </c>
      <c r="S508">
        <v>1</v>
      </c>
      <c r="T508">
        <v>1</v>
      </c>
      <c r="U508">
        <v>1</v>
      </c>
      <c r="V508">
        <v>1</v>
      </c>
      <c r="W508" t="s">
        <v>52</v>
      </c>
      <c r="X508">
        <v>11</v>
      </c>
      <c r="Y508">
        <v>1</v>
      </c>
      <c r="Z508">
        <f t="shared" si="42"/>
        <v>19</v>
      </c>
      <c r="AA508">
        <f t="shared" si="43"/>
        <v>9.0909090909090912E-2</v>
      </c>
      <c r="AB508">
        <f t="shared" si="44"/>
        <v>50</v>
      </c>
      <c r="AC508" t="str">
        <f t="shared" si="45"/>
        <v>Medium</v>
      </c>
      <c r="AD508" t="str">
        <f t="shared" si="46"/>
        <v>Nudge core feature adoption</v>
      </c>
      <c r="AE508">
        <f t="shared" si="47"/>
        <v>81</v>
      </c>
    </row>
    <row r="509" spans="1:31" x14ac:dyDescent="0.35">
      <c r="A509" t="s">
        <v>567</v>
      </c>
      <c r="B509" s="4">
        <v>45677</v>
      </c>
      <c r="C509" s="4">
        <v>46143</v>
      </c>
      <c r="D509" t="s">
        <v>47</v>
      </c>
      <c r="E509">
        <v>34</v>
      </c>
      <c r="F509" t="s">
        <v>57</v>
      </c>
      <c r="G509" t="s">
        <v>63</v>
      </c>
      <c r="H509" t="s">
        <v>44</v>
      </c>
      <c r="I509" t="s">
        <v>36</v>
      </c>
      <c r="J509">
        <v>15</v>
      </c>
      <c r="K509" s="5">
        <v>696.14</v>
      </c>
      <c r="L509" s="5">
        <v>489.14</v>
      </c>
      <c r="M509">
        <v>39</v>
      </c>
      <c r="N509">
        <v>22</v>
      </c>
      <c r="O509">
        <v>9</v>
      </c>
      <c r="P509">
        <v>7</v>
      </c>
      <c r="Q509">
        <v>28</v>
      </c>
      <c r="R509">
        <v>1</v>
      </c>
      <c r="S509">
        <v>0</v>
      </c>
      <c r="T509">
        <v>1</v>
      </c>
      <c r="U509">
        <v>1</v>
      </c>
      <c r="V509">
        <v>0</v>
      </c>
      <c r="W509" t="s">
        <v>52</v>
      </c>
      <c r="X509">
        <v>-4</v>
      </c>
      <c r="Y509">
        <v>0</v>
      </c>
      <c r="Z509">
        <f t="shared" si="42"/>
        <v>100</v>
      </c>
      <c r="AA509">
        <f t="shared" si="43"/>
        <v>1.4888888888888889</v>
      </c>
      <c r="AB509">
        <f t="shared" si="44"/>
        <v>9</v>
      </c>
      <c r="AC509" t="str">
        <f t="shared" si="45"/>
        <v>Low</v>
      </c>
      <c r="AD509" t="str">
        <f t="shared" si="46"/>
        <v>Upsell premium bundle</v>
      </c>
      <c r="AE509">
        <f t="shared" si="47"/>
        <v>0</v>
      </c>
    </row>
    <row r="510" spans="1:31" x14ac:dyDescent="0.35">
      <c r="A510" t="s">
        <v>568</v>
      </c>
      <c r="B510" s="4">
        <v>45687</v>
      </c>
      <c r="C510" s="4">
        <v>46143</v>
      </c>
      <c r="D510" t="s">
        <v>39</v>
      </c>
      <c r="E510">
        <v>23</v>
      </c>
      <c r="F510" t="s">
        <v>33</v>
      </c>
      <c r="G510" t="s">
        <v>63</v>
      </c>
      <c r="H510" t="s">
        <v>58</v>
      </c>
      <c r="I510" t="s">
        <v>36</v>
      </c>
      <c r="J510">
        <v>15</v>
      </c>
      <c r="K510" s="5">
        <v>372.43</v>
      </c>
      <c r="L510" s="5">
        <v>0</v>
      </c>
      <c r="M510">
        <v>18</v>
      </c>
      <c r="N510">
        <v>4</v>
      </c>
      <c r="O510">
        <v>5</v>
      </c>
      <c r="P510">
        <v>1</v>
      </c>
      <c r="Q510">
        <v>16</v>
      </c>
      <c r="R510">
        <v>2</v>
      </c>
      <c r="S510">
        <v>1</v>
      </c>
      <c r="T510">
        <v>1</v>
      </c>
      <c r="U510">
        <v>0</v>
      </c>
      <c r="V510">
        <v>0</v>
      </c>
      <c r="W510" t="s">
        <v>55</v>
      </c>
      <c r="X510">
        <v>39</v>
      </c>
      <c r="Y510">
        <v>0</v>
      </c>
      <c r="Z510">
        <f t="shared" si="42"/>
        <v>44</v>
      </c>
      <c r="AA510">
        <f t="shared" si="43"/>
        <v>0.75555555555555554</v>
      </c>
      <c r="AB510">
        <f t="shared" si="44"/>
        <v>16</v>
      </c>
      <c r="AC510" t="str">
        <f t="shared" si="45"/>
        <v>Low</v>
      </c>
      <c r="AD510" t="str">
        <f t="shared" si="46"/>
        <v>Upsell premium bundle</v>
      </c>
      <c r="AE510">
        <f t="shared" si="47"/>
        <v>56</v>
      </c>
    </row>
    <row r="511" spans="1:31" x14ac:dyDescent="0.35">
      <c r="A511" t="s">
        <v>569</v>
      </c>
      <c r="B511" s="4">
        <v>44902</v>
      </c>
      <c r="C511" s="4">
        <v>46143</v>
      </c>
      <c r="D511" t="s">
        <v>60</v>
      </c>
      <c r="E511">
        <v>72</v>
      </c>
      <c r="F511" t="s">
        <v>43</v>
      </c>
      <c r="G511" t="s">
        <v>48</v>
      </c>
      <c r="H511" t="s">
        <v>41</v>
      </c>
      <c r="I511" t="s">
        <v>36</v>
      </c>
      <c r="J511">
        <v>41</v>
      </c>
      <c r="K511" s="5">
        <v>111.72</v>
      </c>
      <c r="L511" s="5">
        <v>67.03</v>
      </c>
      <c r="M511">
        <v>18</v>
      </c>
      <c r="N511">
        <v>6</v>
      </c>
      <c r="O511">
        <v>3</v>
      </c>
      <c r="P511">
        <v>2</v>
      </c>
      <c r="Q511">
        <v>13</v>
      </c>
      <c r="R511">
        <v>2</v>
      </c>
      <c r="S511">
        <v>1</v>
      </c>
      <c r="T511">
        <v>0</v>
      </c>
      <c r="U511">
        <v>0</v>
      </c>
      <c r="V511">
        <v>0</v>
      </c>
      <c r="W511" t="s">
        <v>50</v>
      </c>
      <c r="X511">
        <v>3</v>
      </c>
      <c r="Y511">
        <v>1</v>
      </c>
      <c r="Z511">
        <f t="shared" si="42"/>
        <v>42</v>
      </c>
      <c r="AA511">
        <f t="shared" si="43"/>
        <v>0.43661971830985913</v>
      </c>
      <c r="AB511">
        <f t="shared" si="44"/>
        <v>45</v>
      </c>
      <c r="AC511" t="str">
        <f t="shared" si="45"/>
        <v>Medium</v>
      </c>
      <c r="AD511" t="str">
        <f t="shared" si="46"/>
        <v>Nudge core feature adoption</v>
      </c>
      <c r="AE511">
        <f t="shared" si="47"/>
        <v>58</v>
      </c>
    </row>
    <row r="512" spans="1:31" x14ac:dyDescent="0.35">
      <c r="A512" t="s">
        <v>570</v>
      </c>
      <c r="B512" s="4">
        <v>45257</v>
      </c>
      <c r="C512" s="4">
        <v>46143</v>
      </c>
      <c r="D512" t="s">
        <v>72</v>
      </c>
      <c r="E512">
        <v>62</v>
      </c>
      <c r="F512" t="s">
        <v>57</v>
      </c>
      <c r="G512" t="s">
        <v>63</v>
      </c>
      <c r="H512" t="s">
        <v>41</v>
      </c>
      <c r="I512" t="s">
        <v>36</v>
      </c>
      <c r="J512">
        <v>29</v>
      </c>
      <c r="K512" s="5">
        <v>2189.67</v>
      </c>
      <c r="L512" s="5">
        <v>602.66</v>
      </c>
      <c r="M512">
        <v>15</v>
      </c>
      <c r="N512">
        <v>10</v>
      </c>
      <c r="O512">
        <v>4</v>
      </c>
      <c r="P512">
        <v>1</v>
      </c>
      <c r="Q512">
        <v>12</v>
      </c>
      <c r="R512">
        <v>2</v>
      </c>
      <c r="S512">
        <v>0</v>
      </c>
      <c r="T512">
        <v>0</v>
      </c>
      <c r="U512">
        <v>1</v>
      </c>
      <c r="V512">
        <v>0</v>
      </c>
      <c r="W512" t="s">
        <v>50</v>
      </c>
      <c r="X512">
        <v>-27</v>
      </c>
      <c r="Y512">
        <v>1</v>
      </c>
      <c r="Z512">
        <f t="shared" si="42"/>
        <v>49</v>
      </c>
      <c r="AA512">
        <f t="shared" si="43"/>
        <v>0.4576271186440678</v>
      </c>
      <c r="AB512">
        <f t="shared" si="44"/>
        <v>49</v>
      </c>
      <c r="AC512" t="str">
        <f t="shared" si="45"/>
        <v>Medium</v>
      </c>
      <c r="AD512" t="str">
        <f t="shared" si="46"/>
        <v>Nudge core feature adoption</v>
      </c>
      <c r="AE512">
        <f t="shared" si="47"/>
        <v>51</v>
      </c>
    </row>
    <row r="513" spans="1:31" x14ac:dyDescent="0.35">
      <c r="A513" t="s">
        <v>571</v>
      </c>
      <c r="B513" s="4">
        <v>44907</v>
      </c>
      <c r="C513" s="4">
        <v>46143</v>
      </c>
      <c r="D513" t="s">
        <v>47</v>
      </c>
      <c r="E513">
        <v>69</v>
      </c>
      <c r="F513" t="s">
        <v>33</v>
      </c>
      <c r="G513" t="s">
        <v>85</v>
      </c>
      <c r="H513" t="s">
        <v>41</v>
      </c>
      <c r="I513" t="s">
        <v>36</v>
      </c>
      <c r="J513">
        <v>41</v>
      </c>
      <c r="K513" s="5">
        <v>211.14</v>
      </c>
      <c r="L513" s="5">
        <v>19.05</v>
      </c>
      <c r="M513">
        <v>31</v>
      </c>
      <c r="N513">
        <v>22</v>
      </c>
      <c r="O513">
        <v>6</v>
      </c>
      <c r="P513">
        <v>6</v>
      </c>
      <c r="Q513">
        <v>8</v>
      </c>
      <c r="R513">
        <v>0</v>
      </c>
      <c r="S513">
        <v>1</v>
      </c>
      <c r="T513">
        <v>0</v>
      </c>
      <c r="U513">
        <v>1</v>
      </c>
      <c r="V513">
        <v>1</v>
      </c>
      <c r="W513" t="s">
        <v>37</v>
      </c>
      <c r="X513">
        <v>55</v>
      </c>
      <c r="Y513">
        <v>1</v>
      </c>
      <c r="Z513">
        <f t="shared" si="42"/>
        <v>87</v>
      </c>
      <c r="AA513">
        <f t="shared" si="43"/>
        <v>0.54929577464788737</v>
      </c>
      <c r="AB513">
        <f t="shared" si="44"/>
        <v>4</v>
      </c>
      <c r="AC513" t="str">
        <f t="shared" si="45"/>
        <v>Low</v>
      </c>
      <c r="AD513" t="str">
        <f t="shared" si="46"/>
        <v>Upsell premium bundle</v>
      </c>
      <c r="AE513">
        <f t="shared" si="47"/>
        <v>13</v>
      </c>
    </row>
    <row r="514" spans="1:31" x14ac:dyDescent="0.35">
      <c r="A514" t="s">
        <v>572</v>
      </c>
      <c r="B514" s="4">
        <v>45392</v>
      </c>
      <c r="C514" s="4">
        <v>46143</v>
      </c>
      <c r="D514" t="s">
        <v>32</v>
      </c>
      <c r="E514">
        <v>43</v>
      </c>
      <c r="F514" t="s">
        <v>57</v>
      </c>
      <c r="G514" t="s">
        <v>63</v>
      </c>
      <c r="H514" t="s">
        <v>41</v>
      </c>
      <c r="I514" t="s">
        <v>36</v>
      </c>
      <c r="J514">
        <v>25</v>
      </c>
      <c r="K514" s="5">
        <v>1856.62</v>
      </c>
      <c r="L514" s="5">
        <v>1342.85</v>
      </c>
      <c r="M514">
        <v>35</v>
      </c>
      <c r="N514">
        <v>24</v>
      </c>
      <c r="O514">
        <v>6</v>
      </c>
      <c r="P514">
        <v>6</v>
      </c>
      <c r="Q514">
        <v>25</v>
      </c>
      <c r="R514">
        <v>0</v>
      </c>
      <c r="S514">
        <v>0</v>
      </c>
      <c r="T514">
        <v>1</v>
      </c>
      <c r="U514">
        <v>0</v>
      </c>
      <c r="V514">
        <v>1</v>
      </c>
      <c r="W514" t="s">
        <v>50</v>
      </c>
      <c r="X514">
        <v>55</v>
      </c>
      <c r="Y514">
        <v>0</v>
      </c>
      <c r="Z514">
        <f t="shared" ref="Z514:Z577" si="48">MIN(100,ROUND((M514*1.1+N514*0.7+O514*1.2+P514*1.4+Q514*0.9+U514*8+V514*7),0))</f>
        <v>100</v>
      </c>
      <c r="AA514">
        <f t="shared" ref="AA514:AA577" si="49">IFERROR((M514+Q514)/(30+J514),0)</f>
        <v>1.0909090909090908</v>
      </c>
      <c r="AB514">
        <f t="shared" ref="AB514:AB577" si="50">ROUND(MIN(100,MAX(0,60-Z514*0.4-R514*1.5+S514*8-IF(L514&gt;1500,10,0)-X514*0.5+IF(I514="Completed",-8,8)+IF(H514="Free",6,-4))),0)</f>
        <v>0</v>
      </c>
      <c r="AC514" t="str">
        <f t="shared" ref="AC514:AC577" si="51">IF(AB514&gt;=70,"High",IF(AB514&gt;=40,"Medium","Low"))</f>
        <v>Low</v>
      </c>
      <c r="AD514" t="str">
        <f t="shared" ref="AD514:AD577" si="52">IF(AC514="High",IF(Q514&lt;5,"Re-engage with app usage offer",IF(K514&lt;100,"Deposit incentive","Retention call")),IF(AC514="Medium","Nudge core feature adoption","Upsell premium bundle"))</f>
        <v>Upsell premium bundle</v>
      </c>
      <c r="AE514">
        <f t="shared" ref="AE514:AE577" si="53">100-Z514</f>
        <v>0</v>
      </c>
    </row>
    <row r="515" spans="1:31" x14ac:dyDescent="0.35">
      <c r="A515" t="s">
        <v>573</v>
      </c>
      <c r="B515" s="4">
        <v>45036</v>
      </c>
      <c r="C515" s="4">
        <v>46143</v>
      </c>
      <c r="D515" t="s">
        <v>66</v>
      </c>
      <c r="E515">
        <v>46</v>
      </c>
      <c r="F515" t="s">
        <v>61</v>
      </c>
      <c r="G515" t="s">
        <v>67</v>
      </c>
      <c r="H515" t="s">
        <v>35</v>
      </c>
      <c r="I515" t="s">
        <v>36</v>
      </c>
      <c r="J515">
        <v>36</v>
      </c>
      <c r="K515" s="5">
        <v>5901.38</v>
      </c>
      <c r="L515" s="5">
        <v>595.69000000000005</v>
      </c>
      <c r="M515">
        <v>22</v>
      </c>
      <c r="N515">
        <v>8</v>
      </c>
      <c r="O515">
        <v>3</v>
      </c>
      <c r="P515">
        <v>4</v>
      </c>
      <c r="Q515">
        <v>22</v>
      </c>
      <c r="R515">
        <v>2</v>
      </c>
      <c r="S515">
        <v>0</v>
      </c>
      <c r="T515">
        <v>1</v>
      </c>
      <c r="U515">
        <v>1</v>
      </c>
      <c r="V515">
        <v>1</v>
      </c>
      <c r="W515" t="s">
        <v>50</v>
      </c>
      <c r="X515">
        <v>1</v>
      </c>
      <c r="Y515">
        <v>0</v>
      </c>
      <c r="Z515">
        <f t="shared" si="48"/>
        <v>74</v>
      </c>
      <c r="AA515">
        <f t="shared" si="49"/>
        <v>0.66666666666666663</v>
      </c>
      <c r="AB515">
        <f t="shared" si="50"/>
        <v>15</v>
      </c>
      <c r="AC515" t="str">
        <f t="shared" si="51"/>
        <v>Low</v>
      </c>
      <c r="AD515" t="str">
        <f t="shared" si="52"/>
        <v>Upsell premium bundle</v>
      </c>
      <c r="AE515">
        <f t="shared" si="53"/>
        <v>26</v>
      </c>
    </row>
    <row r="516" spans="1:31" x14ac:dyDescent="0.35">
      <c r="A516" t="s">
        <v>574</v>
      </c>
      <c r="B516" s="4">
        <v>45715</v>
      </c>
      <c r="C516" s="4">
        <v>46143</v>
      </c>
      <c r="D516" t="s">
        <v>60</v>
      </c>
      <c r="E516">
        <v>30</v>
      </c>
      <c r="F516" t="s">
        <v>57</v>
      </c>
      <c r="G516" t="s">
        <v>67</v>
      </c>
      <c r="H516" t="s">
        <v>41</v>
      </c>
      <c r="I516" t="s">
        <v>36</v>
      </c>
      <c r="J516">
        <v>14</v>
      </c>
      <c r="K516" s="5">
        <v>548.87</v>
      </c>
      <c r="L516" s="5">
        <v>951.55</v>
      </c>
      <c r="M516">
        <v>5</v>
      </c>
      <c r="N516">
        <v>1</v>
      </c>
      <c r="O516">
        <v>0</v>
      </c>
      <c r="P516">
        <v>0</v>
      </c>
      <c r="Q516">
        <v>4</v>
      </c>
      <c r="R516">
        <v>2</v>
      </c>
      <c r="S516">
        <v>0</v>
      </c>
      <c r="T516">
        <v>0</v>
      </c>
      <c r="U516">
        <v>1</v>
      </c>
      <c r="V516">
        <v>1</v>
      </c>
      <c r="W516" t="s">
        <v>45</v>
      </c>
      <c r="X516">
        <v>3</v>
      </c>
      <c r="Y516">
        <v>1</v>
      </c>
      <c r="Z516">
        <f t="shared" si="48"/>
        <v>25</v>
      </c>
      <c r="AA516">
        <f t="shared" si="49"/>
        <v>0.20454545454545456</v>
      </c>
      <c r="AB516">
        <f t="shared" si="50"/>
        <v>44</v>
      </c>
      <c r="AC516" t="str">
        <f t="shared" si="51"/>
        <v>Medium</v>
      </c>
      <c r="AD516" t="str">
        <f t="shared" si="52"/>
        <v>Nudge core feature adoption</v>
      </c>
      <c r="AE516">
        <f t="shared" si="53"/>
        <v>75</v>
      </c>
    </row>
    <row r="517" spans="1:31" x14ac:dyDescent="0.35">
      <c r="A517" t="s">
        <v>575</v>
      </c>
      <c r="B517" s="4">
        <v>45767</v>
      </c>
      <c r="C517" s="4">
        <v>46143</v>
      </c>
      <c r="D517" t="s">
        <v>72</v>
      </c>
      <c r="E517">
        <v>66</v>
      </c>
      <c r="F517" t="s">
        <v>57</v>
      </c>
      <c r="G517" t="s">
        <v>48</v>
      </c>
      <c r="H517" t="s">
        <v>41</v>
      </c>
      <c r="I517" t="s">
        <v>36</v>
      </c>
      <c r="J517">
        <v>12</v>
      </c>
      <c r="K517" s="5">
        <v>1436.4</v>
      </c>
      <c r="L517" s="5">
        <v>781.39</v>
      </c>
      <c r="M517">
        <v>24</v>
      </c>
      <c r="N517">
        <v>8</v>
      </c>
      <c r="O517">
        <v>3</v>
      </c>
      <c r="P517">
        <v>4</v>
      </c>
      <c r="Q517">
        <v>24</v>
      </c>
      <c r="R517">
        <v>0</v>
      </c>
      <c r="S517">
        <v>0</v>
      </c>
      <c r="T517">
        <v>1</v>
      </c>
      <c r="U517">
        <v>1</v>
      </c>
      <c r="V517">
        <v>0</v>
      </c>
      <c r="W517" t="s">
        <v>52</v>
      </c>
      <c r="X517">
        <v>51</v>
      </c>
      <c r="Y517">
        <v>0</v>
      </c>
      <c r="Z517">
        <f t="shared" si="48"/>
        <v>71</v>
      </c>
      <c r="AA517">
        <f t="shared" si="49"/>
        <v>1.1428571428571428</v>
      </c>
      <c r="AB517">
        <f t="shared" si="50"/>
        <v>4</v>
      </c>
      <c r="AC517" t="str">
        <f t="shared" si="51"/>
        <v>Low</v>
      </c>
      <c r="AD517" t="str">
        <f t="shared" si="52"/>
        <v>Upsell premium bundle</v>
      </c>
      <c r="AE517">
        <f t="shared" si="53"/>
        <v>29</v>
      </c>
    </row>
    <row r="518" spans="1:31" x14ac:dyDescent="0.35">
      <c r="A518" t="s">
        <v>576</v>
      </c>
      <c r="B518" s="4">
        <v>45358</v>
      </c>
      <c r="C518" s="4">
        <v>46143</v>
      </c>
      <c r="D518" t="s">
        <v>32</v>
      </c>
      <c r="E518">
        <v>69</v>
      </c>
      <c r="F518" t="s">
        <v>57</v>
      </c>
      <c r="G518" t="s">
        <v>63</v>
      </c>
      <c r="H518" t="s">
        <v>41</v>
      </c>
      <c r="I518" t="s">
        <v>36</v>
      </c>
      <c r="J518">
        <v>26</v>
      </c>
      <c r="K518" s="5">
        <v>1749.48</v>
      </c>
      <c r="L518" s="5">
        <v>660.45</v>
      </c>
      <c r="M518">
        <v>32</v>
      </c>
      <c r="N518">
        <v>8</v>
      </c>
      <c r="O518">
        <v>5</v>
      </c>
      <c r="P518">
        <v>3</v>
      </c>
      <c r="Q518">
        <v>21</v>
      </c>
      <c r="R518">
        <v>0</v>
      </c>
      <c r="S518">
        <v>0</v>
      </c>
      <c r="T518">
        <v>1</v>
      </c>
      <c r="U518">
        <v>1</v>
      </c>
      <c r="V518">
        <v>0</v>
      </c>
      <c r="W518" t="s">
        <v>50</v>
      </c>
      <c r="X518">
        <v>66</v>
      </c>
      <c r="Y518">
        <v>0</v>
      </c>
      <c r="Z518">
        <f t="shared" si="48"/>
        <v>78</v>
      </c>
      <c r="AA518">
        <f t="shared" si="49"/>
        <v>0.9464285714285714</v>
      </c>
      <c r="AB518">
        <f t="shared" si="50"/>
        <v>0</v>
      </c>
      <c r="AC518" t="str">
        <f t="shared" si="51"/>
        <v>Low</v>
      </c>
      <c r="AD518" t="str">
        <f t="shared" si="52"/>
        <v>Upsell premium bundle</v>
      </c>
      <c r="AE518">
        <f t="shared" si="53"/>
        <v>22</v>
      </c>
    </row>
    <row r="519" spans="1:31" x14ac:dyDescent="0.35">
      <c r="A519" t="s">
        <v>577</v>
      </c>
      <c r="B519" s="4">
        <v>44872</v>
      </c>
      <c r="C519" s="4">
        <v>46143</v>
      </c>
      <c r="D519" t="s">
        <v>39</v>
      </c>
      <c r="E519">
        <v>40</v>
      </c>
      <c r="F519" t="s">
        <v>33</v>
      </c>
      <c r="G519" t="s">
        <v>63</v>
      </c>
      <c r="H519" t="s">
        <v>41</v>
      </c>
      <c r="I519" t="s">
        <v>36</v>
      </c>
      <c r="J519">
        <v>42</v>
      </c>
      <c r="K519" s="5">
        <v>368.51</v>
      </c>
      <c r="L519" s="5">
        <v>47.86</v>
      </c>
      <c r="M519">
        <v>20</v>
      </c>
      <c r="N519">
        <v>13</v>
      </c>
      <c r="O519">
        <v>4</v>
      </c>
      <c r="P519">
        <v>0</v>
      </c>
      <c r="Q519">
        <v>9</v>
      </c>
      <c r="R519">
        <v>3</v>
      </c>
      <c r="S519">
        <v>2</v>
      </c>
      <c r="T519">
        <v>0</v>
      </c>
      <c r="U519">
        <v>0</v>
      </c>
      <c r="V519">
        <v>0</v>
      </c>
      <c r="W519" t="s">
        <v>45</v>
      </c>
      <c r="X519">
        <v>-11</v>
      </c>
      <c r="Y519">
        <v>1</v>
      </c>
      <c r="Z519">
        <f t="shared" si="48"/>
        <v>44</v>
      </c>
      <c r="AA519">
        <f t="shared" si="49"/>
        <v>0.40277777777777779</v>
      </c>
      <c r="AB519">
        <f t="shared" si="50"/>
        <v>57</v>
      </c>
      <c r="AC519" t="str">
        <f t="shared" si="51"/>
        <v>Medium</v>
      </c>
      <c r="AD519" t="str">
        <f t="shared" si="52"/>
        <v>Nudge core feature adoption</v>
      </c>
      <c r="AE519">
        <f t="shared" si="53"/>
        <v>56</v>
      </c>
    </row>
    <row r="520" spans="1:31" x14ac:dyDescent="0.35">
      <c r="A520" t="s">
        <v>578</v>
      </c>
      <c r="B520" s="4">
        <v>45217</v>
      </c>
      <c r="C520" s="4">
        <v>46143</v>
      </c>
      <c r="D520" t="s">
        <v>39</v>
      </c>
      <c r="E520">
        <v>52</v>
      </c>
      <c r="F520" t="s">
        <v>33</v>
      </c>
      <c r="G520" t="s">
        <v>34</v>
      </c>
      <c r="H520" t="s">
        <v>41</v>
      </c>
      <c r="I520" t="s">
        <v>36</v>
      </c>
      <c r="J520">
        <v>30</v>
      </c>
      <c r="K520" s="5">
        <v>446.31</v>
      </c>
      <c r="L520" s="5">
        <v>313.39999999999998</v>
      </c>
      <c r="M520">
        <v>36</v>
      </c>
      <c r="N520">
        <v>17</v>
      </c>
      <c r="O520">
        <v>8</v>
      </c>
      <c r="P520">
        <v>5</v>
      </c>
      <c r="Q520">
        <v>20</v>
      </c>
      <c r="R520">
        <v>0</v>
      </c>
      <c r="S520">
        <v>1</v>
      </c>
      <c r="T520">
        <v>1</v>
      </c>
      <c r="U520">
        <v>0</v>
      </c>
      <c r="V520">
        <v>0</v>
      </c>
      <c r="W520" t="s">
        <v>37</v>
      </c>
      <c r="X520">
        <v>23</v>
      </c>
      <c r="Y520">
        <v>0</v>
      </c>
      <c r="Z520">
        <f t="shared" si="48"/>
        <v>86</v>
      </c>
      <c r="AA520">
        <f t="shared" si="49"/>
        <v>0.93333333333333335</v>
      </c>
      <c r="AB520">
        <f t="shared" si="50"/>
        <v>20</v>
      </c>
      <c r="AC520" t="str">
        <f t="shared" si="51"/>
        <v>Low</v>
      </c>
      <c r="AD520" t="str">
        <f t="shared" si="52"/>
        <v>Upsell premium bundle</v>
      </c>
      <c r="AE520">
        <f t="shared" si="53"/>
        <v>14</v>
      </c>
    </row>
    <row r="521" spans="1:31" x14ac:dyDescent="0.35">
      <c r="A521" t="s">
        <v>579</v>
      </c>
      <c r="B521" s="4">
        <v>45201</v>
      </c>
      <c r="C521" s="4">
        <v>46143</v>
      </c>
      <c r="D521" t="s">
        <v>47</v>
      </c>
      <c r="E521">
        <v>53</v>
      </c>
      <c r="F521" t="s">
        <v>43</v>
      </c>
      <c r="G521" t="s">
        <v>48</v>
      </c>
      <c r="H521" t="s">
        <v>41</v>
      </c>
      <c r="I521" t="s">
        <v>54</v>
      </c>
      <c r="J521">
        <v>31</v>
      </c>
      <c r="K521" s="5">
        <v>113.44</v>
      </c>
      <c r="L521" s="5">
        <v>7.74</v>
      </c>
      <c r="M521">
        <v>22</v>
      </c>
      <c r="N521">
        <v>11</v>
      </c>
      <c r="O521">
        <v>2</v>
      </c>
      <c r="P521">
        <v>2</v>
      </c>
      <c r="Q521">
        <v>19</v>
      </c>
      <c r="R521">
        <v>0</v>
      </c>
      <c r="S521">
        <v>2</v>
      </c>
      <c r="T521">
        <v>0</v>
      </c>
      <c r="U521">
        <v>0</v>
      </c>
      <c r="V521">
        <v>1</v>
      </c>
      <c r="W521" t="s">
        <v>52</v>
      </c>
      <c r="X521">
        <v>29</v>
      </c>
      <c r="Y521">
        <v>0</v>
      </c>
      <c r="Z521">
        <f t="shared" si="48"/>
        <v>61</v>
      </c>
      <c r="AA521">
        <f t="shared" si="49"/>
        <v>0.67213114754098358</v>
      </c>
      <c r="AB521">
        <f t="shared" si="50"/>
        <v>51</v>
      </c>
      <c r="AC521" t="str">
        <f t="shared" si="51"/>
        <v>Medium</v>
      </c>
      <c r="AD521" t="str">
        <f t="shared" si="52"/>
        <v>Nudge core feature adoption</v>
      </c>
      <c r="AE521">
        <f t="shared" si="53"/>
        <v>39</v>
      </c>
    </row>
    <row r="522" spans="1:31" x14ac:dyDescent="0.35">
      <c r="A522" t="s">
        <v>580</v>
      </c>
      <c r="B522" s="4">
        <v>45401</v>
      </c>
      <c r="C522" s="4">
        <v>46143</v>
      </c>
      <c r="D522" t="s">
        <v>47</v>
      </c>
      <c r="E522">
        <v>51</v>
      </c>
      <c r="F522" t="s">
        <v>33</v>
      </c>
      <c r="G522" t="s">
        <v>48</v>
      </c>
      <c r="H522" t="s">
        <v>58</v>
      </c>
      <c r="I522" t="s">
        <v>36</v>
      </c>
      <c r="J522">
        <v>24</v>
      </c>
      <c r="K522" s="5">
        <v>335.93</v>
      </c>
      <c r="L522" s="5">
        <v>335.29</v>
      </c>
      <c r="M522">
        <v>40</v>
      </c>
      <c r="N522">
        <v>11</v>
      </c>
      <c r="O522">
        <v>5</v>
      </c>
      <c r="P522">
        <v>3</v>
      </c>
      <c r="Q522">
        <v>32</v>
      </c>
      <c r="R522">
        <v>1</v>
      </c>
      <c r="S522">
        <v>0</v>
      </c>
      <c r="T522">
        <v>1</v>
      </c>
      <c r="U522">
        <v>0</v>
      </c>
      <c r="V522">
        <v>1</v>
      </c>
      <c r="W522" t="s">
        <v>37</v>
      </c>
      <c r="X522">
        <v>90</v>
      </c>
      <c r="Y522">
        <v>0</v>
      </c>
      <c r="Z522">
        <f t="shared" si="48"/>
        <v>98</v>
      </c>
      <c r="AA522">
        <f t="shared" si="49"/>
        <v>1.3333333333333333</v>
      </c>
      <c r="AB522">
        <f t="shared" si="50"/>
        <v>0</v>
      </c>
      <c r="AC522" t="str">
        <f t="shared" si="51"/>
        <v>Low</v>
      </c>
      <c r="AD522" t="str">
        <f t="shared" si="52"/>
        <v>Upsell premium bundle</v>
      </c>
      <c r="AE522">
        <f t="shared" si="53"/>
        <v>2</v>
      </c>
    </row>
    <row r="523" spans="1:31" x14ac:dyDescent="0.35">
      <c r="A523" t="s">
        <v>581</v>
      </c>
      <c r="B523" s="4">
        <v>44697</v>
      </c>
      <c r="C523" s="4">
        <v>46143</v>
      </c>
      <c r="D523" t="s">
        <v>47</v>
      </c>
      <c r="E523">
        <v>27</v>
      </c>
      <c r="F523" t="s">
        <v>57</v>
      </c>
      <c r="G523" t="s">
        <v>67</v>
      </c>
      <c r="H523" t="s">
        <v>41</v>
      </c>
      <c r="I523" t="s">
        <v>36</v>
      </c>
      <c r="J523">
        <v>48</v>
      </c>
      <c r="K523" s="5">
        <v>1140.08</v>
      </c>
      <c r="L523" s="5">
        <v>1281.54</v>
      </c>
      <c r="M523">
        <v>13</v>
      </c>
      <c r="N523">
        <v>8</v>
      </c>
      <c r="O523">
        <v>0</v>
      </c>
      <c r="P523">
        <v>0</v>
      </c>
      <c r="Q523">
        <v>7</v>
      </c>
      <c r="R523">
        <v>1</v>
      </c>
      <c r="S523">
        <v>0</v>
      </c>
      <c r="T523">
        <v>0</v>
      </c>
      <c r="U523">
        <v>0</v>
      </c>
      <c r="V523">
        <v>1</v>
      </c>
      <c r="W523" t="s">
        <v>37</v>
      </c>
      <c r="X523">
        <v>12</v>
      </c>
      <c r="Y523">
        <v>1</v>
      </c>
      <c r="Z523">
        <f t="shared" si="48"/>
        <v>33</v>
      </c>
      <c r="AA523">
        <f t="shared" si="49"/>
        <v>0.25641025641025639</v>
      </c>
      <c r="AB523">
        <f t="shared" si="50"/>
        <v>37</v>
      </c>
      <c r="AC523" t="str">
        <f t="shared" si="51"/>
        <v>Low</v>
      </c>
      <c r="AD523" t="str">
        <f t="shared" si="52"/>
        <v>Upsell premium bundle</v>
      </c>
      <c r="AE523">
        <f t="shared" si="53"/>
        <v>67</v>
      </c>
    </row>
    <row r="524" spans="1:31" x14ac:dyDescent="0.35">
      <c r="A524" t="s">
        <v>582</v>
      </c>
      <c r="B524" s="4">
        <v>45270</v>
      </c>
      <c r="C524" s="4">
        <v>46143</v>
      </c>
      <c r="D524" t="s">
        <v>66</v>
      </c>
      <c r="E524">
        <v>59</v>
      </c>
      <c r="F524" t="s">
        <v>43</v>
      </c>
      <c r="G524" t="s">
        <v>63</v>
      </c>
      <c r="H524" t="s">
        <v>41</v>
      </c>
      <c r="I524" t="s">
        <v>36</v>
      </c>
      <c r="J524">
        <v>29</v>
      </c>
      <c r="K524" s="5">
        <v>97.37</v>
      </c>
      <c r="L524" s="5">
        <v>84.62</v>
      </c>
      <c r="M524">
        <v>0</v>
      </c>
      <c r="N524">
        <v>0</v>
      </c>
      <c r="O524">
        <v>0</v>
      </c>
      <c r="P524">
        <v>0</v>
      </c>
      <c r="Q524">
        <v>10</v>
      </c>
      <c r="R524">
        <v>0</v>
      </c>
      <c r="S524">
        <v>0</v>
      </c>
      <c r="T524">
        <v>0</v>
      </c>
      <c r="U524">
        <v>0</v>
      </c>
      <c r="V524">
        <v>1</v>
      </c>
      <c r="W524" t="s">
        <v>52</v>
      </c>
      <c r="X524">
        <v>20</v>
      </c>
      <c r="Y524">
        <v>0</v>
      </c>
      <c r="Z524">
        <f t="shared" si="48"/>
        <v>16</v>
      </c>
      <c r="AA524">
        <f t="shared" si="49"/>
        <v>0.16949152542372881</v>
      </c>
      <c r="AB524">
        <f t="shared" si="50"/>
        <v>42</v>
      </c>
      <c r="AC524" t="str">
        <f t="shared" si="51"/>
        <v>Medium</v>
      </c>
      <c r="AD524" t="str">
        <f t="shared" si="52"/>
        <v>Nudge core feature adoption</v>
      </c>
      <c r="AE524">
        <f t="shared" si="53"/>
        <v>84</v>
      </c>
    </row>
    <row r="525" spans="1:31" x14ac:dyDescent="0.35">
      <c r="A525" t="s">
        <v>583</v>
      </c>
      <c r="B525" s="4">
        <v>44694</v>
      </c>
      <c r="C525" s="4">
        <v>46143</v>
      </c>
      <c r="D525" t="s">
        <v>66</v>
      </c>
      <c r="E525">
        <v>69</v>
      </c>
      <c r="F525" t="s">
        <v>43</v>
      </c>
      <c r="G525" t="s">
        <v>85</v>
      </c>
      <c r="H525" t="s">
        <v>44</v>
      </c>
      <c r="I525" t="s">
        <v>36</v>
      </c>
      <c r="J525">
        <v>48</v>
      </c>
      <c r="K525" s="5">
        <v>69.739999999999995</v>
      </c>
      <c r="L525" s="5">
        <v>77.180000000000007</v>
      </c>
      <c r="M525">
        <v>54</v>
      </c>
      <c r="N525">
        <v>33</v>
      </c>
      <c r="O525">
        <v>11</v>
      </c>
      <c r="P525">
        <v>1</v>
      </c>
      <c r="Q525">
        <v>35</v>
      </c>
      <c r="R525">
        <v>1</v>
      </c>
      <c r="S525">
        <v>0</v>
      </c>
      <c r="T525">
        <v>0</v>
      </c>
      <c r="U525">
        <v>1</v>
      </c>
      <c r="V525">
        <v>1</v>
      </c>
      <c r="W525" t="s">
        <v>55</v>
      </c>
      <c r="X525">
        <v>67</v>
      </c>
      <c r="Y525">
        <v>0</v>
      </c>
      <c r="Z525">
        <f t="shared" si="48"/>
        <v>100</v>
      </c>
      <c r="AA525">
        <f t="shared" si="49"/>
        <v>1.141025641025641</v>
      </c>
      <c r="AB525">
        <f t="shared" si="50"/>
        <v>0</v>
      </c>
      <c r="AC525" t="str">
        <f t="shared" si="51"/>
        <v>Low</v>
      </c>
      <c r="AD525" t="str">
        <f t="shared" si="52"/>
        <v>Upsell premium bundle</v>
      </c>
      <c r="AE525">
        <f t="shared" si="53"/>
        <v>0</v>
      </c>
    </row>
    <row r="526" spans="1:31" x14ac:dyDescent="0.35">
      <c r="A526" t="s">
        <v>584</v>
      </c>
      <c r="B526" s="4">
        <v>45377</v>
      </c>
      <c r="C526" s="4">
        <v>46143</v>
      </c>
      <c r="D526" t="s">
        <v>66</v>
      </c>
      <c r="E526">
        <v>24</v>
      </c>
      <c r="F526" t="s">
        <v>57</v>
      </c>
      <c r="G526" t="s">
        <v>85</v>
      </c>
      <c r="H526" t="s">
        <v>41</v>
      </c>
      <c r="I526" t="s">
        <v>36</v>
      </c>
      <c r="J526">
        <v>25</v>
      </c>
      <c r="K526" s="5">
        <v>1314.48</v>
      </c>
      <c r="L526" s="5">
        <v>733.18</v>
      </c>
      <c r="M526">
        <v>18</v>
      </c>
      <c r="N526">
        <v>8</v>
      </c>
      <c r="O526">
        <v>2</v>
      </c>
      <c r="P526">
        <v>1</v>
      </c>
      <c r="Q526">
        <v>18</v>
      </c>
      <c r="R526">
        <v>0</v>
      </c>
      <c r="S526">
        <v>1</v>
      </c>
      <c r="T526">
        <v>1</v>
      </c>
      <c r="U526">
        <v>1</v>
      </c>
      <c r="V526">
        <v>0</v>
      </c>
      <c r="W526" t="s">
        <v>52</v>
      </c>
      <c r="X526">
        <v>61</v>
      </c>
      <c r="Y526">
        <v>0</v>
      </c>
      <c r="Z526">
        <f t="shared" si="48"/>
        <v>53</v>
      </c>
      <c r="AA526">
        <f t="shared" si="49"/>
        <v>0.65454545454545454</v>
      </c>
      <c r="AB526">
        <f t="shared" si="50"/>
        <v>14</v>
      </c>
      <c r="AC526" t="str">
        <f t="shared" si="51"/>
        <v>Low</v>
      </c>
      <c r="AD526" t="str">
        <f t="shared" si="52"/>
        <v>Upsell premium bundle</v>
      </c>
      <c r="AE526">
        <f t="shared" si="53"/>
        <v>47</v>
      </c>
    </row>
    <row r="527" spans="1:31" x14ac:dyDescent="0.35">
      <c r="A527" t="s">
        <v>585</v>
      </c>
      <c r="B527" s="4">
        <v>45614</v>
      </c>
      <c r="C527" s="4">
        <v>46143</v>
      </c>
      <c r="D527" t="s">
        <v>32</v>
      </c>
      <c r="E527">
        <v>38</v>
      </c>
      <c r="F527" t="s">
        <v>43</v>
      </c>
      <c r="G527" t="s">
        <v>85</v>
      </c>
      <c r="H527" t="s">
        <v>41</v>
      </c>
      <c r="I527" t="s">
        <v>36</v>
      </c>
      <c r="J527">
        <v>17</v>
      </c>
      <c r="K527" s="5">
        <v>180.1</v>
      </c>
      <c r="L527" s="5">
        <v>10.79</v>
      </c>
      <c r="M527">
        <v>18</v>
      </c>
      <c r="N527">
        <v>5</v>
      </c>
      <c r="O527">
        <v>3</v>
      </c>
      <c r="P527">
        <v>1</v>
      </c>
      <c r="Q527">
        <v>14</v>
      </c>
      <c r="R527">
        <v>0</v>
      </c>
      <c r="S527">
        <v>0</v>
      </c>
      <c r="T527">
        <v>1</v>
      </c>
      <c r="U527">
        <v>0</v>
      </c>
      <c r="V527">
        <v>0</v>
      </c>
      <c r="W527" t="s">
        <v>50</v>
      </c>
      <c r="X527">
        <v>50</v>
      </c>
      <c r="Y527">
        <v>0</v>
      </c>
      <c r="Z527">
        <f t="shared" si="48"/>
        <v>41</v>
      </c>
      <c r="AA527">
        <f t="shared" si="49"/>
        <v>0.68085106382978722</v>
      </c>
      <c r="AB527">
        <f t="shared" si="50"/>
        <v>17</v>
      </c>
      <c r="AC527" t="str">
        <f t="shared" si="51"/>
        <v>Low</v>
      </c>
      <c r="AD527" t="str">
        <f t="shared" si="52"/>
        <v>Upsell premium bundle</v>
      </c>
      <c r="AE527">
        <f t="shared" si="53"/>
        <v>59</v>
      </c>
    </row>
    <row r="528" spans="1:31" x14ac:dyDescent="0.35">
      <c r="A528" t="s">
        <v>586</v>
      </c>
      <c r="B528" s="4">
        <v>44711</v>
      </c>
      <c r="C528" s="4">
        <v>46143</v>
      </c>
      <c r="D528" t="s">
        <v>39</v>
      </c>
      <c r="E528">
        <v>33</v>
      </c>
      <c r="F528" t="s">
        <v>57</v>
      </c>
      <c r="G528" t="s">
        <v>67</v>
      </c>
      <c r="H528" t="s">
        <v>41</v>
      </c>
      <c r="I528" t="s">
        <v>49</v>
      </c>
      <c r="J528">
        <v>47</v>
      </c>
      <c r="K528" s="5">
        <v>2497.02</v>
      </c>
      <c r="L528" s="5">
        <v>543.27</v>
      </c>
      <c r="M528">
        <v>6</v>
      </c>
      <c r="N528">
        <v>3</v>
      </c>
      <c r="O528">
        <v>0</v>
      </c>
      <c r="P528">
        <v>0</v>
      </c>
      <c r="Q528">
        <v>4</v>
      </c>
      <c r="R528">
        <v>0</v>
      </c>
      <c r="S528">
        <v>0</v>
      </c>
      <c r="T528">
        <v>1</v>
      </c>
      <c r="U528">
        <v>0</v>
      </c>
      <c r="V528">
        <v>0</v>
      </c>
      <c r="W528" t="s">
        <v>50</v>
      </c>
      <c r="X528">
        <v>-45</v>
      </c>
      <c r="Y528">
        <v>1</v>
      </c>
      <c r="Z528">
        <f t="shared" si="48"/>
        <v>12</v>
      </c>
      <c r="AA528">
        <f t="shared" si="49"/>
        <v>0.12987012987012986</v>
      </c>
      <c r="AB528">
        <f t="shared" si="50"/>
        <v>92</v>
      </c>
      <c r="AC528" t="str">
        <f t="shared" si="51"/>
        <v>High</v>
      </c>
      <c r="AD528" t="str">
        <f t="shared" si="52"/>
        <v>Re-engage with app usage offer</v>
      </c>
      <c r="AE528">
        <f t="shared" si="53"/>
        <v>88</v>
      </c>
    </row>
    <row r="529" spans="1:31" x14ac:dyDescent="0.35">
      <c r="A529" t="s">
        <v>587</v>
      </c>
      <c r="B529" s="4">
        <v>45205</v>
      </c>
      <c r="C529" s="4">
        <v>46143</v>
      </c>
      <c r="D529" t="s">
        <v>39</v>
      </c>
      <c r="E529">
        <v>38</v>
      </c>
      <c r="F529" t="s">
        <v>33</v>
      </c>
      <c r="G529" t="s">
        <v>67</v>
      </c>
      <c r="H529" t="s">
        <v>58</v>
      </c>
      <c r="I529" t="s">
        <v>49</v>
      </c>
      <c r="J529">
        <v>31</v>
      </c>
      <c r="K529" s="5">
        <v>241.27</v>
      </c>
      <c r="L529" s="5">
        <v>0</v>
      </c>
      <c r="M529">
        <v>25</v>
      </c>
      <c r="N529">
        <v>10</v>
      </c>
      <c r="O529">
        <v>2</v>
      </c>
      <c r="P529">
        <v>0</v>
      </c>
      <c r="Q529">
        <v>14</v>
      </c>
      <c r="R529">
        <v>2</v>
      </c>
      <c r="S529">
        <v>3</v>
      </c>
      <c r="T529">
        <v>1</v>
      </c>
      <c r="U529">
        <v>0</v>
      </c>
      <c r="V529">
        <v>0</v>
      </c>
      <c r="W529" t="s">
        <v>52</v>
      </c>
      <c r="X529">
        <v>0</v>
      </c>
      <c r="Y529">
        <v>1</v>
      </c>
      <c r="Z529">
        <f t="shared" si="48"/>
        <v>50</v>
      </c>
      <c r="AA529">
        <f t="shared" si="49"/>
        <v>0.63934426229508201</v>
      </c>
      <c r="AB529">
        <f t="shared" si="50"/>
        <v>65</v>
      </c>
      <c r="AC529" t="str">
        <f t="shared" si="51"/>
        <v>Medium</v>
      </c>
      <c r="AD529" t="str">
        <f t="shared" si="52"/>
        <v>Nudge core feature adoption</v>
      </c>
      <c r="AE529">
        <f t="shared" si="53"/>
        <v>50</v>
      </c>
    </row>
    <row r="530" spans="1:31" x14ac:dyDescent="0.35">
      <c r="A530" t="s">
        <v>588</v>
      </c>
      <c r="B530" s="4">
        <v>45167</v>
      </c>
      <c r="C530" s="4">
        <v>46143</v>
      </c>
      <c r="D530" t="s">
        <v>39</v>
      </c>
      <c r="E530">
        <v>51</v>
      </c>
      <c r="F530" t="s">
        <v>43</v>
      </c>
      <c r="G530" t="s">
        <v>85</v>
      </c>
      <c r="H530" t="s">
        <v>41</v>
      </c>
      <c r="I530" t="s">
        <v>36</v>
      </c>
      <c r="J530">
        <v>32</v>
      </c>
      <c r="K530" s="5">
        <v>59.44</v>
      </c>
      <c r="L530" s="5">
        <v>0</v>
      </c>
      <c r="M530">
        <v>15</v>
      </c>
      <c r="N530">
        <v>8</v>
      </c>
      <c r="O530">
        <v>4</v>
      </c>
      <c r="P530">
        <v>1</v>
      </c>
      <c r="Q530">
        <v>7</v>
      </c>
      <c r="R530">
        <v>1</v>
      </c>
      <c r="S530">
        <v>1</v>
      </c>
      <c r="T530">
        <v>1</v>
      </c>
      <c r="U530">
        <v>0</v>
      </c>
      <c r="V530">
        <v>1</v>
      </c>
      <c r="W530" t="s">
        <v>37</v>
      </c>
      <c r="X530">
        <v>-3</v>
      </c>
      <c r="Y530">
        <v>1</v>
      </c>
      <c r="Z530">
        <f t="shared" si="48"/>
        <v>42</v>
      </c>
      <c r="AA530">
        <f t="shared" si="49"/>
        <v>0.35483870967741937</v>
      </c>
      <c r="AB530">
        <f t="shared" si="50"/>
        <v>49</v>
      </c>
      <c r="AC530" t="str">
        <f t="shared" si="51"/>
        <v>Medium</v>
      </c>
      <c r="AD530" t="str">
        <f t="shared" si="52"/>
        <v>Nudge core feature adoption</v>
      </c>
      <c r="AE530">
        <f t="shared" si="53"/>
        <v>58</v>
      </c>
    </row>
    <row r="531" spans="1:31" x14ac:dyDescent="0.35">
      <c r="A531" t="s">
        <v>589</v>
      </c>
      <c r="B531" s="4">
        <v>45305</v>
      </c>
      <c r="C531" s="4">
        <v>46143</v>
      </c>
      <c r="D531" t="s">
        <v>32</v>
      </c>
      <c r="E531">
        <v>45</v>
      </c>
      <c r="F531" t="s">
        <v>33</v>
      </c>
      <c r="G531" t="s">
        <v>85</v>
      </c>
      <c r="H531" t="s">
        <v>44</v>
      </c>
      <c r="I531" t="s">
        <v>36</v>
      </c>
      <c r="J531">
        <v>27</v>
      </c>
      <c r="K531" s="5">
        <v>476.56</v>
      </c>
      <c r="L531" s="5">
        <v>297.10000000000002</v>
      </c>
      <c r="M531">
        <v>28</v>
      </c>
      <c r="N531">
        <v>10</v>
      </c>
      <c r="O531">
        <v>7</v>
      </c>
      <c r="P531">
        <v>5</v>
      </c>
      <c r="Q531">
        <v>18</v>
      </c>
      <c r="R531">
        <v>3</v>
      </c>
      <c r="S531">
        <v>3</v>
      </c>
      <c r="T531">
        <v>0</v>
      </c>
      <c r="U531">
        <v>0</v>
      </c>
      <c r="V531">
        <v>0</v>
      </c>
      <c r="W531" t="s">
        <v>55</v>
      </c>
      <c r="X531">
        <v>-41</v>
      </c>
      <c r="Y531">
        <v>1</v>
      </c>
      <c r="Z531">
        <f t="shared" si="48"/>
        <v>69</v>
      </c>
      <c r="AA531">
        <f t="shared" si="49"/>
        <v>0.80701754385964908</v>
      </c>
      <c r="AB531">
        <f t="shared" si="50"/>
        <v>60</v>
      </c>
      <c r="AC531" t="str">
        <f t="shared" si="51"/>
        <v>Medium</v>
      </c>
      <c r="AD531" t="str">
        <f t="shared" si="52"/>
        <v>Nudge core feature adoption</v>
      </c>
      <c r="AE531">
        <f t="shared" si="53"/>
        <v>31</v>
      </c>
    </row>
    <row r="532" spans="1:31" x14ac:dyDescent="0.35">
      <c r="A532" t="s">
        <v>590</v>
      </c>
      <c r="B532" s="4">
        <v>45410</v>
      </c>
      <c r="C532" s="4">
        <v>46143</v>
      </c>
      <c r="D532" t="s">
        <v>47</v>
      </c>
      <c r="E532">
        <v>40</v>
      </c>
      <c r="F532" t="s">
        <v>57</v>
      </c>
      <c r="G532" t="s">
        <v>48</v>
      </c>
      <c r="H532" t="s">
        <v>41</v>
      </c>
      <c r="I532" t="s">
        <v>36</v>
      </c>
      <c r="J532">
        <v>24</v>
      </c>
      <c r="K532" s="5">
        <v>1063.08</v>
      </c>
      <c r="L532" s="5">
        <v>959.05</v>
      </c>
      <c r="M532">
        <v>44</v>
      </c>
      <c r="N532">
        <v>16</v>
      </c>
      <c r="O532">
        <v>2</v>
      </c>
      <c r="P532">
        <v>1</v>
      </c>
      <c r="Q532">
        <v>22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52</v>
      </c>
      <c r="X532">
        <v>100</v>
      </c>
      <c r="Y532">
        <v>0</v>
      </c>
      <c r="Z532">
        <f t="shared" si="48"/>
        <v>83</v>
      </c>
      <c r="AA532">
        <f t="shared" si="49"/>
        <v>1.2222222222222223</v>
      </c>
      <c r="AB532">
        <f t="shared" si="50"/>
        <v>0</v>
      </c>
      <c r="AC532" t="str">
        <f t="shared" si="51"/>
        <v>Low</v>
      </c>
      <c r="AD532" t="str">
        <f t="shared" si="52"/>
        <v>Upsell premium bundle</v>
      </c>
      <c r="AE532">
        <f t="shared" si="53"/>
        <v>17</v>
      </c>
    </row>
    <row r="533" spans="1:31" x14ac:dyDescent="0.35">
      <c r="A533" t="s">
        <v>591</v>
      </c>
      <c r="B533" s="4">
        <v>45389</v>
      </c>
      <c r="C533" s="4">
        <v>46143</v>
      </c>
      <c r="D533" t="s">
        <v>47</v>
      </c>
      <c r="E533">
        <v>33</v>
      </c>
      <c r="F533" t="s">
        <v>33</v>
      </c>
      <c r="G533" t="s">
        <v>63</v>
      </c>
      <c r="H533" t="s">
        <v>41</v>
      </c>
      <c r="I533" t="s">
        <v>36</v>
      </c>
      <c r="J533">
        <v>25</v>
      </c>
      <c r="K533" s="5">
        <v>745.64</v>
      </c>
      <c r="L533" s="5">
        <v>276.89</v>
      </c>
      <c r="M533">
        <v>27</v>
      </c>
      <c r="N533">
        <v>14</v>
      </c>
      <c r="O533">
        <v>5</v>
      </c>
      <c r="P533">
        <v>2</v>
      </c>
      <c r="Q533">
        <v>17</v>
      </c>
      <c r="R533">
        <v>0</v>
      </c>
      <c r="S533">
        <v>2</v>
      </c>
      <c r="T533">
        <v>0</v>
      </c>
      <c r="U533">
        <v>1</v>
      </c>
      <c r="V533">
        <v>1</v>
      </c>
      <c r="W533" t="s">
        <v>55</v>
      </c>
      <c r="X533">
        <v>29</v>
      </c>
      <c r="Y533">
        <v>0</v>
      </c>
      <c r="Z533">
        <f t="shared" si="48"/>
        <v>79</v>
      </c>
      <c r="AA533">
        <f t="shared" si="49"/>
        <v>0.8</v>
      </c>
      <c r="AB533">
        <f t="shared" si="50"/>
        <v>28</v>
      </c>
      <c r="AC533" t="str">
        <f t="shared" si="51"/>
        <v>Low</v>
      </c>
      <c r="AD533" t="str">
        <f t="shared" si="52"/>
        <v>Upsell premium bundle</v>
      </c>
      <c r="AE533">
        <f t="shared" si="53"/>
        <v>21</v>
      </c>
    </row>
    <row r="534" spans="1:31" x14ac:dyDescent="0.35">
      <c r="A534" t="s">
        <v>592</v>
      </c>
      <c r="B534" s="4">
        <v>44919</v>
      </c>
      <c r="C534" s="4">
        <v>46143</v>
      </c>
      <c r="D534" t="s">
        <v>66</v>
      </c>
      <c r="E534">
        <v>64</v>
      </c>
      <c r="F534" t="s">
        <v>33</v>
      </c>
      <c r="G534" t="s">
        <v>85</v>
      </c>
      <c r="H534" t="s">
        <v>41</v>
      </c>
      <c r="I534" t="s">
        <v>36</v>
      </c>
      <c r="J534">
        <v>40</v>
      </c>
      <c r="K534" s="5">
        <v>19</v>
      </c>
      <c r="L534" s="5">
        <v>188.2</v>
      </c>
      <c r="M534">
        <v>25</v>
      </c>
      <c r="N534">
        <v>10</v>
      </c>
      <c r="O534">
        <v>3</v>
      </c>
      <c r="P534">
        <v>0</v>
      </c>
      <c r="Q534">
        <v>9</v>
      </c>
      <c r="R534">
        <v>0</v>
      </c>
      <c r="S534">
        <v>1</v>
      </c>
      <c r="T534">
        <v>1</v>
      </c>
      <c r="U534">
        <v>0</v>
      </c>
      <c r="V534">
        <v>1</v>
      </c>
      <c r="W534" t="s">
        <v>37</v>
      </c>
      <c r="X534">
        <v>37</v>
      </c>
      <c r="Y534">
        <v>1</v>
      </c>
      <c r="Z534">
        <f t="shared" si="48"/>
        <v>53</v>
      </c>
      <c r="AA534">
        <f t="shared" si="49"/>
        <v>0.48571428571428571</v>
      </c>
      <c r="AB534">
        <f t="shared" si="50"/>
        <v>26</v>
      </c>
      <c r="AC534" t="str">
        <f t="shared" si="51"/>
        <v>Low</v>
      </c>
      <c r="AD534" t="str">
        <f t="shared" si="52"/>
        <v>Upsell premium bundle</v>
      </c>
      <c r="AE534">
        <f t="shared" si="53"/>
        <v>47</v>
      </c>
    </row>
    <row r="535" spans="1:31" x14ac:dyDescent="0.35">
      <c r="A535" t="s">
        <v>593</v>
      </c>
      <c r="B535" s="4">
        <v>45444</v>
      </c>
      <c r="C535" s="4">
        <v>46143</v>
      </c>
      <c r="D535" t="s">
        <v>47</v>
      </c>
      <c r="E535">
        <v>69</v>
      </c>
      <c r="F535" t="s">
        <v>33</v>
      </c>
      <c r="G535" t="s">
        <v>48</v>
      </c>
      <c r="H535" t="s">
        <v>41</v>
      </c>
      <c r="I535" t="s">
        <v>36</v>
      </c>
      <c r="J535">
        <v>23</v>
      </c>
      <c r="K535" s="5">
        <v>581.14</v>
      </c>
      <c r="L535" s="5">
        <v>153.68</v>
      </c>
      <c r="M535">
        <v>11</v>
      </c>
      <c r="N535">
        <v>3</v>
      </c>
      <c r="O535">
        <v>1</v>
      </c>
      <c r="P535">
        <v>0</v>
      </c>
      <c r="Q535">
        <v>4</v>
      </c>
      <c r="R535">
        <v>4</v>
      </c>
      <c r="S535">
        <v>2</v>
      </c>
      <c r="T535">
        <v>1</v>
      </c>
      <c r="U535">
        <v>1</v>
      </c>
      <c r="V535">
        <v>1</v>
      </c>
      <c r="W535" t="s">
        <v>37</v>
      </c>
      <c r="X535">
        <v>-6</v>
      </c>
      <c r="Y535">
        <v>1</v>
      </c>
      <c r="Z535">
        <f t="shared" si="48"/>
        <v>34</v>
      </c>
      <c r="AA535">
        <f t="shared" si="49"/>
        <v>0.28301886792452829</v>
      </c>
      <c r="AB535">
        <f t="shared" si="50"/>
        <v>57</v>
      </c>
      <c r="AC535" t="str">
        <f t="shared" si="51"/>
        <v>Medium</v>
      </c>
      <c r="AD535" t="str">
        <f t="shared" si="52"/>
        <v>Nudge core feature adoption</v>
      </c>
      <c r="AE535">
        <f t="shared" si="53"/>
        <v>66</v>
      </c>
    </row>
    <row r="536" spans="1:31" x14ac:dyDescent="0.35">
      <c r="A536" t="s">
        <v>594</v>
      </c>
      <c r="B536" s="4">
        <v>44968</v>
      </c>
      <c r="C536" s="4">
        <v>46143</v>
      </c>
      <c r="D536" t="s">
        <v>32</v>
      </c>
      <c r="E536">
        <v>35</v>
      </c>
      <c r="F536" t="s">
        <v>61</v>
      </c>
      <c r="G536" t="s">
        <v>63</v>
      </c>
      <c r="H536" t="s">
        <v>58</v>
      </c>
      <c r="I536" t="s">
        <v>36</v>
      </c>
      <c r="J536">
        <v>39</v>
      </c>
      <c r="K536" s="5">
        <v>7506.02</v>
      </c>
      <c r="L536" s="5">
        <v>1107.06</v>
      </c>
      <c r="M536">
        <v>43</v>
      </c>
      <c r="N536">
        <v>18</v>
      </c>
      <c r="O536">
        <v>7</v>
      </c>
      <c r="P536">
        <v>2</v>
      </c>
      <c r="Q536">
        <v>32</v>
      </c>
      <c r="R536">
        <v>0</v>
      </c>
      <c r="S536">
        <v>1</v>
      </c>
      <c r="T536">
        <v>1</v>
      </c>
      <c r="U536">
        <v>1</v>
      </c>
      <c r="V536">
        <v>0</v>
      </c>
      <c r="W536" t="s">
        <v>37</v>
      </c>
      <c r="X536">
        <v>31</v>
      </c>
      <c r="Y536">
        <v>0</v>
      </c>
      <c r="Z536">
        <f t="shared" si="48"/>
        <v>100</v>
      </c>
      <c r="AA536">
        <f t="shared" si="49"/>
        <v>1.0869565217391304</v>
      </c>
      <c r="AB536">
        <f t="shared" si="50"/>
        <v>1</v>
      </c>
      <c r="AC536" t="str">
        <f t="shared" si="51"/>
        <v>Low</v>
      </c>
      <c r="AD536" t="str">
        <f t="shared" si="52"/>
        <v>Upsell premium bundle</v>
      </c>
      <c r="AE536">
        <f t="shared" si="53"/>
        <v>0</v>
      </c>
    </row>
    <row r="537" spans="1:31" x14ac:dyDescent="0.35">
      <c r="A537" t="s">
        <v>595</v>
      </c>
      <c r="B537" s="4">
        <v>45064</v>
      </c>
      <c r="C537" s="4">
        <v>46143</v>
      </c>
      <c r="D537" t="s">
        <v>60</v>
      </c>
      <c r="E537">
        <v>69</v>
      </c>
      <c r="F537" t="s">
        <v>57</v>
      </c>
      <c r="G537" t="s">
        <v>67</v>
      </c>
      <c r="H537" t="s">
        <v>41</v>
      </c>
      <c r="I537" t="s">
        <v>36</v>
      </c>
      <c r="J537">
        <v>35</v>
      </c>
      <c r="K537" s="5">
        <v>1107.76</v>
      </c>
      <c r="L537" s="5">
        <v>619.13</v>
      </c>
      <c r="M537">
        <v>9</v>
      </c>
      <c r="N537">
        <v>2</v>
      </c>
      <c r="O537">
        <v>2</v>
      </c>
      <c r="P537">
        <v>0</v>
      </c>
      <c r="Q537">
        <v>12</v>
      </c>
      <c r="R537">
        <v>0</v>
      </c>
      <c r="S537">
        <v>0</v>
      </c>
      <c r="T537">
        <v>1</v>
      </c>
      <c r="U537">
        <v>0</v>
      </c>
      <c r="V537">
        <v>1</v>
      </c>
      <c r="W537" t="s">
        <v>52</v>
      </c>
      <c r="X537">
        <v>27</v>
      </c>
      <c r="Y537">
        <v>0</v>
      </c>
      <c r="Z537">
        <f t="shared" si="48"/>
        <v>32</v>
      </c>
      <c r="AA537">
        <f t="shared" si="49"/>
        <v>0.32307692307692309</v>
      </c>
      <c r="AB537">
        <f t="shared" si="50"/>
        <v>32</v>
      </c>
      <c r="AC537" t="str">
        <f t="shared" si="51"/>
        <v>Low</v>
      </c>
      <c r="AD537" t="str">
        <f t="shared" si="52"/>
        <v>Upsell premium bundle</v>
      </c>
      <c r="AE537">
        <f t="shared" si="53"/>
        <v>68</v>
      </c>
    </row>
    <row r="538" spans="1:31" x14ac:dyDescent="0.35">
      <c r="A538" t="s">
        <v>596</v>
      </c>
      <c r="B538" s="4">
        <v>45037</v>
      </c>
      <c r="C538" s="4">
        <v>46143</v>
      </c>
      <c r="D538" t="s">
        <v>47</v>
      </c>
      <c r="E538">
        <v>45</v>
      </c>
      <c r="F538" t="s">
        <v>33</v>
      </c>
      <c r="G538" t="s">
        <v>48</v>
      </c>
      <c r="H538" t="s">
        <v>35</v>
      </c>
      <c r="I538" t="s">
        <v>36</v>
      </c>
      <c r="J538">
        <v>36</v>
      </c>
      <c r="K538" s="5">
        <v>302.49</v>
      </c>
      <c r="L538" s="5">
        <v>139.66999999999999</v>
      </c>
      <c r="M538">
        <v>33</v>
      </c>
      <c r="N538">
        <v>22</v>
      </c>
      <c r="O538">
        <v>7</v>
      </c>
      <c r="P538">
        <v>1</v>
      </c>
      <c r="Q538">
        <v>20</v>
      </c>
      <c r="R538">
        <v>1</v>
      </c>
      <c r="S538">
        <v>0</v>
      </c>
      <c r="T538">
        <v>0</v>
      </c>
      <c r="U538">
        <v>1</v>
      </c>
      <c r="V538">
        <v>1</v>
      </c>
      <c r="W538" t="s">
        <v>37</v>
      </c>
      <c r="X538">
        <v>-56</v>
      </c>
      <c r="Y538">
        <v>0</v>
      </c>
      <c r="Z538">
        <f t="shared" si="48"/>
        <v>95</v>
      </c>
      <c r="AA538">
        <f t="shared" si="49"/>
        <v>0.80303030303030298</v>
      </c>
      <c r="AB538">
        <f t="shared" si="50"/>
        <v>37</v>
      </c>
      <c r="AC538" t="str">
        <f t="shared" si="51"/>
        <v>Low</v>
      </c>
      <c r="AD538" t="str">
        <f t="shared" si="52"/>
        <v>Upsell premium bundle</v>
      </c>
      <c r="AE538">
        <f t="shared" si="53"/>
        <v>5</v>
      </c>
    </row>
    <row r="539" spans="1:31" x14ac:dyDescent="0.35">
      <c r="A539" t="s">
        <v>597</v>
      </c>
      <c r="B539" s="4">
        <v>45135</v>
      </c>
      <c r="C539" s="4">
        <v>46143</v>
      </c>
      <c r="D539" t="s">
        <v>66</v>
      </c>
      <c r="E539">
        <v>55</v>
      </c>
      <c r="F539" t="s">
        <v>33</v>
      </c>
      <c r="G539" t="s">
        <v>34</v>
      </c>
      <c r="H539" t="s">
        <v>41</v>
      </c>
      <c r="I539" t="s">
        <v>36</v>
      </c>
      <c r="J539">
        <v>33</v>
      </c>
      <c r="K539" s="5">
        <v>405.69</v>
      </c>
      <c r="L539" s="5">
        <v>318.33999999999997</v>
      </c>
      <c r="M539">
        <v>25</v>
      </c>
      <c r="N539">
        <v>9</v>
      </c>
      <c r="O539">
        <v>6</v>
      </c>
      <c r="P539">
        <v>2</v>
      </c>
      <c r="Q539">
        <v>22</v>
      </c>
      <c r="R539">
        <v>1</v>
      </c>
      <c r="S539">
        <v>2</v>
      </c>
      <c r="T539">
        <v>0</v>
      </c>
      <c r="U539">
        <v>0</v>
      </c>
      <c r="V539">
        <v>1</v>
      </c>
      <c r="W539" t="s">
        <v>52</v>
      </c>
      <c r="X539">
        <v>10</v>
      </c>
      <c r="Y539">
        <v>0</v>
      </c>
      <c r="Z539">
        <f t="shared" si="48"/>
        <v>71</v>
      </c>
      <c r="AA539">
        <f t="shared" si="49"/>
        <v>0.74603174603174605</v>
      </c>
      <c r="AB539">
        <f t="shared" si="50"/>
        <v>39</v>
      </c>
      <c r="AC539" t="str">
        <f t="shared" si="51"/>
        <v>Low</v>
      </c>
      <c r="AD539" t="str">
        <f t="shared" si="52"/>
        <v>Upsell premium bundle</v>
      </c>
      <c r="AE539">
        <f t="shared" si="53"/>
        <v>29</v>
      </c>
    </row>
    <row r="540" spans="1:31" x14ac:dyDescent="0.35">
      <c r="A540" t="s">
        <v>598</v>
      </c>
      <c r="B540" s="4">
        <v>45077</v>
      </c>
      <c r="C540" s="4">
        <v>46143</v>
      </c>
      <c r="D540" t="s">
        <v>72</v>
      </c>
      <c r="E540">
        <v>59</v>
      </c>
      <c r="F540" t="s">
        <v>33</v>
      </c>
      <c r="G540" t="s">
        <v>40</v>
      </c>
      <c r="H540" t="s">
        <v>58</v>
      </c>
      <c r="I540" t="s">
        <v>36</v>
      </c>
      <c r="J540">
        <v>35</v>
      </c>
      <c r="K540" s="5">
        <v>241.16</v>
      </c>
      <c r="L540" s="5">
        <v>280.12</v>
      </c>
      <c r="M540">
        <v>21</v>
      </c>
      <c r="N540">
        <v>11</v>
      </c>
      <c r="O540">
        <v>4</v>
      </c>
      <c r="P540">
        <v>2</v>
      </c>
      <c r="Q540">
        <v>26</v>
      </c>
      <c r="R540">
        <v>4</v>
      </c>
      <c r="S540">
        <v>2</v>
      </c>
      <c r="T540">
        <v>1</v>
      </c>
      <c r="U540">
        <v>0</v>
      </c>
      <c r="V540">
        <v>0</v>
      </c>
      <c r="W540" t="s">
        <v>37</v>
      </c>
      <c r="X540">
        <v>58</v>
      </c>
      <c r="Y540">
        <v>0</v>
      </c>
      <c r="Z540">
        <f t="shared" si="48"/>
        <v>62</v>
      </c>
      <c r="AA540">
        <f t="shared" si="49"/>
        <v>0.72307692307692306</v>
      </c>
      <c r="AB540">
        <f t="shared" si="50"/>
        <v>4</v>
      </c>
      <c r="AC540" t="str">
        <f t="shared" si="51"/>
        <v>Low</v>
      </c>
      <c r="AD540" t="str">
        <f t="shared" si="52"/>
        <v>Upsell premium bundle</v>
      </c>
      <c r="AE540">
        <f t="shared" si="53"/>
        <v>38</v>
      </c>
    </row>
    <row r="541" spans="1:31" x14ac:dyDescent="0.35">
      <c r="A541" t="s">
        <v>599</v>
      </c>
      <c r="B541" s="4">
        <v>45159</v>
      </c>
      <c r="C541" s="4">
        <v>46143</v>
      </c>
      <c r="D541" t="s">
        <v>72</v>
      </c>
      <c r="E541">
        <v>52</v>
      </c>
      <c r="F541" t="s">
        <v>77</v>
      </c>
      <c r="G541" t="s">
        <v>34</v>
      </c>
      <c r="H541" t="s">
        <v>58</v>
      </c>
      <c r="I541" t="s">
        <v>36</v>
      </c>
      <c r="J541">
        <v>32</v>
      </c>
      <c r="K541" s="5">
        <v>13485.69</v>
      </c>
      <c r="L541" s="5">
        <v>4707.26</v>
      </c>
      <c r="M541">
        <v>27</v>
      </c>
      <c r="N541">
        <v>17</v>
      </c>
      <c r="O541">
        <v>2</v>
      </c>
      <c r="P541">
        <v>2</v>
      </c>
      <c r="Q541">
        <v>32</v>
      </c>
      <c r="R541">
        <v>0</v>
      </c>
      <c r="S541">
        <v>0</v>
      </c>
      <c r="T541">
        <v>1</v>
      </c>
      <c r="U541">
        <v>0</v>
      </c>
      <c r="V541">
        <v>0</v>
      </c>
      <c r="W541" t="s">
        <v>50</v>
      </c>
      <c r="X541">
        <v>73</v>
      </c>
      <c r="Y541">
        <v>0</v>
      </c>
      <c r="Z541">
        <f t="shared" si="48"/>
        <v>76</v>
      </c>
      <c r="AA541">
        <f t="shared" si="49"/>
        <v>0.95161290322580649</v>
      </c>
      <c r="AB541">
        <f t="shared" si="50"/>
        <v>0</v>
      </c>
      <c r="AC541" t="str">
        <f t="shared" si="51"/>
        <v>Low</v>
      </c>
      <c r="AD541" t="str">
        <f t="shared" si="52"/>
        <v>Upsell premium bundle</v>
      </c>
      <c r="AE541">
        <f t="shared" si="53"/>
        <v>24</v>
      </c>
    </row>
    <row r="542" spans="1:31" x14ac:dyDescent="0.35">
      <c r="A542" t="s">
        <v>600</v>
      </c>
      <c r="B542" s="4">
        <v>45363</v>
      </c>
      <c r="C542" s="4">
        <v>46143</v>
      </c>
      <c r="D542" t="s">
        <v>32</v>
      </c>
      <c r="E542">
        <v>59</v>
      </c>
      <c r="F542" t="s">
        <v>57</v>
      </c>
      <c r="G542" t="s">
        <v>40</v>
      </c>
      <c r="H542" t="s">
        <v>41</v>
      </c>
      <c r="I542" t="s">
        <v>36</v>
      </c>
      <c r="J542">
        <v>26</v>
      </c>
      <c r="K542" s="5">
        <v>914.56</v>
      </c>
      <c r="L542" s="5">
        <v>857.41</v>
      </c>
      <c r="M542">
        <v>19</v>
      </c>
      <c r="N542">
        <v>13</v>
      </c>
      <c r="O542">
        <v>3</v>
      </c>
      <c r="P542">
        <v>3</v>
      </c>
      <c r="Q542">
        <v>17</v>
      </c>
      <c r="R542">
        <v>0</v>
      </c>
      <c r="S542">
        <v>0</v>
      </c>
      <c r="T542">
        <v>0</v>
      </c>
      <c r="U542">
        <v>0</v>
      </c>
      <c r="V542">
        <v>1</v>
      </c>
      <c r="W542" t="s">
        <v>55</v>
      </c>
      <c r="X542">
        <v>52</v>
      </c>
      <c r="Y542">
        <v>0</v>
      </c>
      <c r="Z542">
        <f t="shared" si="48"/>
        <v>60</v>
      </c>
      <c r="AA542">
        <f t="shared" si="49"/>
        <v>0.6428571428571429</v>
      </c>
      <c r="AB542">
        <f t="shared" si="50"/>
        <v>8</v>
      </c>
      <c r="AC542" t="str">
        <f t="shared" si="51"/>
        <v>Low</v>
      </c>
      <c r="AD542" t="str">
        <f t="shared" si="52"/>
        <v>Upsell premium bundle</v>
      </c>
      <c r="AE542">
        <f t="shared" si="53"/>
        <v>40</v>
      </c>
    </row>
    <row r="543" spans="1:31" x14ac:dyDescent="0.35">
      <c r="A543" t="s">
        <v>601</v>
      </c>
      <c r="B543" s="4">
        <v>45781</v>
      </c>
      <c r="C543" s="4">
        <v>46143</v>
      </c>
      <c r="D543" t="s">
        <v>72</v>
      </c>
      <c r="E543">
        <v>34</v>
      </c>
      <c r="F543" t="s">
        <v>57</v>
      </c>
      <c r="G543" t="s">
        <v>67</v>
      </c>
      <c r="H543" t="s">
        <v>58</v>
      </c>
      <c r="I543" t="s">
        <v>36</v>
      </c>
      <c r="J543">
        <v>12</v>
      </c>
      <c r="K543" s="5">
        <v>1381.55</v>
      </c>
      <c r="L543" s="5">
        <v>0</v>
      </c>
      <c r="M543">
        <v>24</v>
      </c>
      <c r="N543">
        <v>12</v>
      </c>
      <c r="O543">
        <v>2</v>
      </c>
      <c r="P543">
        <v>3</v>
      </c>
      <c r="Q543">
        <v>30</v>
      </c>
      <c r="R543">
        <v>3</v>
      </c>
      <c r="S543">
        <v>0</v>
      </c>
      <c r="T543">
        <v>1</v>
      </c>
      <c r="U543">
        <v>1</v>
      </c>
      <c r="V543">
        <v>0</v>
      </c>
      <c r="W543" t="s">
        <v>50</v>
      </c>
      <c r="X543">
        <v>-14</v>
      </c>
      <c r="Y543">
        <v>0</v>
      </c>
      <c r="Z543">
        <f t="shared" si="48"/>
        <v>76</v>
      </c>
      <c r="AA543">
        <f t="shared" si="49"/>
        <v>1.2857142857142858</v>
      </c>
      <c r="AB543">
        <f t="shared" si="50"/>
        <v>20</v>
      </c>
      <c r="AC543" t="str">
        <f t="shared" si="51"/>
        <v>Low</v>
      </c>
      <c r="AD543" t="str">
        <f t="shared" si="52"/>
        <v>Upsell premium bundle</v>
      </c>
      <c r="AE543">
        <f t="shared" si="53"/>
        <v>24</v>
      </c>
    </row>
    <row r="544" spans="1:31" x14ac:dyDescent="0.35">
      <c r="A544" t="s">
        <v>602</v>
      </c>
      <c r="B544" s="4">
        <v>44905</v>
      </c>
      <c r="C544" s="4">
        <v>46143</v>
      </c>
      <c r="D544" t="s">
        <v>72</v>
      </c>
      <c r="E544">
        <v>31</v>
      </c>
      <c r="F544" t="s">
        <v>61</v>
      </c>
      <c r="G544" t="s">
        <v>48</v>
      </c>
      <c r="H544" t="s">
        <v>58</v>
      </c>
      <c r="I544" t="s">
        <v>36</v>
      </c>
      <c r="J544">
        <v>41</v>
      </c>
      <c r="K544" s="5">
        <v>3826.92</v>
      </c>
      <c r="L544" s="5">
        <v>3749.91</v>
      </c>
      <c r="M544">
        <v>18</v>
      </c>
      <c r="N544">
        <v>10</v>
      </c>
      <c r="O544">
        <v>3</v>
      </c>
      <c r="P544">
        <v>0</v>
      </c>
      <c r="Q544">
        <v>26</v>
      </c>
      <c r="R544">
        <v>1</v>
      </c>
      <c r="S544">
        <v>1</v>
      </c>
      <c r="T544">
        <v>1</v>
      </c>
      <c r="U544">
        <v>0</v>
      </c>
      <c r="V544">
        <v>1</v>
      </c>
      <c r="W544" t="s">
        <v>50</v>
      </c>
      <c r="X544">
        <v>6</v>
      </c>
      <c r="Y544">
        <v>0</v>
      </c>
      <c r="Z544">
        <f t="shared" si="48"/>
        <v>61</v>
      </c>
      <c r="AA544">
        <f t="shared" si="49"/>
        <v>0.61971830985915488</v>
      </c>
      <c r="AB544">
        <f t="shared" si="50"/>
        <v>17</v>
      </c>
      <c r="AC544" t="str">
        <f t="shared" si="51"/>
        <v>Low</v>
      </c>
      <c r="AD544" t="str">
        <f t="shared" si="52"/>
        <v>Upsell premium bundle</v>
      </c>
      <c r="AE544">
        <f t="shared" si="53"/>
        <v>39</v>
      </c>
    </row>
    <row r="545" spans="1:31" x14ac:dyDescent="0.35">
      <c r="A545" t="s">
        <v>603</v>
      </c>
      <c r="B545" s="4">
        <v>46082</v>
      </c>
      <c r="C545" s="4">
        <v>46143</v>
      </c>
      <c r="D545" t="s">
        <v>32</v>
      </c>
      <c r="E545">
        <v>21</v>
      </c>
      <c r="F545" t="s">
        <v>61</v>
      </c>
      <c r="G545" t="s">
        <v>34</v>
      </c>
      <c r="H545" t="s">
        <v>41</v>
      </c>
      <c r="I545" t="s">
        <v>36</v>
      </c>
      <c r="J545">
        <v>2</v>
      </c>
      <c r="K545" s="5">
        <v>3287.57</v>
      </c>
      <c r="L545" s="5">
        <v>1749.32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0</v>
      </c>
      <c r="U545">
        <v>1</v>
      </c>
      <c r="V545">
        <v>0</v>
      </c>
      <c r="W545" t="s">
        <v>52</v>
      </c>
      <c r="X545">
        <v>10</v>
      </c>
      <c r="Y545">
        <v>1</v>
      </c>
      <c r="Z545">
        <f t="shared" si="48"/>
        <v>11</v>
      </c>
      <c r="AA545">
        <f t="shared" si="49"/>
        <v>9.375E-2</v>
      </c>
      <c r="AB545">
        <f t="shared" si="50"/>
        <v>55</v>
      </c>
      <c r="AC545" t="str">
        <f t="shared" si="51"/>
        <v>Medium</v>
      </c>
      <c r="AD545" t="str">
        <f t="shared" si="52"/>
        <v>Nudge core feature adoption</v>
      </c>
      <c r="AE545">
        <f t="shared" si="53"/>
        <v>89</v>
      </c>
    </row>
    <row r="546" spans="1:31" x14ac:dyDescent="0.35">
      <c r="A546" t="s">
        <v>604</v>
      </c>
      <c r="B546" s="4">
        <v>44854</v>
      </c>
      <c r="C546" s="4">
        <v>46143</v>
      </c>
      <c r="D546" t="s">
        <v>47</v>
      </c>
      <c r="E546">
        <v>63</v>
      </c>
      <c r="F546" t="s">
        <v>43</v>
      </c>
      <c r="G546" t="s">
        <v>67</v>
      </c>
      <c r="H546" t="s">
        <v>41</v>
      </c>
      <c r="I546" t="s">
        <v>36</v>
      </c>
      <c r="J546">
        <v>42</v>
      </c>
      <c r="K546" s="5">
        <v>155.78</v>
      </c>
      <c r="L546" s="5">
        <v>66.099999999999994</v>
      </c>
      <c r="M546">
        <v>29</v>
      </c>
      <c r="N546">
        <v>14</v>
      </c>
      <c r="O546">
        <v>6</v>
      </c>
      <c r="P546">
        <v>0</v>
      </c>
      <c r="Q546">
        <v>32</v>
      </c>
      <c r="R546">
        <v>0</v>
      </c>
      <c r="S546">
        <v>2</v>
      </c>
      <c r="T546">
        <v>1</v>
      </c>
      <c r="U546">
        <v>1</v>
      </c>
      <c r="V546">
        <v>0</v>
      </c>
      <c r="W546" t="s">
        <v>55</v>
      </c>
      <c r="X546">
        <v>45</v>
      </c>
      <c r="Y546">
        <v>0</v>
      </c>
      <c r="Z546">
        <f t="shared" si="48"/>
        <v>86</v>
      </c>
      <c r="AA546">
        <f t="shared" si="49"/>
        <v>0.84722222222222221</v>
      </c>
      <c r="AB546">
        <f t="shared" si="50"/>
        <v>17</v>
      </c>
      <c r="AC546" t="str">
        <f t="shared" si="51"/>
        <v>Low</v>
      </c>
      <c r="AD546" t="str">
        <f t="shared" si="52"/>
        <v>Upsell premium bundle</v>
      </c>
      <c r="AE546">
        <f t="shared" si="53"/>
        <v>14</v>
      </c>
    </row>
    <row r="547" spans="1:31" x14ac:dyDescent="0.35">
      <c r="A547" t="s">
        <v>605</v>
      </c>
      <c r="B547" s="4">
        <v>46117</v>
      </c>
      <c r="C547" s="4">
        <v>46143</v>
      </c>
      <c r="D547" t="s">
        <v>66</v>
      </c>
      <c r="E547">
        <v>50</v>
      </c>
      <c r="F547" t="s">
        <v>43</v>
      </c>
      <c r="G547" t="s">
        <v>48</v>
      </c>
      <c r="H547" t="s">
        <v>58</v>
      </c>
      <c r="I547" t="s">
        <v>54</v>
      </c>
      <c r="J547">
        <v>1</v>
      </c>
      <c r="K547" s="5">
        <v>102.55</v>
      </c>
      <c r="L547" s="5">
        <v>61.48</v>
      </c>
      <c r="M547">
        <v>29</v>
      </c>
      <c r="N547">
        <v>18</v>
      </c>
      <c r="O547">
        <v>1</v>
      </c>
      <c r="P547">
        <v>2</v>
      </c>
      <c r="Q547">
        <v>20</v>
      </c>
      <c r="R547">
        <v>4</v>
      </c>
      <c r="S547">
        <v>2</v>
      </c>
      <c r="T547">
        <v>0</v>
      </c>
      <c r="U547">
        <v>0</v>
      </c>
      <c r="V547">
        <v>0</v>
      </c>
      <c r="W547" t="s">
        <v>37</v>
      </c>
      <c r="X547">
        <v>43</v>
      </c>
      <c r="Y547">
        <v>1</v>
      </c>
      <c r="Z547">
        <f t="shared" si="48"/>
        <v>67</v>
      </c>
      <c r="AA547">
        <f t="shared" si="49"/>
        <v>1.5806451612903225</v>
      </c>
      <c r="AB547">
        <f t="shared" si="50"/>
        <v>26</v>
      </c>
      <c r="AC547" t="str">
        <f t="shared" si="51"/>
        <v>Low</v>
      </c>
      <c r="AD547" t="str">
        <f t="shared" si="52"/>
        <v>Upsell premium bundle</v>
      </c>
      <c r="AE547">
        <f t="shared" si="53"/>
        <v>33</v>
      </c>
    </row>
    <row r="548" spans="1:31" x14ac:dyDescent="0.35">
      <c r="A548" t="s">
        <v>606</v>
      </c>
      <c r="B548" s="4">
        <v>45419</v>
      </c>
      <c r="C548" s="4">
        <v>46143</v>
      </c>
      <c r="D548" t="s">
        <v>47</v>
      </c>
      <c r="E548">
        <v>47</v>
      </c>
      <c r="F548" t="s">
        <v>43</v>
      </c>
      <c r="G548" t="s">
        <v>34</v>
      </c>
      <c r="H548" t="s">
        <v>44</v>
      </c>
      <c r="I548" t="s">
        <v>54</v>
      </c>
      <c r="J548">
        <v>24</v>
      </c>
      <c r="K548" s="5">
        <v>76.08</v>
      </c>
      <c r="L548" s="5">
        <v>93.03</v>
      </c>
      <c r="M548">
        <v>32</v>
      </c>
      <c r="N548">
        <v>23</v>
      </c>
      <c r="O548">
        <v>1</v>
      </c>
      <c r="P548">
        <v>4</v>
      </c>
      <c r="Q548">
        <v>20</v>
      </c>
      <c r="R548">
        <v>0</v>
      </c>
      <c r="S548">
        <v>3</v>
      </c>
      <c r="T548">
        <v>1</v>
      </c>
      <c r="U548">
        <v>0</v>
      </c>
      <c r="V548">
        <v>1</v>
      </c>
      <c r="W548" t="s">
        <v>37</v>
      </c>
      <c r="X548">
        <v>11</v>
      </c>
      <c r="Y548">
        <v>1</v>
      </c>
      <c r="Z548">
        <f t="shared" si="48"/>
        <v>83</v>
      </c>
      <c r="AA548">
        <f t="shared" si="49"/>
        <v>0.96296296296296291</v>
      </c>
      <c r="AB548">
        <f t="shared" si="50"/>
        <v>49</v>
      </c>
      <c r="AC548" t="str">
        <f t="shared" si="51"/>
        <v>Medium</v>
      </c>
      <c r="AD548" t="str">
        <f t="shared" si="52"/>
        <v>Nudge core feature adoption</v>
      </c>
      <c r="AE548">
        <f t="shared" si="53"/>
        <v>17</v>
      </c>
    </row>
    <row r="549" spans="1:31" x14ac:dyDescent="0.35">
      <c r="A549" t="s">
        <v>607</v>
      </c>
      <c r="B549" s="4">
        <v>45697</v>
      </c>
      <c r="C549" s="4">
        <v>46143</v>
      </c>
      <c r="D549" t="s">
        <v>60</v>
      </c>
      <c r="E549">
        <v>61</v>
      </c>
      <c r="F549" t="s">
        <v>77</v>
      </c>
      <c r="G549" t="s">
        <v>34</v>
      </c>
      <c r="H549" t="s">
        <v>58</v>
      </c>
      <c r="I549" t="s">
        <v>36</v>
      </c>
      <c r="J549">
        <v>14</v>
      </c>
      <c r="K549" s="5">
        <v>2175.08</v>
      </c>
      <c r="L549" s="5">
        <v>13666.46</v>
      </c>
      <c r="M549">
        <v>22</v>
      </c>
      <c r="N549">
        <v>10</v>
      </c>
      <c r="O549">
        <v>1</v>
      </c>
      <c r="P549">
        <v>4</v>
      </c>
      <c r="Q549">
        <v>23</v>
      </c>
      <c r="R549">
        <v>1</v>
      </c>
      <c r="S549">
        <v>1</v>
      </c>
      <c r="T549">
        <v>0</v>
      </c>
      <c r="U549">
        <v>1</v>
      </c>
      <c r="V549">
        <v>1</v>
      </c>
      <c r="W549" t="s">
        <v>45</v>
      </c>
      <c r="X549">
        <v>52</v>
      </c>
      <c r="Y549">
        <v>0</v>
      </c>
      <c r="Z549">
        <f t="shared" si="48"/>
        <v>74</v>
      </c>
      <c r="AA549">
        <f t="shared" si="49"/>
        <v>1.0227272727272727</v>
      </c>
      <c r="AB549">
        <f t="shared" si="50"/>
        <v>0</v>
      </c>
      <c r="AC549" t="str">
        <f t="shared" si="51"/>
        <v>Low</v>
      </c>
      <c r="AD549" t="str">
        <f t="shared" si="52"/>
        <v>Upsell premium bundle</v>
      </c>
      <c r="AE549">
        <f t="shared" si="53"/>
        <v>26</v>
      </c>
    </row>
    <row r="550" spans="1:31" x14ac:dyDescent="0.35">
      <c r="A550" t="s">
        <v>608</v>
      </c>
      <c r="B550" s="4">
        <v>45176</v>
      </c>
      <c r="C550" s="4">
        <v>46143</v>
      </c>
      <c r="D550" t="s">
        <v>72</v>
      </c>
      <c r="E550">
        <v>70</v>
      </c>
      <c r="F550" t="s">
        <v>33</v>
      </c>
      <c r="G550" t="s">
        <v>48</v>
      </c>
      <c r="H550" t="s">
        <v>41</v>
      </c>
      <c r="I550" t="s">
        <v>36</v>
      </c>
      <c r="J550">
        <v>32</v>
      </c>
      <c r="K550" s="5">
        <v>735.91</v>
      </c>
      <c r="L550" s="5">
        <v>75.47</v>
      </c>
      <c r="M550">
        <v>17</v>
      </c>
      <c r="N550">
        <v>6</v>
      </c>
      <c r="O550">
        <v>1</v>
      </c>
      <c r="P550">
        <v>0</v>
      </c>
      <c r="Q550">
        <v>14</v>
      </c>
      <c r="R550">
        <v>1</v>
      </c>
      <c r="S550">
        <v>3</v>
      </c>
      <c r="T550">
        <v>1</v>
      </c>
      <c r="U550">
        <v>0</v>
      </c>
      <c r="V550">
        <v>0</v>
      </c>
      <c r="W550" t="s">
        <v>50</v>
      </c>
      <c r="X550">
        <v>0</v>
      </c>
      <c r="Y550">
        <v>1</v>
      </c>
      <c r="Z550">
        <f t="shared" si="48"/>
        <v>37</v>
      </c>
      <c r="AA550">
        <f t="shared" si="49"/>
        <v>0.5</v>
      </c>
      <c r="AB550">
        <f t="shared" si="50"/>
        <v>66</v>
      </c>
      <c r="AC550" t="str">
        <f t="shared" si="51"/>
        <v>Medium</v>
      </c>
      <c r="AD550" t="str">
        <f t="shared" si="52"/>
        <v>Nudge core feature adoption</v>
      </c>
      <c r="AE550">
        <f t="shared" si="53"/>
        <v>63</v>
      </c>
    </row>
    <row r="551" spans="1:31" x14ac:dyDescent="0.35">
      <c r="A551" t="s">
        <v>609</v>
      </c>
      <c r="B551" s="4">
        <v>45450</v>
      </c>
      <c r="C551" s="4">
        <v>46143</v>
      </c>
      <c r="D551" t="s">
        <v>72</v>
      </c>
      <c r="E551">
        <v>36</v>
      </c>
      <c r="F551" t="s">
        <v>43</v>
      </c>
      <c r="G551" t="s">
        <v>40</v>
      </c>
      <c r="H551" t="s">
        <v>41</v>
      </c>
      <c r="I551" t="s">
        <v>36</v>
      </c>
      <c r="J551">
        <v>23</v>
      </c>
      <c r="K551" s="5">
        <v>0</v>
      </c>
      <c r="L551" s="5">
        <v>79.69</v>
      </c>
      <c r="M551">
        <v>23</v>
      </c>
      <c r="N551">
        <v>16</v>
      </c>
      <c r="O551">
        <v>3</v>
      </c>
      <c r="P551">
        <v>3</v>
      </c>
      <c r="Q551">
        <v>9</v>
      </c>
      <c r="R551">
        <v>1</v>
      </c>
      <c r="S551">
        <v>2</v>
      </c>
      <c r="T551">
        <v>1</v>
      </c>
      <c r="U551">
        <v>0</v>
      </c>
      <c r="V551">
        <v>0</v>
      </c>
      <c r="W551" t="s">
        <v>37</v>
      </c>
      <c r="X551">
        <v>16</v>
      </c>
      <c r="Y551">
        <v>1</v>
      </c>
      <c r="Z551">
        <f t="shared" si="48"/>
        <v>52</v>
      </c>
      <c r="AA551">
        <f t="shared" si="49"/>
        <v>0.60377358490566035</v>
      </c>
      <c r="AB551">
        <f t="shared" si="50"/>
        <v>44</v>
      </c>
      <c r="AC551" t="str">
        <f t="shared" si="51"/>
        <v>Medium</v>
      </c>
      <c r="AD551" t="str">
        <f t="shared" si="52"/>
        <v>Nudge core feature adoption</v>
      </c>
      <c r="AE551">
        <f t="shared" si="53"/>
        <v>48</v>
      </c>
    </row>
    <row r="552" spans="1:31" x14ac:dyDescent="0.35">
      <c r="A552" t="s">
        <v>610</v>
      </c>
      <c r="B552" s="4">
        <v>45741</v>
      </c>
      <c r="C552" s="4">
        <v>46143</v>
      </c>
      <c r="D552" t="s">
        <v>72</v>
      </c>
      <c r="E552">
        <v>60</v>
      </c>
      <c r="F552" t="s">
        <v>43</v>
      </c>
      <c r="G552" t="s">
        <v>40</v>
      </c>
      <c r="H552" t="s">
        <v>44</v>
      </c>
      <c r="I552" t="s">
        <v>36</v>
      </c>
      <c r="J552">
        <v>13</v>
      </c>
      <c r="K552" s="5">
        <v>75.430000000000007</v>
      </c>
      <c r="L552" s="5">
        <v>65.64</v>
      </c>
      <c r="M552">
        <v>30</v>
      </c>
      <c r="N552">
        <v>18</v>
      </c>
      <c r="O552">
        <v>2</v>
      </c>
      <c r="P552">
        <v>1</v>
      </c>
      <c r="Q552">
        <v>9</v>
      </c>
      <c r="R552">
        <v>1</v>
      </c>
      <c r="S552">
        <v>3</v>
      </c>
      <c r="T552">
        <v>1</v>
      </c>
      <c r="U552">
        <v>1</v>
      </c>
      <c r="V552">
        <v>1</v>
      </c>
      <c r="W552" t="s">
        <v>55</v>
      </c>
      <c r="X552">
        <v>5</v>
      </c>
      <c r="Y552">
        <v>1</v>
      </c>
      <c r="Z552">
        <f t="shared" si="48"/>
        <v>73</v>
      </c>
      <c r="AA552">
        <f t="shared" si="49"/>
        <v>0.90697674418604646</v>
      </c>
      <c r="AB552">
        <f t="shared" si="50"/>
        <v>39</v>
      </c>
      <c r="AC552" t="str">
        <f t="shared" si="51"/>
        <v>Low</v>
      </c>
      <c r="AD552" t="str">
        <f t="shared" si="52"/>
        <v>Upsell premium bundle</v>
      </c>
      <c r="AE552">
        <f t="shared" si="53"/>
        <v>27</v>
      </c>
    </row>
    <row r="553" spans="1:31" x14ac:dyDescent="0.35">
      <c r="A553" t="s">
        <v>611</v>
      </c>
      <c r="B553" s="4">
        <v>45113</v>
      </c>
      <c r="C553" s="4">
        <v>46143</v>
      </c>
      <c r="D553" t="s">
        <v>66</v>
      </c>
      <c r="E553">
        <v>20</v>
      </c>
      <c r="F553" t="s">
        <v>57</v>
      </c>
      <c r="G553" t="s">
        <v>40</v>
      </c>
      <c r="H553" t="s">
        <v>44</v>
      </c>
      <c r="I553" t="s">
        <v>36</v>
      </c>
      <c r="J553">
        <v>34</v>
      </c>
      <c r="K553" s="5">
        <v>1452.96</v>
      </c>
      <c r="L553" s="5">
        <v>626.52</v>
      </c>
      <c r="M553">
        <v>40</v>
      </c>
      <c r="N553">
        <v>20</v>
      </c>
      <c r="O553">
        <v>11</v>
      </c>
      <c r="P553">
        <v>6</v>
      </c>
      <c r="Q553">
        <v>14</v>
      </c>
      <c r="R553">
        <v>2</v>
      </c>
      <c r="S553">
        <v>0</v>
      </c>
      <c r="T553">
        <v>1</v>
      </c>
      <c r="U553">
        <v>0</v>
      </c>
      <c r="V553">
        <v>1</v>
      </c>
      <c r="W553" t="s">
        <v>37</v>
      </c>
      <c r="X553">
        <v>30</v>
      </c>
      <c r="Y553">
        <v>0</v>
      </c>
      <c r="Z553">
        <f t="shared" si="48"/>
        <v>99</v>
      </c>
      <c r="AA553">
        <f t="shared" si="49"/>
        <v>0.84375</v>
      </c>
      <c r="AB553">
        <f t="shared" si="50"/>
        <v>0</v>
      </c>
      <c r="AC553" t="str">
        <f t="shared" si="51"/>
        <v>Low</v>
      </c>
      <c r="AD553" t="str">
        <f t="shared" si="52"/>
        <v>Upsell premium bundle</v>
      </c>
      <c r="AE553">
        <f t="shared" si="53"/>
        <v>1</v>
      </c>
    </row>
    <row r="554" spans="1:31" x14ac:dyDescent="0.35">
      <c r="A554" t="s">
        <v>612</v>
      </c>
      <c r="B554" s="4">
        <v>45323</v>
      </c>
      <c r="C554" s="4">
        <v>46143</v>
      </c>
      <c r="D554" t="s">
        <v>47</v>
      </c>
      <c r="E554">
        <v>27</v>
      </c>
      <c r="F554" t="s">
        <v>57</v>
      </c>
      <c r="G554" t="s">
        <v>63</v>
      </c>
      <c r="H554" t="s">
        <v>44</v>
      </c>
      <c r="I554" t="s">
        <v>36</v>
      </c>
      <c r="J554">
        <v>27</v>
      </c>
      <c r="K554" s="5">
        <v>1306.6400000000001</v>
      </c>
      <c r="L554" s="5">
        <v>795.71</v>
      </c>
      <c r="M554">
        <v>43</v>
      </c>
      <c r="N554">
        <v>28</v>
      </c>
      <c r="O554">
        <v>9</v>
      </c>
      <c r="P554">
        <v>1</v>
      </c>
      <c r="Q554">
        <v>23</v>
      </c>
      <c r="R554">
        <v>0</v>
      </c>
      <c r="S554">
        <v>0</v>
      </c>
      <c r="T554">
        <v>1</v>
      </c>
      <c r="U554">
        <v>1</v>
      </c>
      <c r="V554">
        <v>0</v>
      </c>
      <c r="W554" t="s">
        <v>45</v>
      </c>
      <c r="X554">
        <v>77</v>
      </c>
      <c r="Y554">
        <v>0</v>
      </c>
      <c r="Z554">
        <f t="shared" si="48"/>
        <v>100</v>
      </c>
      <c r="AA554">
        <f t="shared" si="49"/>
        <v>1.1578947368421053</v>
      </c>
      <c r="AB554">
        <f t="shared" si="50"/>
        <v>0</v>
      </c>
      <c r="AC554" t="str">
        <f t="shared" si="51"/>
        <v>Low</v>
      </c>
      <c r="AD554" t="str">
        <f t="shared" si="52"/>
        <v>Upsell premium bundle</v>
      </c>
      <c r="AE554">
        <f t="shared" si="53"/>
        <v>0</v>
      </c>
    </row>
    <row r="555" spans="1:31" x14ac:dyDescent="0.35">
      <c r="A555" t="s">
        <v>613</v>
      </c>
      <c r="B555" s="4">
        <v>45770</v>
      </c>
      <c r="C555" s="4">
        <v>46143</v>
      </c>
      <c r="D555" t="s">
        <v>72</v>
      </c>
      <c r="E555">
        <v>38</v>
      </c>
      <c r="F555" t="s">
        <v>43</v>
      </c>
      <c r="G555" t="s">
        <v>40</v>
      </c>
      <c r="H555" t="s">
        <v>41</v>
      </c>
      <c r="I555" t="s">
        <v>36</v>
      </c>
      <c r="J555">
        <v>12</v>
      </c>
      <c r="K555" s="5">
        <v>166</v>
      </c>
      <c r="L555" s="5">
        <v>98.18</v>
      </c>
      <c r="M555">
        <v>31</v>
      </c>
      <c r="N555">
        <v>12</v>
      </c>
      <c r="O555">
        <v>9</v>
      </c>
      <c r="P555">
        <v>6</v>
      </c>
      <c r="Q555">
        <v>24</v>
      </c>
      <c r="R555">
        <v>1</v>
      </c>
      <c r="S555">
        <v>0</v>
      </c>
      <c r="T555">
        <v>0</v>
      </c>
      <c r="U555">
        <v>0</v>
      </c>
      <c r="V555">
        <v>0</v>
      </c>
      <c r="W555" t="s">
        <v>55</v>
      </c>
      <c r="X555">
        <v>66</v>
      </c>
      <c r="Y555">
        <v>0</v>
      </c>
      <c r="Z555">
        <f t="shared" si="48"/>
        <v>83</v>
      </c>
      <c r="AA555">
        <f t="shared" si="49"/>
        <v>1.3095238095238095</v>
      </c>
      <c r="AB555">
        <f t="shared" si="50"/>
        <v>0</v>
      </c>
      <c r="AC555" t="str">
        <f t="shared" si="51"/>
        <v>Low</v>
      </c>
      <c r="AD555" t="str">
        <f t="shared" si="52"/>
        <v>Upsell premium bundle</v>
      </c>
      <c r="AE555">
        <f t="shared" si="53"/>
        <v>17</v>
      </c>
    </row>
    <row r="556" spans="1:31" x14ac:dyDescent="0.35">
      <c r="A556" t="s">
        <v>614</v>
      </c>
      <c r="B556" s="4">
        <v>44868</v>
      </c>
      <c r="C556" s="4">
        <v>46143</v>
      </c>
      <c r="D556" t="s">
        <v>72</v>
      </c>
      <c r="E556">
        <v>51</v>
      </c>
      <c r="F556" t="s">
        <v>33</v>
      </c>
      <c r="G556" t="s">
        <v>67</v>
      </c>
      <c r="H556" t="s">
        <v>58</v>
      </c>
      <c r="I556" t="s">
        <v>54</v>
      </c>
      <c r="J556">
        <v>42</v>
      </c>
      <c r="K556" s="5">
        <v>342.59</v>
      </c>
      <c r="L556" s="5">
        <v>404.8</v>
      </c>
      <c r="M556">
        <v>19</v>
      </c>
      <c r="N556">
        <v>6</v>
      </c>
      <c r="O556">
        <v>3</v>
      </c>
      <c r="P556">
        <v>0</v>
      </c>
      <c r="Q556">
        <v>17</v>
      </c>
      <c r="R556">
        <v>1</v>
      </c>
      <c r="S556">
        <v>0</v>
      </c>
      <c r="T556">
        <v>0</v>
      </c>
      <c r="U556">
        <v>0</v>
      </c>
      <c r="V556">
        <v>1</v>
      </c>
      <c r="W556" t="s">
        <v>45</v>
      </c>
      <c r="X556">
        <v>31</v>
      </c>
      <c r="Y556">
        <v>0</v>
      </c>
      <c r="Z556">
        <f t="shared" si="48"/>
        <v>51</v>
      </c>
      <c r="AA556">
        <f t="shared" si="49"/>
        <v>0.5</v>
      </c>
      <c r="AB556">
        <f t="shared" si="50"/>
        <v>27</v>
      </c>
      <c r="AC556" t="str">
        <f t="shared" si="51"/>
        <v>Low</v>
      </c>
      <c r="AD556" t="str">
        <f t="shared" si="52"/>
        <v>Upsell premium bundle</v>
      </c>
      <c r="AE556">
        <f t="shared" si="53"/>
        <v>49</v>
      </c>
    </row>
    <row r="557" spans="1:31" x14ac:dyDescent="0.35">
      <c r="A557" t="s">
        <v>615</v>
      </c>
      <c r="B557" s="4">
        <v>45516</v>
      </c>
      <c r="C557" s="4">
        <v>46143</v>
      </c>
      <c r="D557" t="s">
        <v>39</v>
      </c>
      <c r="E557">
        <v>18</v>
      </c>
      <c r="F557" t="s">
        <v>57</v>
      </c>
      <c r="G557" t="s">
        <v>85</v>
      </c>
      <c r="H557" t="s">
        <v>58</v>
      </c>
      <c r="I557" t="s">
        <v>36</v>
      </c>
      <c r="J557">
        <v>20</v>
      </c>
      <c r="K557" s="5">
        <v>800.33</v>
      </c>
      <c r="L557" s="5">
        <v>709.05</v>
      </c>
      <c r="M557">
        <v>17</v>
      </c>
      <c r="N557">
        <v>9</v>
      </c>
      <c r="O557">
        <v>4</v>
      </c>
      <c r="P557">
        <v>1</v>
      </c>
      <c r="Q557">
        <v>26</v>
      </c>
      <c r="R557">
        <v>0</v>
      </c>
      <c r="S557">
        <v>0</v>
      </c>
      <c r="T557">
        <v>0</v>
      </c>
      <c r="U557">
        <v>0</v>
      </c>
      <c r="V557">
        <v>1</v>
      </c>
      <c r="W557" t="s">
        <v>52</v>
      </c>
      <c r="X557">
        <v>19</v>
      </c>
      <c r="Y557">
        <v>0</v>
      </c>
      <c r="Z557">
        <f t="shared" si="48"/>
        <v>62</v>
      </c>
      <c r="AA557">
        <f t="shared" si="49"/>
        <v>0.86</v>
      </c>
      <c r="AB557">
        <f t="shared" si="50"/>
        <v>14</v>
      </c>
      <c r="AC557" t="str">
        <f t="shared" si="51"/>
        <v>Low</v>
      </c>
      <c r="AD557" t="str">
        <f t="shared" si="52"/>
        <v>Upsell premium bundle</v>
      </c>
      <c r="AE557">
        <f t="shared" si="53"/>
        <v>38</v>
      </c>
    </row>
    <row r="558" spans="1:31" x14ac:dyDescent="0.35">
      <c r="A558" t="s">
        <v>616</v>
      </c>
      <c r="B558" s="4">
        <v>45002</v>
      </c>
      <c r="C558" s="4">
        <v>46143</v>
      </c>
      <c r="D558" t="s">
        <v>47</v>
      </c>
      <c r="E558">
        <v>18</v>
      </c>
      <c r="F558" t="s">
        <v>57</v>
      </c>
      <c r="G558" t="s">
        <v>48</v>
      </c>
      <c r="H558" t="s">
        <v>44</v>
      </c>
      <c r="I558" t="s">
        <v>36</v>
      </c>
      <c r="J558">
        <v>38</v>
      </c>
      <c r="K558" s="5">
        <v>1576.64</v>
      </c>
      <c r="L558" s="5">
        <v>670.43</v>
      </c>
      <c r="M558">
        <v>26</v>
      </c>
      <c r="N558">
        <v>14</v>
      </c>
      <c r="O558">
        <v>7</v>
      </c>
      <c r="P558">
        <v>2</v>
      </c>
      <c r="Q558">
        <v>25</v>
      </c>
      <c r="R558">
        <v>0</v>
      </c>
      <c r="S558">
        <v>0</v>
      </c>
      <c r="T558">
        <v>0</v>
      </c>
      <c r="U558">
        <v>1</v>
      </c>
      <c r="V558">
        <v>1</v>
      </c>
      <c r="W558" t="s">
        <v>55</v>
      </c>
      <c r="X558">
        <v>49</v>
      </c>
      <c r="Y558">
        <v>0</v>
      </c>
      <c r="Z558">
        <f t="shared" si="48"/>
        <v>87</v>
      </c>
      <c r="AA558">
        <f t="shared" si="49"/>
        <v>0.75</v>
      </c>
      <c r="AB558">
        <f t="shared" si="50"/>
        <v>0</v>
      </c>
      <c r="AC558" t="str">
        <f t="shared" si="51"/>
        <v>Low</v>
      </c>
      <c r="AD558" t="str">
        <f t="shared" si="52"/>
        <v>Upsell premium bundle</v>
      </c>
      <c r="AE558">
        <f t="shared" si="53"/>
        <v>13</v>
      </c>
    </row>
    <row r="559" spans="1:31" x14ac:dyDescent="0.35">
      <c r="A559" t="s">
        <v>617</v>
      </c>
      <c r="B559" s="4">
        <v>45738</v>
      </c>
      <c r="C559" s="4">
        <v>46143</v>
      </c>
      <c r="D559" t="s">
        <v>66</v>
      </c>
      <c r="E559">
        <v>62</v>
      </c>
      <c r="F559" t="s">
        <v>77</v>
      </c>
      <c r="G559" t="s">
        <v>63</v>
      </c>
      <c r="H559" t="s">
        <v>41</v>
      </c>
      <c r="I559" t="s">
        <v>36</v>
      </c>
      <c r="J559">
        <v>13</v>
      </c>
      <c r="K559" s="5">
        <v>12327.24</v>
      </c>
      <c r="L559" s="5">
        <v>8860.18</v>
      </c>
      <c r="M559">
        <v>10</v>
      </c>
      <c r="N559">
        <v>2</v>
      </c>
      <c r="O559">
        <v>0</v>
      </c>
      <c r="P559">
        <v>1</v>
      </c>
      <c r="Q559">
        <v>10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52</v>
      </c>
      <c r="X559">
        <v>44</v>
      </c>
      <c r="Y559">
        <v>0</v>
      </c>
      <c r="Z559">
        <f t="shared" si="48"/>
        <v>23</v>
      </c>
      <c r="AA559">
        <f t="shared" si="49"/>
        <v>0.46511627906976744</v>
      </c>
      <c r="AB559">
        <f t="shared" si="50"/>
        <v>17</v>
      </c>
      <c r="AC559" t="str">
        <f t="shared" si="51"/>
        <v>Low</v>
      </c>
      <c r="AD559" t="str">
        <f t="shared" si="52"/>
        <v>Upsell premium bundle</v>
      </c>
      <c r="AE559">
        <f t="shared" si="53"/>
        <v>77</v>
      </c>
    </row>
    <row r="560" spans="1:31" x14ac:dyDescent="0.35">
      <c r="A560" t="s">
        <v>618</v>
      </c>
      <c r="B560" s="4">
        <v>45769</v>
      </c>
      <c r="C560" s="4">
        <v>46143</v>
      </c>
      <c r="D560" t="s">
        <v>32</v>
      </c>
      <c r="E560">
        <v>49</v>
      </c>
      <c r="F560" t="s">
        <v>61</v>
      </c>
      <c r="G560" t="s">
        <v>48</v>
      </c>
      <c r="H560" t="s">
        <v>58</v>
      </c>
      <c r="I560" t="s">
        <v>36</v>
      </c>
      <c r="J560">
        <v>12</v>
      </c>
      <c r="K560" s="5">
        <v>4387.41</v>
      </c>
      <c r="L560" s="5">
        <v>3193.68</v>
      </c>
      <c r="M560">
        <v>24</v>
      </c>
      <c r="N560">
        <v>10</v>
      </c>
      <c r="O560">
        <v>2</v>
      </c>
      <c r="P560">
        <v>1</v>
      </c>
      <c r="Q560">
        <v>21</v>
      </c>
      <c r="R560">
        <v>2</v>
      </c>
      <c r="S560">
        <v>2</v>
      </c>
      <c r="T560">
        <v>1</v>
      </c>
      <c r="U560">
        <v>0</v>
      </c>
      <c r="V560">
        <v>0</v>
      </c>
      <c r="W560" t="s">
        <v>37</v>
      </c>
      <c r="X560">
        <v>-27</v>
      </c>
      <c r="Y560">
        <v>1</v>
      </c>
      <c r="Z560">
        <f t="shared" si="48"/>
        <v>56</v>
      </c>
      <c r="AA560">
        <f t="shared" si="49"/>
        <v>1.0714285714285714</v>
      </c>
      <c r="AB560">
        <f t="shared" si="50"/>
        <v>42</v>
      </c>
      <c r="AC560" t="str">
        <f t="shared" si="51"/>
        <v>Medium</v>
      </c>
      <c r="AD560" t="str">
        <f t="shared" si="52"/>
        <v>Nudge core feature adoption</v>
      </c>
      <c r="AE560">
        <f t="shared" si="53"/>
        <v>44</v>
      </c>
    </row>
    <row r="561" spans="1:31" x14ac:dyDescent="0.35">
      <c r="A561" t="s">
        <v>619</v>
      </c>
      <c r="B561" s="4">
        <v>44864</v>
      </c>
      <c r="C561" s="4">
        <v>46143</v>
      </c>
      <c r="D561" t="s">
        <v>39</v>
      </c>
      <c r="E561">
        <v>18</v>
      </c>
      <c r="F561" t="s">
        <v>61</v>
      </c>
      <c r="G561" t="s">
        <v>85</v>
      </c>
      <c r="H561" t="s">
        <v>58</v>
      </c>
      <c r="I561" t="s">
        <v>49</v>
      </c>
      <c r="J561">
        <v>42</v>
      </c>
      <c r="K561" s="5">
        <v>1827.49</v>
      </c>
      <c r="L561" s="5">
        <v>348.29</v>
      </c>
      <c r="M561">
        <v>29</v>
      </c>
      <c r="N561">
        <v>19</v>
      </c>
      <c r="O561">
        <v>6</v>
      </c>
      <c r="P561">
        <v>4</v>
      </c>
      <c r="Q561">
        <v>31</v>
      </c>
      <c r="R561">
        <v>0</v>
      </c>
      <c r="S561">
        <v>1</v>
      </c>
      <c r="T561">
        <v>0</v>
      </c>
      <c r="U561">
        <v>0</v>
      </c>
      <c r="V561">
        <v>0</v>
      </c>
      <c r="W561" t="s">
        <v>55</v>
      </c>
      <c r="X561">
        <v>43</v>
      </c>
      <c r="Y561">
        <v>0</v>
      </c>
      <c r="Z561">
        <f t="shared" si="48"/>
        <v>86</v>
      </c>
      <c r="AA561">
        <f t="shared" si="49"/>
        <v>0.83333333333333337</v>
      </c>
      <c r="AB561">
        <f t="shared" si="50"/>
        <v>16</v>
      </c>
      <c r="AC561" t="str">
        <f t="shared" si="51"/>
        <v>Low</v>
      </c>
      <c r="AD561" t="str">
        <f t="shared" si="52"/>
        <v>Upsell premium bundle</v>
      </c>
      <c r="AE561">
        <f t="shared" si="53"/>
        <v>14</v>
      </c>
    </row>
    <row r="562" spans="1:31" x14ac:dyDescent="0.35">
      <c r="A562" t="s">
        <v>620</v>
      </c>
      <c r="B562" s="4">
        <v>45319</v>
      </c>
      <c r="C562" s="4">
        <v>46143</v>
      </c>
      <c r="D562" t="s">
        <v>39</v>
      </c>
      <c r="E562">
        <v>37</v>
      </c>
      <c r="F562" t="s">
        <v>33</v>
      </c>
      <c r="G562" t="s">
        <v>40</v>
      </c>
      <c r="H562" t="s">
        <v>41</v>
      </c>
      <c r="I562" t="s">
        <v>54</v>
      </c>
      <c r="J562">
        <v>27</v>
      </c>
      <c r="K562" s="5">
        <v>209.94</v>
      </c>
      <c r="L562" s="5">
        <v>538.55999999999995</v>
      </c>
      <c r="M562">
        <v>12</v>
      </c>
      <c r="N562">
        <v>8</v>
      </c>
      <c r="O562">
        <v>3</v>
      </c>
      <c r="P562">
        <v>2</v>
      </c>
      <c r="Q562">
        <v>7</v>
      </c>
      <c r="R562">
        <v>0</v>
      </c>
      <c r="S562">
        <v>1</v>
      </c>
      <c r="T562">
        <v>1</v>
      </c>
      <c r="U562">
        <v>0</v>
      </c>
      <c r="V562">
        <v>1</v>
      </c>
      <c r="W562" t="s">
        <v>45</v>
      </c>
      <c r="X562">
        <v>-37</v>
      </c>
      <c r="Y562">
        <v>1</v>
      </c>
      <c r="Z562">
        <f t="shared" si="48"/>
        <v>39</v>
      </c>
      <c r="AA562">
        <f t="shared" si="49"/>
        <v>0.33333333333333331</v>
      </c>
      <c r="AB562">
        <f t="shared" si="50"/>
        <v>85</v>
      </c>
      <c r="AC562" t="str">
        <f t="shared" si="51"/>
        <v>High</v>
      </c>
      <c r="AD562" t="str">
        <f t="shared" si="52"/>
        <v>Retention call</v>
      </c>
      <c r="AE562">
        <f t="shared" si="53"/>
        <v>61</v>
      </c>
    </row>
    <row r="563" spans="1:31" x14ac:dyDescent="0.35">
      <c r="A563" t="s">
        <v>621</v>
      </c>
      <c r="B563" s="4">
        <v>45569</v>
      </c>
      <c r="C563" s="4">
        <v>46143</v>
      </c>
      <c r="D563" t="s">
        <v>32</v>
      </c>
      <c r="E563">
        <v>53</v>
      </c>
      <c r="F563" t="s">
        <v>33</v>
      </c>
      <c r="G563" t="s">
        <v>67</v>
      </c>
      <c r="H563" t="s">
        <v>58</v>
      </c>
      <c r="I563" t="s">
        <v>36</v>
      </c>
      <c r="J563">
        <v>19</v>
      </c>
      <c r="K563" s="5">
        <v>160.09</v>
      </c>
      <c r="L563" s="5">
        <v>123.58</v>
      </c>
      <c r="M563">
        <v>22</v>
      </c>
      <c r="N563">
        <v>9</v>
      </c>
      <c r="O563">
        <v>4</v>
      </c>
      <c r="P563">
        <v>4</v>
      </c>
      <c r="Q563">
        <v>11</v>
      </c>
      <c r="R563">
        <v>2</v>
      </c>
      <c r="S563">
        <v>1</v>
      </c>
      <c r="T563">
        <v>0</v>
      </c>
      <c r="U563">
        <v>0</v>
      </c>
      <c r="V563">
        <v>0</v>
      </c>
      <c r="W563" t="s">
        <v>45</v>
      </c>
      <c r="X563">
        <v>6</v>
      </c>
      <c r="Y563">
        <v>1</v>
      </c>
      <c r="Z563">
        <f t="shared" si="48"/>
        <v>51</v>
      </c>
      <c r="AA563">
        <f t="shared" si="49"/>
        <v>0.67346938775510201</v>
      </c>
      <c r="AB563">
        <f t="shared" si="50"/>
        <v>30</v>
      </c>
      <c r="AC563" t="str">
        <f t="shared" si="51"/>
        <v>Low</v>
      </c>
      <c r="AD563" t="str">
        <f t="shared" si="52"/>
        <v>Upsell premium bundle</v>
      </c>
      <c r="AE563">
        <f t="shared" si="53"/>
        <v>49</v>
      </c>
    </row>
    <row r="564" spans="1:31" x14ac:dyDescent="0.35">
      <c r="A564" t="s">
        <v>622</v>
      </c>
      <c r="B564" s="4">
        <v>45200</v>
      </c>
      <c r="C564" s="4">
        <v>46143</v>
      </c>
      <c r="D564" t="s">
        <v>66</v>
      </c>
      <c r="E564">
        <v>42</v>
      </c>
      <c r="F564" t="s">
        <v>57</v>
      </c>
      <c r="G564" t="s">
        <v>85</v>
      </c>
      <c r="H564" t="s">
        <v>35</v>
      </c>
      <c r="I564" t="s">
        <v>49</v>
      </c>
      <c r="J564">
        <v>31</v>
      </c>
      <c r="K564" s="5">
        <v>263.12</v>
      </c>
      <c r="L564" s="5">
        <v>419.84</v>
      </c>
      <c r="M564">
        <v>23</v>
      </c>
      <c r="N564">
        <v>5</v>
      </c>
      <c r="O564">
        <v>5</v>
      </c>
      <c r="P564">
        <v>3</v>
      </c>
      <c r="Q564">
        <v>16</v>
      </c>
      <c r="R564">
        <v>0</v>
      </c>
      <c r="S564">
        <v>0</v>
      </c>
      <c r="T564">
        <v>0</v>
      </c>
      <c r="U564">
        <v>1</v>
      </c>
      <c r="V564">
        <v>0</v>
      </c>
      <c r="W564" t="s">
        <v>37</v>
      </c>
      <c r="X564">
        <v>-28</v>
      </c>
      <c r="Y564">
        <v>0</v>
      </c>
      <c r="Z564">
        <f t="shared" si="48"/>
        <v>61</v>
      </c>
      <c r="AA564">
        <f t="shared" si="49"/>
        <v>0.63934426229508201</v>
      </c>
      <c r="AB564">
        <f t="shared" si="50"/>
        <v>54</v>
      </c>
      <c r="AC564" t="str">
        <f t="shared" si="51"/>
        <v>Medium</v>
      </c>
      <c r="AD564" t="str">
        <f t="shared" si="52"/>
        <v>Nudge core feature adoption</v>
      </c>
      <c r="AE564">
        <f t="shared" si="53"/>
        <v>39</v>
      </c>
    </row>
    <row r="565" spans="1:31" x14ac:dyDescent="0.35">
      <c r="A565" t="s">
        <v>623</v>
      </c>
      <c r="B565" s="4">
        <v>45808</v>
      </c>
      <c r="C565" s="4">
        <v>46143</v>
      </c>
      <c r="D565" t="s">
        <v>60</v>
      </c>
      <c r="E565">
        <v>44</v>
      </c>
      <c r="F565" t="s">
        <v>43</v>
      </c>
      <c r="G565" t="s">
        <v>67</v>
      </c>
      <c r="H565" t="s">
        <v>41</v>
      </c>
      <c r="I565" t="s">
        <v>36</v>
      </c>
      <c r="J565">
        <v>11</v>
      </c>
      <c r="K565" s="5">
        <v>146.66999999999999</v>
      </c>
      <c r="L565" s="5">
        <v>27.08</v>
      </c>
      <c r="M565">
        <v>29</v>
      </c>
      <c r="N565">
        <v>9</v>
      </c>
      <c r="O565">
        <v>6</v>
      </c>
      <c r="P565">
        <v>1</v>
      </c>
      <c r="Q565">
        <v>16</v>
      </c>
      <c r="R565">
        <v>0</v>
      </c>
      <c r="S565">
        <v>0</v>
      </c>
      <c r="T565">
        <v>1</v>
      </c>
      <c r="U565">
        <v>0</v>
      </c>
      <c r="V565">
        <v>0</v>
      </c>
      <c r="W565" t="s">
        <v>55</v>
      </c>
      <c r="X565">
        <v>8</v>
      </c>
      <c r="Y565">
        <v>0</v>
      </c>
      <c r="Z565">
        <f t="shared" si="48"/>
        <v>61</v>
      </c>
      <c r="AA565">
        <f t="shared" si="49"/>
        <v>1.0975609756097562</v>
      </c>
      <c r="AB565">
        <f t="shared" si="50"/>
        <v>30</v>
      </c>
      <c r="AC565" t="str">
        <f t="shared" si="51"/>
        <v>Low</v>
      </c>
      <c r="AD565" t="str">
        <f t="shared" si="52"/>
        <v>Upsell premium bundle</v>
      </c>
      <c r="AE565">
        <f t="shared" si="53"/>
        <v>39</v>
      </c>
    </row>
    <row r="566" spans="1:31" x14ac:dyDescent="0.35">
      <c r="A566" t="s">
        <v>624</v>
      </c>
      <c r="B566" s="4">
        <v>45175</v>
      </c>
      <c r="C566" s="4">
        <v>46143</v>
      </c>
      <c r="D566" t="s">
        <v>32</v>
      </c>
      <c r="E566">
        <v>68</v>
      </c>
      <c r="F566" t="s">
        <v>61</v>
      </c>
      <c r="G566" t="s">
        <v>48</v>
      </c>
      <c r="H566" t="s">
        <v>44</v>
      </c>
      <c r="I566" t="s">
        <v>36</v>
      </c>
      <c r="J566">
        <v>32</v>
      </c>
      <c r="K566" s="5">
        <v>5185.1499999999996</v>
      </c>
      <c r="L566" s="5">
        <v>4524.04</v>
      </c>
      <c r="M566">
        <v>39</v>
      </c>
      <c r="N566">
        <v>25</v>
      </c>
      <c r="O566">
        <v>2</v>
      </c>
      <c r="P566">
        <v>0</v>
      </c>
      <c r="Q566">
        <v>23</v>
      </c>
      <c r="R566">
        <v>2</v>
      </c>
      <c r="S566">
        <v>0</v>
      </c>
      <c r="T566">
        <v>0</v>
      </c>
      <c r="U566">
        <v>1</v>
      </c>
      <c r="V566">
        <v>1</v>
      </c>
      <c r="W566" t="s">
        <v>50</v>
      </c>
      <c r="X566">
        <v>40</v>
      </c>
      <c r="Y566">
        <v>0</v>
      </c>
      <c r="Z566">
        <f t="shared" si="48"/>
        <v>99</v>
      </c>
      <c r="AA566">
        <f t="shared" si="49"/>
        <v>1</v>
      </c>
      <c r="AB566">
        <f t="shared" si="50"/>
        <v>0</v>
      </c>
      <c r="AC566" t="str">
        <f t="shared" si="51"/>
        <v>Low</v>
      </c>
      <c r="AD566" t="str">
        <f t="shared" si="52"/>
        <v>Upsell premium bundle</v>
      </c>
      <c r="AE566">
        <f t="shared" si="53"/>
        <v>1</v>
      </c>
    </row>
    <row r="567" spans="1:31" x14ac:dyDescent="0.35">
      <c r="A567" t="s">
        <v>625</v>
      </c>
      <c r="B567" s="4">
        <v>45300</v>
      </c>
      <c r="C567" s="4">
        <v>46143</v>
      </c>
      <c r="D567" t="s">
        <v>47</v>
      </c>
      <c r="E567">
        <v>64</v>
      </c>
      <c r="F567" t="s">
        <v>61</v>
      </c>
      <c r="G567" t="s">
        <v>34</v>
      </c>
      <c r="H567" t="s">
        <v>58</v>
      </c>
      <c r="I567" t="s">
        <v>54</v>
      </c>
      <c r="J567">
        <v>28</v>
      </c>
      <c r="K567" s="5">
        <v>220.28</v>
      </c>
      <c r="L567" s="5">
        <v>0</v>
      </c>
      <c r="M567">
        <v>19</v>
      </c>
      <c r="N567">
        <v>12</v>
      </c>
      <c r="O567">
        <v>1</v>
      </c>
      <c r="P567">
        <v>0</v>
      </c>
      <c r="Q567">
        <v>17</v>
      </c>
      <c r="R567">
        <v>0</v>
      </c>
      <c r="S567">
        <v>2</v>
      </c>
      <c r="T567">
        <v>0</v>
      </c>
      <c r="U567">
        <v>0</v>
      </c>
      <c r="V567">
        <v>0</v>
      </c>
      <c r="W567" t="s">
        <v>52</v>
      </c>
      <c r="X567">
        <v>0</v>
      </c>
      <c r="Y567">
        <v>0</v>
      </c>
      <c r="Z567">
        <f t="shared" si="48"/>
        <v>46</v>
      </c>
      <c r="AA567">
        <f t="shared" si="49"/>
        <v>0.62068965517241381</v>
      </c>
      <c r="AB567">
        <f t="shared" si="50"/>
        <v>62</v>
      </c>
      <c r="AC567" t="str">
        <f t="shared" si="51"/>
        <v>Medium</v>
      </c>
      <c r="AD567" t="str">
        <f t="shared" si="52"/>
        <v>Nudge core feature adoption</v>
      </c>
      <c r="AE567">
        <f t="shared" si="53"/>
        <v>54</v>
      </c>
    </row>
    <row r="568" spans="1:31" x14ac:dyDescent="0.35">
      <c r="A568" t="s">
        <v>626</v>
      </c>
      <c r="B568" s="4">
        <v>45964</v>
      </c>
      <c r="C568" s="4">
        <v>46143</v>
      </c>
      <c r="D568" t="s">
        <v>47</v>
      </c>
      <c r="E568">
        <v>43</v>
      </c>
      <c r="F568" t="s">
        <v>33</v>
      </c>
      <c r="G568" t="s">
        <v>34</v>
      </c>
      <c r="H568" t="s">
        <v>41</v>
      </c>
      <c r="I568" t="s">
        <v>36</v>
      </c>
      <c r="J568">
        <v>5</v>
      </c>
      <c r="K568" s="5">
        <v>38.43</v>
      </c>
      <c r="L568" s="5">
        <v>319.05</v>
      </c>
      <c r="M568">
        <v>15</v>
      </c>
      <c r="N568">
        <v>6</v>
      </c>
      <c r="O568">
        <v>2</v>
      </c>
      <c r="P568">
        <v>2</v>
      </c>
      <c r="Q568">
        <v>15</v>
      </c>
      <c r="R568">
        <v>3</v>
      </c>
      <c r="S568">
        <v>2</v>
      </c>
      <c r="T568">
        <v>0</v>
      </c>
      <c r="U568">
        <v>0</v>
      </c>
      <c r="V568">
        <v>1</v>
      </c>
      <c r="W568" t="s">
        <v>50</v>
      </c>
      <c r="X568">
        <v>-44</v>
      </c>
      <c r="Y568">
        <v>1</v>
      </c>
      <c r="Z568">
        <f t="shared" si="48"/>
        <v>46</v>
      </c>
      <c r="AA568">
        <f t="shared" si="49"/>
        <v>0.8571428571428571</v>
      </c>
      <c r="AB568">
        <f t="shared" si="50"/>
        <v>73</v>
      </c>
      <c r="AC568" t="str">
        <f t="shared" si="51"/>
        <v>High</v>
      </c>
      <c r="AD568" t="str">
        <f t="shared" si="52"/>
        <v>Deposit incentive</v>
      </c>
      <c r="AE568">
        <f t="shared" si="53"/>
        <v>54</v>
      </c>
    </row>
    <row r="569" spans="1:31" x14ac:dyDescent="0.35">
      <c r="A569" t="s">
        <v>627</v>
      </c>
      <c r="B569" s="4">
        <v>45087</v>
      </c>
      <c r="C569" s="4">
        <v>46143</v>
      </c>
      <c r="D569" t="s">
        <v>39</v>
      </c>
      <c r="E569">
        <v>69</v>
      </c>
      <c r="F569" t="s">
        <v>57</v>
      </c>
      <c r="G569" t="s">
        <v>40</v>
      </c>
      <c r="H569" t="s">
        <v>41</v>
      </c>
      <c r="I569" t="s">
        <v>36</v>
      </c>
      <c r="J569">
        <v>35</v>
      </c>
      <c r="K569" s="5">
        <v>827.33</v>
      </c>
      <c r="L569" s="5">
        <v>555.96</v>
      </c>
      <c r="M569">
        <v>16</v>
      </c>
      <c r="N569">
        <v>4</v>
      </c>
      <c r="O569">
        <v>2</v>
      </c>
      <c r="P569">
        <v>2</v>
      </c>
      <c r="Q569">
        <v>12</v>
      </c>
      <c r="R569">
        <v>2</v>
      </c>
      <c r="S569">
        <v>1</v>
      </c>
      <c r="T569">
        <v>0</v>
      </c>
      <c r="U569">
        <v>1</v>
      </c>
      <c r="V569">
        <v>0</v>
      </c>
      <c r="W569" t="s">
        <v>45</v>
      </c>
      <c r="X569">
        <v>18</v>
      </c>
      <c r="Y569">
        <v>1</v>
      </c>
      <c r="Z569">
        <f t="shared" si="48"/>
        <v>44</v>
      </c>
      <c r="AA569">
        <f t="shared" si="49"/>
        <v>0.43076923076923079</v>
      </c>
      <c r="AB569">
        <f t="shared" si="50"/>
        <v>36</v>
      </c>
      <c r="AC569" t="str">
        <f t="shared" si="51"/>
        <v>Low</v>
      </c>
      <c r="AD569" t="str">
        <f t="shared" si="52"/>
        <v>Upsell premium bundle</v>
      </c>
      <c r="AE569">
        <f t="shared" si="53"/>
        <v>56</v>
      </c>
    </row>
    <row r="570" spans="1:31" x14ac:dyDescent="0.35">
      <c r="A570" t="s">
        <v>628</v>
      </c>
      <c r="B570" s="4">
        <v>45922</v>
      </c>
      <c r="C570" s="4">
        <v>46143</v>
      </c>
      <c r="D570" t="s">
        <v>39</v>
      </c>
      <c r="E570">
        <v>38</v>
      </c>
      <c r="F570" t="s">
        <v>33</v>
      </c>
      <c r="G570" t="s">
        <v>67</v>
      </c>
      <c r="H570" t="s">
        <v>35</v>
      </c>
      <c r="I570" t="s">
        <v>36</v>
      </c>
      <c r="J570">
        <v>7</v>
      </c>
      <c r="K570" s="5">
        <v>571.63</v>
      </c>
      <c r="L570" s="5">
        <v>286.58999999999997</v>
      </c>
      <c r="M570">
        <v>11</v>
      </c>
      <c r="N570">
        <v>2</v>
      </c>
      <c r="O570">
        <v>2</v>
      </c>
      <c r="P570">
        <v>1</v>
      </c>
      <c r="Q570">
        <v>4</v>
      </c>
      <c r="R570">
        <v>0</v>
      </c>
      <c r="S570">
        <v>1</v>
      </c>
      <c r="T570">
        <v>0</v>
      </c>
      <c r="U570">
        <v>1</v>
      </c>
      <c r="V570">
        <v>1</v>
      </c>
      <c r="W570" t="s">
        <v>52</v>
      </c>
      <c r="X570">
        <v>-3</v>
      </c>
      <c r="Y570">
        <v>1</v>
      </c>
      <c r="Z570">
        <f t="shared" si="48"/>
        <v>36</v>
      </c>
      <c r="AA570">
        <f t="shared" si="49"/>
        <v>0.40540540540540543</v>
      </c>
      <c r="AB570">
        <f t="shared" si="50"/>
        <v>43</v>
      </c>
      <c r="AC570" t="str">
        <f t="shared" si="51"/>
        <v>Medium</v>
      </c>
      <c r="AD570" t="str">
        <f t="shared" si="52"/>
        <v>Nudge core feature adoption</v>
      </c>
      <c r="AE570">
        <f t="shared" si="53"/>
        <v>64</v>
      </c>
    </row>
    <row r="571" spans="1:31" x14ac:dyDescent="0.35">
      <c r="A571" t="s">
        <v>629</v>
      </c>
      <c r="B571" s="4">
        <v>45803</v>
      </c>
      <c r="C571" s="4">
        <v>46143</v>
      </c>
      <c r="D571" t="s">
        <v>47</v>
      </c>
      <c r="E571">
        <v>43</v>
      </c>
      <c r="F571" t="s">
        <v>43</v>
      </c>
      <c r="G571" t="s">
        <v>63</v>
      </c>
      <c r="H571" t="s">
        <v>41</v>
      </c>
      <c r="I571" t="s">
        <v>36</v>
      </c>
      <c r="J571">
        <v>11</v>
      </c>
      <c r="K571" s="5">
        <v>0</v>
      </c>
      <c r="L571" s="5">
        <v>44.15</v>
      </c>
      <c r="M571">
        <v>21</v>
      </c>
      <c r="N571">
        <v>6</v>
      </c>
      <c r="O571">
        <v>3</v>
      </c>
      <c r="P571">
        <v>0</v>
      </c>
      <c r="Q571">
        <v>18</v>
      </c>
      <c r="R571">
        <v>3</v>
      </c>
      <c r="S571">
        <v>1</v>
      </c>
      <c r="T571">
        <v>1</v>
      </c>
      <c r="U571">
        <v>0</v>
      </c>
      <c r="V571">
        <v>0</v>
      </c>
      <c r="W571" t="s">
        <v>50</v>
      </c>
      <c r="X571">
        <v>-10</v>
      </c>
      <c r="Y571">
        <v>1</v>
      </c>
      <c r="Z571">
        <f t="shared" si="48"/>
        <v>47</v>
      </c>
      <c r="AA571">
        <f t="shared" si="49"/>
        <v>0.95121951219512191</v>
      </c>
      <c r="AB571">
        <f t="shared" si="50"/>
        <v>48</v>
      </c>
      <c r="AC571" t="str">
        <f t="shared" si="51"/>
        <v>Medium</v>
      </c>
      <c r="AD571" t="str">
        <f t="shared" si="52"/>
        <v>Nudge core feature adoption</v>
      </c>
      <c r="AE571">
        <f t="shared" si="53"/>
        <v>53</v>
      </c>
    </row>
    <row r="572" spans="1:31" x14ac:dyDescent="0.35">
      <c r="A572" t="s">
        <v>630</v>
      </c>
      <c r="B572" s="4">
        <v>45665</v>
      </c>
      <c r="C572" s="4">
        <v>46143</v>
      </c>
      <c r="D572" t="s">
        <v>66</v>
      </c>
      <c r="E572">
        <v>47</v>
      </c>
      <c r="F572" t="s">
        <v>57</v>
      </c>
      <c r="G572" t="s">
        <v>34</v>
      </c>
      <c r="H572" t="s">
        <v>35</v>
      </c>
      <c r="I572" t="s">
        <v>36</v>
      </c>
      <c r="J572">
        <v>15</v>
      </c>
      <c r="K572" s="5">
        <v>1637.5</v>
      </c>
      <c r="L572" s="5">
        <v>0</v>
      </c>
      <c r="M572">
        <v>31</v>
      </c>
      <c r="N572">
        <v>8</v>
      </c>
      <c r="O572">
        <v>8</v>
      </c>
      <c r="P572">
        <v>6</v>
      </c>
      <c r="Q572">
        <v>28</v>
      </c>
      <c r="R572">
        <v>0</v>
      </c>
      <c r="S572">
        <v>0</v>
      </c>
      <c r="T572">
        <v>0</v>
      </c>
      <c r="U572">
        <v>1</v>
      </c>
      <c r="V572">
        <v>0</v>
      </c>
      <c r="W572" t="s">
        <v>45</v>
      </c>
      <c r="X572">
        <v>98</v>
      </c>
      <c r="Y572">
        <v>0</v>
      </c>
      <c r="Z572">
        <f t="shared" si="48"/>
        <v>91</v>
      </c>
      <c r="AA572">
        <f t="shared" si="49"/>
        <v>1.3111111111111111</v>
      </c>
      <c r="AB572">
        <f t="shared" si="50"/>
        <v>0</v>
      </c>
      <c r="AC572" t="str">
        <f t="shared" si="51"/>
        <v>Low</v>
      </c>
      <c r="AD572" t="str">
        <f t="shared" si="52"/>
        <v>Upsell premium bundle</v>
      </c>
      <c r="AE572">
        <f t="shared" si="53"/>
        <v>9</v>
      </c>
    </row>
    <row r="573" spans="1:31" x14ac:dyDescent="0.35">
      <c r="A573" t="s">
        <v>631</v>
      </c>
      <c r="B573" s="4">
        <v>45809</v>
      </c>
      <c r="C573" s="4">
        <v>46143</v>
      </c>
      <c r="D573" t="s">
        <v>66</v>
      </c>
      <c r="E573">
        <v>58</v>
      </c>
      <c r="F573" t="s">
        <v>61</v>
      </c>
      <c r="G573" t="s">
        <v>85</v>
      </c>
      <c r="H573" t="s">
        <v>58</v>
      </c>
      <c r="I573" t="s">
        <v>36</v>
      </c>
      <c r="J573">
        <v>11</v>
      </c>
      <c r="K573" s="5">
        <v>3963.86</v>
      </c>
      <c r="L573" s="5">
        <v>329.54</v>
      </c>
      <c r="M573">
        <v>38</v>
      </c>
      <c r="N573">
        <v>15</v>
      </c>
      <c r="O573">
        <v>9</v>
      </c>
      <c r="P573">
        <v>8</v>
      </c>
      <c r="Q573">
        <v>29</v>
      </c>
      <c r="R573">
        <v>0</v>
      </c>
      <c r="S573">
        <v>1</v>
      </c>
      <c r="T573">
        <v>1</v>
      </c>
      <c r="U573">
        <v>0</v>
      </c>
      <c r="V573">
        <v>1</v>
      </c>
      <c r="W573" t="s">
        <v>55</v>
      </c>
      <c r="X573">
        <v>79</v>
      </c>
      <c r="Y573">
        <v>0</v>
      </c>
      <c r="Z573">
        <f t="shared" si="48"/>
        <v>100</v>
      </c>
      <c r="AA573">
        <f t="shared" si="49"/>
        <v>1.6341463414634145</v>
      </c>
      <c r="AB573">
        <f t="shared" si="50"/>
        <v>0</v>
      </c>
      <c r="AC573" t="str">
        <f t="shared" si="51"/>
        <v>Low</v>
      </c>
      <c r="AD573" t="str">
        <f t="shared" si="52"/>
        <v>Upsell premium bundle</v>
      </c>
      <c r="AE573">
        <f t="shared" si="53"/>
        <v>0</v>
      </c>
    </row>
    <row r="574" spans="1:31" x14ac:dyDescent="0.35">
      <c r="A574" t="s">
        <v>632</v>
      </c>
      <c r="B574" s="4">
        <v>45195</v>
      </c>
      <c r="C574" s="4">
        <v>46143</v>
      </c>
      <c r="D574" t="s">
        <v>72</v>
      </c>
      <c r="E574">
        <v>49</v>
      </c>
      <c r="F574" t="s">
        <v>61</v>
      </c>
      <c r="G574" t="s">
        <v>63</v>
      </c>
      <c r="H574" t="s">
        <v>58</v>
      </c>
      <c r="I574" t="s">
        <v>36</v>
      </c>
      <c r="J574">
        <v>31</v>
      </c>
      <c r="K574" s="5">
        <v>2713.95</v>
      </c>
      <c r="L574" s="5">
        <v>1102.31</v>
      </c>
      <c r="M574">
        <v>4</v>
      </c>
      <c r="N574">
        <v>2</v>
      </c>
      <c r="O574">
        <v>0</v>
      </c>
      <c r="P574">
        <v>0</v>
      </c>
      <c r="Q574">
        <v>5</v>
      </c>
      <c r="R574">
        <v>1</v>
      </c>
      <c r="S574">
        <v>2</v>
      </c>
      <c r="T574">
        <v>0</v>
      </c>
      <c r="U574">
        <v>0</v>
      </c>
      <c r="V574">
        <v>1</v>
      </c>
      <c r="W574" t="s">
        <v>37</v>
      </c>
      <c r="X574">
        <v>8</v>
      </c>
      <c r="Y574">
        <v>1</v>
      </c>
      <c r="Z574">
        <f t="shared" si="48"/>
        <v>17</v>
      </c>
      <c r="AA574">
        <f t="shared" si="49"/>
        <v>0.14754098360655737</v>
      </c>
      <c r="AB574">
        <f t="shared" si="50"/>
        <v>52</v>
      </c>
      <c r="AC574" t="str">
        <f t="shared" si="51"/>
        <v>Medium</v>
      </c>
      <c r="AD574" t="str">
        <f t="shared" si="52"/>
        <v>Nudge core feature adoption</v>
      </c>
      <c r="AE574">
        <f t="shared" si="53"/>
        <v>83</v>
      </c>
    </row>
    <row r="575" spans="1:31" x14ac:dyDescent="0.35">
      <c r="A575" t="s">
        <v>633</v>
      </c>
      <c r="B575" s="4">
        <v>45711</v>
      </c>
      <c r="C575" s="4">
        <v>46143</v>
      </c>
      <c r="D575" t="s">
        <v>39</v>
      </c>
      <c r="E575">
        <v>36</v>
      </c>
      <c r="F575" t="s">
        <v>33</v>
      </c>
      <c r="G575" t="s">
        <v>67</v>
      </c>
      <c r="H575" t="s">
        <v>44</v>
      </c>
      <c r="I575" t="s">
        <v>36</v>
      </c>
      <c r="J575">
        <v>14</v>
      </c>
      <c r="K575" s="5">
        <v>227.23</v>
      </c>
      <c r="L575" s="5">
        <v>470.68</v>
      </c>
      <c r="M575">
        <v>41</v>
      </c>
      <c r="N575">
        <v>25</v>
      </c>
      <c r="O575">
        <v>3</v>
      </c>
      <c r="P575">
        <v>0</v>
      </c>
      <c r="Q575">
        <v>37</v>
      </c>
      <c r="R575">
        <v>1</v>
      </c>
      <c r="S575">
        <v>0</v>
      </c>
      <c r="T575">
        <v>1</v>
      </c>
      <c r="U575">
        <v>1</v>
      </c>
      <c r="V575">
        <v>1</v>
      </c>
      <c r="W575" t="s">
        <v>50</v>
      </c>
      <c r="X575">
        <v>72</v>
      </c>
      <c r="Y575">
        <v>0</v>
      </c>
      <c r="Z575">
        <f t="shared" si="48"/>
        <v>100</v>
      </c>
      <c r="AA575">
        <f t="shared" si="49"/>
        <v>1.7727272727272727</v>
      </c>
      <c r="AB575">
        <f t="shared" si="50"/>
        <v>0</v>
      </c>
      <c r="AC575" t="str">
        <f t="shared" si="51"/>
        <v>Low</v>
      </c>
      <c r="AD575" t="str">
        <f t="shared" si="52"/>
        <v>Upsell premium bundle</v>
      </c>
      <c r="AE575">
        <f t="shared" si="53"/>
        <v>0</v>
      </c>
    </row>
    <row r="576" spans="1:31" x14ac:dyDescent="0.35">
      <c r="A576" t="s">
        <v>634</v>
      </c>
      <c r="B576" s="4">
        <v>45759</v>
      </c>
      <c r="C576" s="4">
        <v>46143</v>
      </c>
      <c r="D576" t="s">
        <v>60</v>
      </c>
      <c r="E576">
        <v>62</v>
      </c>
      <c r="F576" t="s">
        <v>33</v>
      </c>
      <c r="G576" t="s">
        <v>34</v>
      </c>
      <c r="H576" t="s">
        <v>41</v>
      </c>
      <c r="I576" t="s">
        <v>36</v>
      </c>
      <c r="J576">
        <v>12</v>
      </c>
      <c r="K576" s="5">
        <v>5.16</v>
      </c>
      <c r="L576" s="5">
        <v>214.5</v>
      </c>
      <c r="M576">
        <v>9</v>
      </c>
      <c r="N576">
        <v>3</v>
      </c>
      <c r="O576">
        <v>2</v>
      </c>
      <c r="P576">
        <v>1</v>
      </c>
      <c r="Q576">
        <v>5</v>
      </c>
      <c r="R576">
        <v>0</v>
      </c>
      <c r="S576">
        <v>1</v>
      </c>
      <c r="T576">
        <v>1</v>
      </c>
      <c r="U576">
        <v>0</v>
      </c>
      <c r="V576">
        <v>1</v>
      </c>
      <c r="W576" t="s">
        <v>55</v>
      </c>
      <c r="X576">
        <v>-20</v>
      </c>
      <c r="Y576">
        <v>1</v>
      </c>
      <c r="Z576">
        <f t="shared" si="48"/>
        <v>27</v>
      </c>
      <c r="AA576">
        <f t="shared" si="49"/>
        <v>0.33333333333333331</v>
      </c>
      <c r="AB576">
        <f t="shared" si="50"/>
        <v>65</v>
      </c>
      <c r="AC576" t="str">
        <f t="shared" si="51"/>
        <v>Medium</v>
      </c>
      <c r="AD576" t="str">
        <f t="shared" si="52"/>
        <v>Nudge core feature adoption</v>
      </c>
      <c r="AE576">
        <f t="shared" si="53"/>
        <v>73</v>
      </c>
    </row>
    <row r="577" spans="1:31" x14ac:dyDescent="0.35">
      <c r="A577" t="s">
        <v>635</v>
      </c>
      <c r="B577" s="4">
        <v>44787</v>
      </c>
      <c r="C577" s="4">
        <v>46143</v>
      </c>
      <c r="D577" t="s">
        <v>66</v>
      </c>
      <c r="E577">
        <v>45</v>
      </c>
      <c r="F577" t="s">
        <v>57</v>
      </c>
      <c r="G577" t="s">
        <v>40</v>
      </c>
      <c r="H577" t="s">
        <v>41</v>
      </c>
      <c r="I577" t="s">
        <v>36</v>
      </c>
      <c r="J577">
        <v>45</v>
      </c>
      <c r="K577" s="5">
        <v>611.84</v>
      </c>
      <c r="L577" s="5">
        <v>1201.1099999999999</v>
      </c>
      <c r="M577">
        <v>32</v>
      </c>
      <c r="N577">
        <v>8</v>
      </c>
      <c r="O577">
        <v>1</v>
      </c>
      <c r="P577">
        <v>2</v>
      </c>
      <c r="Q577">
        <v>25</v>
      </c>
      <c r="R577">
        <v>2</v>
      </c>
      <c r="S577">
        <v>0</v>
      </c>
      <c r="T577">
        <v>0</v>
      </c>
      <c r="U577">
        <v>1</v>
      </c>
      <c r="V577">
        <v>1</v>
      </c>
      <c r="W577" t="s">
        <v>45</v>
      </c>
      <c r="X577">
        <v>73</v>
      </c>
      <c r="Y577">
        <v>0</v>
      </c>
      <c r="Z577">
        <f t="shared" si="48"/>
        <v>82</v>
      </c>
      <c r="AA577">
        <f t="shared" si="49"/>
        <v>0.76</v>
      </c>
      <c r="AB577">
        <f t="shared" si="50"/>
        <v>0</v>
      </c>
      <c r="AC577" t="str">
        <f t="shared" si="51"/>
        <v>Low</v>
      </c>
      <c r="AD577" t="str">
        <f t="shared" si="52"/>
        <v>Upsell premium bundle</v>
      </c>
      <c r="AE577">
        <f t="shared" si="53"/>
        <v>18</v>
      </c>
    </row>
    <row r="578" spans="1:31" x14ac:dyDescent="0.35">
      <c r="A578" t="s">
        <v>636</v>
      </c>
      <c r="B578" s="4">
        <v>45768</v>
      </c>
      <c r="C578" s="4">
        <v>46143</v>
      </c>
      <c r="D578" t="s">
        <v>32</v>
      </c>
      <c r="E578">
        <v>55</v>
      </c>
      <c r="F578" t="s">
        <v>57</v>
      </c>
      <c r="G578" t="s">
        <v>34</v>
      </c>
      <c r="H578" t="s">
        <v>58</v>
      </c>
      <c r="I578" t="s">
        <v>36</v>
      </c>
      <c r="J578">
        <v>12</v>
      </c>
      <c r="K578" s="5">
        <v>912.86</v>
      </c>
      <c r="L578" s="5">
        <v>1302.3399999999999</v>
      </c>
      <c r="M578">
        <v>38</v>
      </c>
      <c r="N578">
        <v>16</v>
      </c>
      <c r="O578">
        <v>9</v>
      </c>
      <c r="P578">
        <v>2</v>
      </c>
      <c r="Q578">
        <v>30</v>
      </c>
      <c r="R578">
        <v>0</v>
      </c>
      <c r="S578">
        <v>0</v>
      </c>
      <c r="T578">
        <v>1</v>
      </c>
      <c r="U578">
        <v>0</v>
      </c>
      <c r="V578">
        <v>0</v>
      </c>
      <c r="W578" t="s">
        <v>37</v>
      </c>
      <c r="X578">
        <v>55</v>
      </c>
      <c r="Y578">
        <v>0</v>
      </c>
      <c r="Z578">
        <f t="shared" ref="Z578:Z641" si="54">MIN(100,ROUND((M578*1.1+N578*0.7+O578*1.2+P578*1.4+Q578*0.9+U578*8+V578*7),0))</f>
        <v>94</v>
      </c>
      <c r="AA578">
        <f t="shared" ref="AA578:AA641" si="55">IFERROR((M578+Q578)/(30+J578),0)</f>
        <v>1.6190476190476191</v>
      </c>
      <c r="AB578">
        <f t="shared" ref="AB578:AB641" si="56">ROUND(MIN(100,MAX(0,60-Z578*0.4-R578*1.5+S578*8-IF(L578&gt;1500,10,0)-X578*0.5+IF(I578="Completed",-8,8)+IF(H578="Free",6,-4))),0)</f>
        <v>0</v>
      </c>
      <c r="AC578" t="str">
        <f t="shared" ref="AC578:AC641" si="57">IF(AB578&gt;=70,"High",IF(AB578&gt;=40,"Medium","Low"))</f>
        <v>Low</v>
      </c>
      <c r="AD578" t="str">
        <f t="shared" ref="AD578:AD641" si="58">IF(AC578="High",IF(Q578&lt;5,"Re-engage with app usage offer",IF(K578&lt;100,"Deposit incentive","Retention call")),IF(AC578="Medium","Nudge core feature adoption","Upsell premium bundle"))</f>
        <v>Upsell premium bundle</v>
      </c>
      <c r="AE578">
        <f t="shared" ref="AE578:AE641" si="59">100-Z578</f>
        <v>6</v>
      </c>
    </row>
    <row r="579" spans="1:31" x14ac:dyDescent="0.35">
      <c r="A579" t="s">
        <v>637</v>
      </c>
      <c r="B579" s="4">
        <v>44881</v>
      </c>
      <c r="C579" s="4">
        <v>46143</v>
      </c>
      <c r="D579" t="s">
        <v>32</v>
      </c>
      <c r="E579">
        <v>54</v>
      </c>
      <c r="F579" t="s">
        <v>33</v>
      </c>
      <c r="G579" t="s">
        <v>40</v>
      </c>
      <c r="H579" t="s">
        <v>44</v>
      </c>
      <c r="I579" t="s">
        <v>36</v>
      </c>
      <c r="J579">
        <v>42</v>
      </c>
      <c r="K579" s="5">
        <v>658.68</v>
      </c>
      <c r="L579" s="5">
        <v>108.9</v>
      </c>
      <c r="M579">
        <v>26</v>
      </c>
      <c r="N579">
        <v>18</v>
      </c>
      <c r="O579">
        <v>6</v>
      </c>
      <c r="P579">
        <v>1</v>
      </c>
      <c r="Q579">
        <v>14</v>
      </c>
      <c r="R579">
        <v>2</v>
      </c>
      <c r="S579">
        <v>0</v>
      </c>
      <c r="T579">
        <v>1</v>
      </c>
      <c r="U579">
        <v>0</v>
      </c>
      <c r="V579">
        <v>0</v>
      </c>
      <c r="W579" t="s">
        <v>37</v>
      </c>
      <c r="X579">
        <v>26</v>
      </c>
      <c r="Y579">
        <v>0</v>
      </c>
      <c r="Z579">
        <f t="shared" si="54"/>
        <v>62</v>
      </c>
      <c r="AA579">
        <f t="shared" si="55"/>
        <v>0.55555555555555558</v>
      </c>
      <c r="AB579">
        <f t="shared" si="56"/>
        <v>7</v>
      </c>
      <c r="AC579" t="str">
        <f t="shared" si="57"/>
        <v>Low</v>
      </c>
      <c r="AD579" t="str">
        <f t="shared" si="58"/>
        <v>Upsell premium bundle</v>
      </c>
      <c r="AE579">
        <f t="shared" si="59"/>
        <v>38</v>
      </c>
    </row>
    <row r="580" spans="1:31" x14ac:dyDescent="0.35">
      <c r="A580" t="s">
        <v>638</v>
      </c>
      <c r="B580" s="4">
        <v>45240</v>
      </c>
      <c r="C580" s="4">
        <v>46143</v>
      </c>
      <c r="D580" t="s">
        <v>32</v>
      </c>
      <c r="E580">
        <v>36</v>
      </c>
      <c r="F580" t="s">
        <v>57</v>
      </c>
      <c r="G580" t="s">
        <v>63</v>
      </c>
      <c r="H580" t="s">
        <v>41</v>
      </c>
      <c r="I580" t="s">
        <v>49</v>
      </c>
      <c r="J580">
        <v>30</v>
      </c>
      <c r="K580" s="5">
        <v>1051.75</v>
      </c>
      <c r="L580" s="5">
        <v>357.45</v>
      </c>
      <c r="M580">
        <v>12</v>
      </c>
      <c r="N580">
        <v>4</v>
      </c>
      <c r="O580">
        <v>1</v>
      </c>
      <c r="P580">
        <v>2</v>
      </c>
      <c r="Q580">
        <v>10</v>
      </c>
      <c r="R580">
        <v>2</v>
      </c>
      <c r="S580">
        <v>1</v>
      </c>
      <c r="T580">
        <v>1</v>
      </c>
      <c r="U580">
        <v>0</v>
      </c>
      <c r="V580">
        <v>1</v>
      </c>
      <c r="W580" t="s">
        <v>45</v>
      </c>
      <c r="X580">
        <v>8</v>
      </c>
      <c r="Y580">
        <v>1</v>
      </c>
      <c r="Z580">
        <f t="shared" si="54"/>
        <v>36</v>
      </c>
      <c r="AA580">
        <f t="shared" si="55"/>
        <v>0.36666666666666664</v>
      </c>
      <c r="AB580">
        <f t="shared" si="56"/>
        <v>61</v>
      </c>
      <c r="AC580" t="str">
        <f t="shared" si="57"/>
        <v>Medium</v>
      </c>
      <c r="AD580" t="str">
        <f t="shared" si="58"/>
        <v>Nudge core feature adoption</v>
      </c>
      <c r="AE580">
        <f t="shared" si="59"/>
        <v>64</v>
      </c>
    </row>
    <row r="581" spans="1:31" x14ac:dyDescent="0.35">
      <c r="A581" t="s">
        <v>639</v>
      </c>
      <c r="B581" s="4">
        <v>45146</v>
      </c>
      <c r="C581" s="4">
        <v>46143</v>
      </c>
      <c r="D581" t="s">
        <v>60</v>
      </c>
      <c r="E581">
        <v>51</v>
      </c>
      <c r="F581" t="s">
        <v>33</v>
      </c>
      <c r="G581" t="s">
        <v>48</v>
      </c>
      <c r="H581" t="s">
        <v>58</v>
      </c>
      <c r="I581" t="s">
        <v>36</v>
      </c>
      <c r="J581">
        <v>33</v>
      </c>
      <c r="K581" s="5">
        <v>546.83000000000004</v>
      </c>
      <c r="L581" s="5">
        <v>267.91000000000003</v>
      </c>
      <c r="M581">
        <v>41</v>
      </c>
      <c r="N581">
        <v>23</v>
      </c>
      <c r="O581">
        <v>11</v>
      </c>
      <c r="P581">
        <v>0</v>
      </c>
      <c r="Q581">
        <v>37</v>
      </c>
      <c r="R581">
        <v>2</v>
      </c>
      <c r="S581">
        <v>0</v>
      </c>
      <c r="T581">
        <v>1</v>
      </c>
      <c r="U581">
        <v>0</v>
      </c>
      <c r="V581">
        <v>1</v>
      </c>
      <c r="W581" t="s">
        <v>52</v>
      </c>
      <c r="X581">
        <v>100</v>
      </c>
      <c r="Y581">
        <v>0</v>
      </c>
      <c r="Z581">
        <f t="shared" si="54"/>
        <v>100</v>
      </c>
      <c r="AA581">
        <f t="shared" si="55"/>
        <v>1.2380952380952381</v>
      </c>
      <c r="AB581">
        <f t="shared" si="56"/>
        <v>0</v>
      </c>
      <c r="AC581" t="str">
        <f t="shared" si="57"/>
        <v>Low</v>
      </c>
      <c r="AD581" t="str">
        <f t="shared" si="58"/>
        <v>Upsell premium bundle</v>
      </c>
      <c r="AE581">
        <f t="shared" si="59"/>
        <v>0</v>
      </c>
    </row>
    <row r="582" spans="1:31" x14ac:dyDescent="0.35">
      <c r="A582" t="s">
        <v>640</v>
      </c>
      <c r="B582" s="4">
        <v>45525</v>
      </c>
      <c r="C582" s="4">
        <v>46143</v>
      </c>
      <c r="D582" t="s">
        <v>47</v>
      </c>
      <c r="E582">
        <v>27</v>
      </c>
      <c r="F582" t="s">
        <v>61</v>
      </c>
      <c r="G582" t="s">
        <v>63</v>
      </c>
      <c r="H582" t="s">
        <v>41</v>
      </c>
      <c r="I582" t="s">
        <v>49</v>
      </c>
      <c r="J582">
        <v>20</v>
      </c>
      <c r="K582" s="5">
        <v>4143.2299999999996</v>
      </c>
      <c r="L582" s="5">
        <v>2556.39</v>
      </c>
      <c r="M582">
        <v>28</v>
      </c>
      <c r="N582">
        <v>14</v>
      </c>
      <c r="O582">
        <v>3</v>
      </c>
      <c r="P582">
        <v>4</v>
      </c>
      <c r="Q582">
        <v>17</v>
      </c>
      <c r="R582">
        <v>1</v>
      </c>
      <c r="S582">
        <v>1</v>
      </c>
      <c r="T582">
        <v>1</v>
      </c>
      <c r="U582">
        <v>0</v>
      </c>
      <c r="V582">
        <v>1</v>
      </c>
      <c r="W582" t="s">
        <v>37</v>
      </c>
      <c r="X582">
        <v>27</v>
      </c>
      <c r="Y582">
        <v>0</v>
      </c>
      <c r="Z582">
        <f t="shared" si="54"/>
        <v>72</v>
      </c>
      <c r="AA582">
        <f t="shared" si="55"/>
        <v>0.9</v>
      </c>
      <c r="AB582">
        <f t="shared" si="56"/>
        <v>28</v>
      </c>
      <c r="AC582" t="str">
        <f t="shared" si="57"/>
        <v>Low</v>
      </c>
      <c r="AD582" t="str">
        <f t="shared" si="58"/>
        <v>Upsell premium bundle</v>
      </c>
      <c r="AE582">
        <f t="shared" si="59"/>
        <v>28</v>
      </c>
    </row>
    <row r="583" spans="1:31" x14ac:dyDescent="0.35">
      <c r="A583" t="s">
        <v>641</v>
      </c>
      <c r="B583" s="4">
        <v>45419</v>
      </c>
      <c r="C583" s="4">
        <v>46143</v>
      </c>
      <c r="D583" t="s">
        <v>66</v>
      </c>
      <c r="E583">
        <v>38</v>
      </c>
      <c r="F583" t="s">
        <v>43</v>
      </c>
      <c r="G583" t="s">
        <v>34</v>
      </c>
      <c r="H583" t="s">
        <v>41</v>
      </c>
      <c r="I583" t="s">
        <v>36</v>
      </c>
      <c r="J583">
        <v>24</v>
      </c>
      <c r="K583" s="5">
        <v>114.06</v>
      </c>
      <c r="L583" s="5">
        <v>69.67</v>
      </c>
      <c r="M583">
        <v>18</v>
      </c>
      <c r="N583">
        <v>13</v>
      </c>
      <c r="O583">
        <v>3</v>
      </c>
      <c r="P583">
        <v>1</v>
      </c>
      <c r="Q583">
        <v>21</v>
      </c>
      <c r="R583">
        <v>2</v>
      </c>
      <c r="S583">
        <v>1</v>
      </c>
      <c r="T583">
        <v>1</v>
      </c>
      <c r="U583">
        <v>1</v>
      </c>
      <c r="V583">
        <v>0</v>
      </c>
      <c r="W583" t="s">
        <v>37</v>
      </c>
      <c r="X583">
        <v>-52</v>
      </c>
      <c r="Y583">
        <v>0</v>
      </c>
      <c r="Z583">
        <f t="shared" si="54"/>
        <v>61</v>
      </c>
      <c r="AA583">
        <f t="shared" si="55"/>
        <v>0.72222222222222221</v>
      </c>
      <c r="AB583">
        <f t="shared" si="56"/>
        <v>65</v>
      </c>
      <c r="AC583" t="str">
        <f t="shared" si="57"/>
        <v>Medium</v>
      </c>
      <c r="AD583" t="str">
        <f t="shared" si="58"/>
        <v>Nudge core feature adoption</v>
      </c>
      <c r="AE583">
        <f t="shared" si="59"/>
        <v>39</v>
      </c>
    </row>
    <row r="584" spans="1:31" x14ac:dyDescent="0.35">
      <c r="A584" t="s">
        <v>642</v>
      </c>
      <c r="B584" s="4">
        <v>46029</v>
      </c>
      <c r="C584" s="4">
        <v>46143</v>
      </c>
      <c r="D584" t="s">
        <v>72</v>
      </c>
      <c r="E584">
        <v>52</v>
      </c>
      <c r="F584" t="s">
        <v>33</v>
      </c>
      <c r="G584" t="s">
        <v>63</v>
      </c>
      <c r="H584" t="s">
        <v>41</v>
      </c>
      <c r="I584" t="s">
        <v>36</v>
      </c>
      <c r="J584">
        <v>3</v>
      </c>
      <c r="K584" s="5">
        <v>0</v>
      </c>
      <c r="L584" s="5">
        <v>163.47</v>
      </c>
      <c r="M584">
        <v>9</v>
      </c>
      <c r="N584">
        <v>4</v>
      </c>
      <c r="O584">
        <v>2</v>
      </c>
      <c r="P584">
        <v>0</v>
      </c>
      <c r="Q584">
        <v>11</v>
      </c>
      <c r="R584">
        <v>1</v>
      </c>
      <c r="S584">
        <v>0</v>
      </c>
      <c r="T584">
        <v>0</v>
      </c>
      <c r="U584">
        <v>0</v>
      </c>
      <c r="V584">
        <v>0</v>
      </c>
      <c r="W584" t="s">
        <v>50</v>
      </c>
      <c r="X584">
        <v>43</v>
      </c>
      <c r="Y584">
        <v>0</v>
      </c>
      <c r="Z584">
        <f t="shared" si="54"/>
        <v>25</v>
      </c>
      <c r="AA584">
        <f t="shared" si="55"/>
        <v>0.60606060606060608</v>
      </c>
      <c r="AB584">
        <f t="shared" si="56"/>
        <v>25</v>
      </c>
      <c r="AC584" t="str">
        <f t="shared" si="57"/>
        <v>Low</v>
      </c>
      <c r="AD584" t="str">
        <f t="shared" si="58"/>
        <v>Upsell premium bundle</v>
      </c>
      <c r="AE584">
        <f t="shared" si="59"/>
        <v>75</v>
      </c>
    </row>
    <row r="585" spans="1:31" x14ac:dyDescent="0.35">
      <c r="A585" t="s">
        <v>643</v>
      </c>
      <c r="B585" s="4">
        <v>44976</v>
      </c>
      <c r="C585" s="4">
        <v>46143</v>
      </c>
      <c r="D585" t="s">
        <v>39</v>
      </c>
      <c r="E585">
        <v>27</v>
      </c>
      <c r="F585" t="s">
        <v>43</v>
      </c>
      <c r="G585" t="s">
        <v>85</v>
      </c>
      <c r="H585" t="s">
        <v>35</v>
      </c>
      <c r="I585" t="s">
        <v>49</v>
      </c>
      <c r="J585">
        <v>38</v>
      </c>
      <c r="K585" s="5">
        <v>0</v>
      </c>
      <c r="L585" s="5">
        <v>80.040000000000006</v>
      </c>
      <c r="M585">
        <v>34</v>
      </c>
      <c r="N585">
        <v>23</v>
      </c>
      <c r="O585">
        <v>2</v>
      </c>
      <c r="P585">
        <v>1</v>
      </c>
      <c r="Q585">
        <v>36</v>
      </c>
      <c r="R585">
        <v>0</v>
      </c>
      <c r="S585">
        <v>2</v>
      </c>
      <c r="T585">
        <v>1</v>
      </c>
      <c r="U585">
        <v>1</v>
      </c>
      <c r="V585">
        <v>1</v>
      </c>
      <c r="W585" t="s">
        <v>37</v>
      </c>
      <c r="X585">
        <v>79</v>
      </c>
      <c r="Y585">
        <v>0</v>
      </c>
      <c r="Z585">
        <f t="shared" si="54"/>
        <v>100</v>
      </c>
      <c r="AA585">
        <f t="shared" si="55"/>
        <v>1.0294117647058822</v>
      </c>
      <c r="AB585">
        <f t="shared" si="56"/>
        <v>1</v>
      </c>
      <c r="AC585" t="str">
        <f t="shared" si="57"/>
        <v>Low</v>
      </c>
      <c r="AD585" t="str">
        <f t="shared" si="58"/>
        <v>Upsell premium bundle</v>
      </c>
      <c r="AE585">
        <f t="shared" si="59"/>
        <v>0</v>
      </c>
    </row>
    <row r="586" spans="1:31" x14ac:dyDescent="0.35">
      <c r="A586" t="s">
        <v>644</v>
      </c>
      <c r="B586" s="4">
        <v>46027</v>
      </c>
      <c r="C586" s="4">
        <v>46143</v>
      </c>
      <c r="D586" t="s">
        <v>66</v>
      </c>
      <c r="E586">
        <v>61</v>
      </c>
      <c r="F586" t="s">
        <v>43</v>
      </c>
      <c r="G586" t="s">
        <v>85</v>
      </c>
      <c r="H586" t="s">
        <v>41</v>
      </c>
      <c r="I586" t="s">
        <v>49</v>
      </c>
      <c r="J586">
        <v>3</v>
      </c>
      <c r="K586" s="5">
        <v>56.07</v>
      </c>
      <c r="L586" s="5">
        <v>51.97</v>
      </c>
      <c r="M586">
        <v>20</v>
      </c>
      <c r="N586">
        <v>14</v>
      </c>
      <c r="O586">
        <v>1</v>
      </c>
      <c r="P586">
        <v>0</v>
      </c>
      <c r="Q586">
        <v>16</v>
      </c>
      <c r="R586">
        <v>0</v>
      </c>
      <c r="S586">
        <v>0</v>
      </c>
      <c r="T586">
        <v>1</v>
      </c>
      <c r="U586">
        <v>0</v>
      </c>
      <c r="V586">
        <v>1</v>
      </c>
      <c r="W586" t="s">
        <v>45</v>
      </c>
      <c r="X586">
        <v>40</v>
      </c>
      <c r="Y586">
        <v>1</v>
      </c>
      <c r="Z586">
        <f t="shared" si="54"/>
        <v>54</v>
      </c>
      <c r="AA586">
        <f t="shared" si="55"/>
        <v>1.0909090909090908</v>
      </c>
      <c r="AB586">
        <f t="shared" si="56"/>
        <v>32</v>
      </c>
      <c r="AC586" t="str">
        <f t="shared" si="57"/>
        <v>Low</v>
      </c>
      <c r="AD586" t="str">
        <f t="shared" si="58"/>
        <v>Upsell premium bundle</v>
      </c>
      <c r="AE586">
        <f t="shared" si="59"/>
        <v>46</v>
      </c>
    </row>
    <row r="587" spans="1:31" x14ac:dyDescent="0.35">
      <c r="A587" t="s">
        <v>645</v>
      </c>
      <c r="B587" s="4">
        <v>45195</v>
      </c>
      <c r="C587" s="4">
        <v>46143</v>
      </c>
      <c r="D587" t="s">
        <v>47</v>
      </c>
      <c r="E587">
        <v>33</v>
      </c>
      <c r="F587" t="s">
        <v>33</v>
      </c>
      <c r="G587" t="s">
        <v>85</v>
      </c>
      <c r="H587" t="s">
        <v>44</v>
      </c>
      <c r="I587" t="s">
        <v>36</v>
      </c>
      <c r="J587">
        <v>31</v>
      </c>
      <c r="K587" s="5">
        <v>83.08</v>
      </c>
      <c r="L587" s="5">
        <v>229.02</v>
      </c>
      <c r="M587">
        <v>52</v>
      </c>
      <c r="N587">
        <v>22</v>
      </c>
      <c r="O587">
        <v>11</v>
      </c>
      <c r="P587">
        <v>1</v>
      </c>
      <c r="Q587">
        <v>39</v>
      </c>
      <c r="R587">
        <v>2</v>
      </c>
      <c r="S587">
        <v>2</v>
      </c>
      <c r="T587">
        <v>1</v>
      </c>
      <c r="U587">
        <v>1</v>
      </c>
      <c r="V587">
        <v>0</v>
      </c>
      <c r="W587" t="s">
        <v>55</v>
      </c>
      <c r="X587">
        <v>11</v>
      </c>
      <c r="Y587">
        <v>0</v>
      </c>
      <c r="Z587">
        <f t="shared" si="54"/>
        <v>100</v>
      </c>
      <c r="AA587">
        <f t="shared" si="55"/>
        <v>1.4918032786885247</v>
      </c>
      <c r="AB587">
        <f t="shared" si="56"/>
        <v>16</v>
      </c>
      <c r="AC587" t="str">
        <f t="shared" si="57"/>
        <v>Low</v>
      </c>
      <c r="AD587" t="str">
        <f t="shared" si="58"/>
        <v>Upsell premium bundle</v>
      </c>
      <c r="AE587">
        <f t="shared" si="59"/>
        <v>0</v>
      </c>
    </row>
    <row r="588" spans="1:31" x14ac:dyDescent="0.35">
      <c r="A588" t="s">
        <v>646</v>
      </c>
      <c r="B588" s="4">
        <v>45893</v>
      </c>
      <c r="C588" s="4">
        <v>46143</v>
      </c>
      <c r="D588" t="s">
        <v>32</v>
      </c>
      <c r="E588">
        <v>27</v>
      </c>
      <c r="F588" t="s">
        <v>33</v>
      </c>
      <c r="G588" t="s">
        <v>85</v>
      </c>
      <c r="H588" t="s">
        <v>41</v>
      </c>
      <c r="I588" t="s">
        <v>36</v>
      </c>
      <c r="J588">
        <v>8</v>
      </c>
      <c r="K588" s="5">
        <v>120.31</v>
      </c>
      <c r="L588" s="5">
        <v>170.05</v>
      </c>
      <c r="M588">
        <v>40</v>
      </c>
      <c r="N588">
        <v>18</v>
      </c>
      <c r="O588">
        <v>4</v>
      </c>
      <c r="P588">
        <v>0</v>
      </c>
      <c r="Q588">
        <v>23</v>
      </c>
      <c r="R588">
        <v>0</v>
      </c>
      <c r="S588">
        <v>0</v>
      </c>
      <c r="T588">
        <v>0</v>
      </c>
      <c r="U588">
        <v>0</v>
      </c>
      <c r="V588">
        <v>1</v>
      </c>
      <c r="W588" t="s">
        <v>52</v>
      </c>
      <c r="X588">
        <v>3</v>
      </c>
      <c r="Y588">
        <v>1</v>
      </c>
      <c r="Z588">
        <f t="shared" si="54"/>
        <v>89</v>
      </c>
      <c r="AA588">
        <f t="shared" si="55"/>
        <v>1.6578947368421053</v>
      </c>
      <c r="AB588">
        <f t="shared" si="56"/>
        <v>21</v>
      </c>
      <c r="AC588" t="str">
        <f t="shared" si="57"/>
        <v>Low</v>
      </c>
      <c r="AD588" t="str">
        <f t="shared" si="58"/>
        <v>Upsell premium bundle</v>
      </c>
      <c r="AE588">
        <f t="shared" si="59"/>
        <v>11</v>
      </c>
    </row>
    <row r="589" spans="1:31" x14ac:dyDescent="0.35">
      <c r="A589" t="s">
        <v>647</v>
      </c>
      <c r="B589" s="4">
        <v>44735</v>
      </c>
      <c r="C589" s="4">
        <v>46143</v>
      </c>
      <c r="D589" t="s">
        <v>39</v>
      </c>
      <c r="E589">
        <v>45</v>
      </c>
      <c r="F589" t="s">
        <v>33</v>
      </c>
      <c r="G589" t="s">
        <v>85</v>
      </c>
      <c r="H589" t="s">
        <v>41</v>
      </c>
      <c r="I589" t="s">
        <v>36</v>
      </c>
      <c r="J589">
        <v>46</v>
      </c>
      <c r="K589" s="5">
        <v>0</v>
      </c>
      <c r="L589" s="5">
        <v>119.88</v>
      </c>
      <c r="M589">
        <v>20</v>
      </c>
      <c r="N589">
        <v>6</v>
      </c>
      <c r="O589">
        <v>4</v>
      </c>
      <c r="P589">
        <v>0</v>
      </c>
      <c r="Q589">
        <v>12</v>
      </c>
      <c r="R589">
        <v>0</v>
      </c>
      <c r="S589">
        <v>0</v>
      </c>
      <c r="T589">
        <v>1</v>
      </c>
      <c r="U589">
        <v>0</v>
      </c>
      <c r="V589">
        <v>1</v>
      </c>
      <c r="W589" t="s">
        <v>50</v>
      </c>
      <c r="X589">
        <v>62</v>
      </c>
      <c r="Y589">
        <v>0</v>
      </c>
      <c r="Z589">
        <f t="shared" si="54"/>
        <v>49</v>
      </c>
      <c r="AA589">
        <f t="shared" si="55"/>
        <v>0.42105263157894735</v>
      </c>
      <c r="AB589">
        <f t="shared" si="56"/>
        <v>7</v>
      </c>
      <c r="AC589" t="str">
        <f t="shared" si="57"/>
        <v>Low</v>
      </c>
      <c r="AD589" t="str">
        <f t="shared" si="58"/>
        <v>Upsell premium bundle</v>
      </c>
      <c r="AE589">
        <f t="shared" si="59"/>
        <v>51</v>
      </c>
    </row>
    <row r="590" spans="1:31" x14ac:dyDescent="0.35">
      <c r="A590" t="s">
        <v>648</v>
      </c>
      <c r="B590" s="4">
        <v>44758</v>
      </c>
      <c r="C590" s="4">
        <v>46143</v>
      </c>
      <c r="D590" t="s">
        <v>72</v>
      </c>
      <c r="E590">
        <v>40</v>
      </c>
      <c r="F590" t="s">
        <v>61</v>
      </c>
      <c r="G590" t="s">
        <v>48</v>
      </c>
      <c r="H590" t="s">
        <v>58</v>
      </c>
      <c r="I590" t="s">
        <v>36</v>
      </c>
      <c r="J590">
        <v>46</v>
      </c>
      <c r="K590" s="5">
        <v>3997.15</v>
      </c>
      <c r="L590" s="5">
        <v>4763.74</v>
      </c>
      <c r="M590">
        <v>44</v>
      </c>
      <c r="N590">
        <v>12</v>
      </c>
      <c r="O590">
        <v>7</v>
      </c>
      <c r="P590">
        <v>5</v>
      </c>
      <c r="Q590">
        <v>27</v>
      </c>
      <c r="R590">
        <v>0</v>
      </c>
      <c r="S590">
        <v>0</v>
      </c>
      <c r="T590">
        <v>1</v>
      </c>
      <c r="U590">
        <v>0</v>
      </c>
      <c r="V590">
        <v>1</v>
      </c>
      <c r="W590" t="s">
        <v>37</v>
      </c>
      <c r="X590">
        <v>1</v>
      </c>
      <c r="Y590">
        <v>0</v>
      </c>
      <c r="Z590">
        <f t="shared" si="54"/>
        <v>100</v>
      </c>
      <c r="AA590">
        <f t="shared" si="55"/>
        <v>0.93421052631578949</v>
      </c>
      <c r="AB590">
        <f t="shared" si="56"/>
        <v>0</v>
      </c>
      <c r="AC590" t="str">
        <f t="shared" si="57"/>
        <v>Low</v>
      </c>
      <c r="AD590" t="str">
        <f t="shared" si="58"/>
        <v>Upsell premium bundle</v>
      </c>
      <c r="AE590">
        <f t="shared" si="59"/>
        <v>0</v>
      </c>
    </row>
    <row r="591" spans="1:31" x14ac:dyDescent="0.35">
      <c r="A591" t="s">
        <v>649</v>
      </c>
      <c r="B591" s="4">
        <v>45751</v>
      </c>
      <c r="C591" s="4">
        <v>46143</v>
      </c>
      <c r="D591" t="s">
        <v>39</v>
      </c>
      <c r="E591">
        <v>46</v>
      </c>
      <c r="F591" t="s">
        <v>33</v>
      </c>
      <c r="G591" t="s">
        <v>40</v>
      </c>
      <c r="H591" t="s">
        <v>41</v>
      </c>
      <c r="I591" t="s">
        <v>36</v>
      </c>
      <c r="J591">
        <v>13</v>
      </c>
      <c r="K591" s="5">
        <v>607.20000000000005</v>
      </c>
      <c r="L591" s="5">
        <v>79.680000000000007</v>
      </c>
      <c r="M591">
        <v>30</v>
      </c>
      <c r="N591">
        <v>13</v>
      </c>
      <c r="O591">
        <v>7</v>
      </c>
      <c r="P591">
        <v>3</v>
      </c>
      <c r="Q591">
        <v>12</v>
      </c>
      <c r="R591">
        <v>0</v>
      </c>
      <c r="S591">
        <v>1</v>
      </c>
      <c r="T591">
        <v>1</v>
      </c>
      <c r="U591">
        <v>0</v>
      </c>
      <c r="V591">
        <v>1</v>
      </c>
      <c r="W591" t="s">
        <v>50</v>
      </c>
      <c r="X591">
        <v>53</v>
      </c>
      <c r="Y591">
        <v>1</v>
      </c>
      <c r="Z591">
        <f t="shared" si="54"/>
        <v>73</v>
      </c>
      <c r="AA591">
        <f t="shared" si="55"/>
        <v>0.97674418604651159</v>
      </c>
      <c r="AB591">
        <f t="shared" si="56"/>
        <v>10</v>
      </c>
      <c r="AC591" t="str">
        <f t="shared" si="57"/>
        <v>Low</v>
      </c>
      <c r="AD591" t="str">
        <f t="shared" si="58"/>
        <v>Upsell premium bundle</v>
      </c>
      <c r="AE591">
        <f t="shared" si="59"/>
        <v>27</v>
      </c>
    </row>
    <row r="592" spans="1:31" x14ac:dyDescent="0.35">
      <c r="A592" t="s">
        <v>650</v>
      </c>
      <c r="B592" s="4">
        <v>45277</v>
      </c>
      <c r="C592" s="4">
        <v>46143</v>
      </c>
      <c r="D592" t="s">
        <v>60</v>
      </c>
      <c r="E592">
        <v>35</v>
      </c>
      <c r="F592" t="s">
        <v>57</v>
      </c>
      <c r="G592" t="s">
        <v>34</v>
      </c>
      <c r="H592" t="s">
        <v>41</v>
      </c>
      <c r="I592" t="s">
        <v>36</v>
      </c>
      <c r="J592">
        <v>28</v>
      </c>
      <c r="K592" s="5">
        <v>905.46</v>
      </c>
      <c r="L592" s="5">
        <v>1263.49</v>
      </c>
      <c r="M592">
        <v>31</v>
      </c>
      <c r="N592">
        <v>11</v>
      </c>
      <c r="O592">
        <v>2</v>
      </c>
      <c r="P592">
        <v>4</v>
      </c>
      <c r="Q592">
        <v>15</v>
      </c>
      <c r="R592">
        <v>2</v>
      </c>
      <c r="S592">
        <v>1</v>
      </c>
      <c r="T592">
        <v>1</v>
      </c>
      <c r="U592">
        <v>1</v>
      </c>
      <c r="V592">
        <v>0</v>
      </c>
      <c r="W592" t="s">
        <v>45</v>
      </c>
      <c r="X592">
        <v>-21</v>
      </c>
      <c r="Y592">
        <v>1</v>
      </c>
      <c r="Z592">
        <f t="shared" si="54"/>
        <v>71</v>
      </c>
      <c r="AA592">
        <f t="shared" si="55"/>
        <v>0.7931034482758621</v>
      </c>
      <c r="AB592">
        <f t="shared" si="56"/>
        <v>45</v>
      </c>
      <c r="AC592" t="str">
        <f t="shared" si="57"/>
        <v>Medium</v>
      </c>
      <c r="AD592" t="str">
        <f t="shared" si="58"/>
        <v>Nudge core feature adoption</v>
      </c>
      <c r="AE592">
        <f t="shared" si="59"/>
        <v>29</v>
      </c>
    </row>
    <row r="593" spans="1:31" x14ac:dyDescent="0.35">
      <c r="A593" t="s">
        <v>651</v>
      </c>
      <c r="B593" s="4">
        <v>44841</v>
      </c>
      <c r="C593" s="4">
        <v>46143</v>
      </c>
      <c r="D593" t="s">
        <v>39</v>
      </c>
      <c r="E593">
        <v>58</v>
      </c>
      <c r="F593" t="s">
        <v>33</v>
      </c>
      <c r="G593" t="s">
        <v>63</v>
      </c>
      <c r="H593" t="s">
        <v>41</v>
      </c>
      <c r="I593" t="s">
        <v>36</v>
      </c>
      <c r="J593">
        <v>43</v>
      </c>
      <c r="K593" s="5">
        <v>670.57</v>
      </c>
      <c r="L593" s="5">
        <v>10.57</v>
      </c>
      <c r="M593">
        <v>18</v>
      </c>
      <c r="N593">
        <v>6</v>
      </c>
      <c r="O593">
        <v>3</v>
      </c>
      <c r="P593">
        <v>3</v>
      </c>
      <c r="Q593">
        <v>5</v>
      </c>
      <c r="R593">
        <v>0</v>
      </c>
      <c r="S593">
        <v>1</v>
      </c>
      <c r="T593">
        <v>0</v>
      </c>
      <c r="U593">
        <v>1</v>
      </c>
      <c r="V593">
        <v>1</v>
      </c>
      <c r="W593" t="s">
        <v>45</v>
      </c>
      <c r="X593">
        <v>-5</v>
      </c>
      <c r="Y593">
        <v>0</v>
      </c>
      <c r="Z593">
        <f t="shared" si="54"/>
        <v>51</v>
      </c>
      <c r="AA593">
        <f t="shared" si="55"/>
        <v>0.31506849315068491</v>
      </c>
      <c r="AB593">
        <f t="shared" si="56"/>
        <v>48</v>
      </c>
      <c r="AC593" t="str">
        <f t="shared" si="57"/>
        <v>Medium</v>
      </c>
      <c r="AD593" t="str">
        <f t="shared" si="58"/>
        <v>Nudge core feature adoption</v>
      </c>
      <c r="AE593">
        <f t="shared" si="59"/>
        <v>49</v>
      </c>
    </row>
    <row r="594" spans="1:31" x14ac:dyDescent="0.35">
      <c r="A594" t="s">
        <v>652</v>
      </c>
      <c r="B594" s="4">
        <v>46084</v>
      </c>
      <c r="C594" s="4">
        <v>46143</v>
      </c>
      <c r="D594" t="s">
        <v>32</v>
      </c>
      <c r="E594">
        <v>19</v>
      </c>
      <c r="F594" t="s">
        <v>33</v>
      </c>
      <c r="G594" t="s">
        <v>85</v>
      </c>
      <c r="H594" t="s">
        <v>41</v>
      </c>
      <c r="I594" t="s">
        <v>36</v>
      </c>
      <c r="J594">
        <v>1</v>
      </c>
      <c r="K594" s="5">
        <v>301.74</v>
      </c>
      <c r="L594" s="5">
        <v>0</v>
      </c>
      <c r="M594">
        <v>18</v>
      </c>
      <c r="N594">
        <v>6</v>
      </c>
      <c r="O594">
        <v>4</v>
      </c>
      <c r="P594">
        <v>0</v>
      </c>
      <c r="Q594">
        <v>7</v>
      </c>
      <c r="R594">
        <v>0</v>
      </c>
      <c r="S594">
        <v>0</v>
      </c>
      <c r="T594">
        <v>1</v>
      </c>
      <c r="U594">
        <v>0</v>
      </c>
      <c r="V594">
        <v>1</v>
      </c>
      <c r="W594" t="s">
        <v>37</v>
      </c>
      <c r="X594">
        <v>35</v>
      </c>
      <c r="Y594">
        <v>0</v>
      </c>
      <c r="Z594">
        <f t="shared" si="54"/>
        <v>42</v>
      </c>
      <c r="AA594">
        <f t="shared" si="55"/>
        <v>0.80645161290322576</v>
      </c>
      <c r="AB594">
        <f t="shared" si="56"/>
        <v>24</v>
      </c>
      <c r="AC594" t="str">
        <f t="shared" si="57"/>
        <v>Low</v>
      </c>
      <c r="AD594" t="str">
        <f t="shared" si="58"/>
        <v>Upsell premium bundle</v>
      </c>
      <c r="AE594">
        <f t="shared" si="59"/>
        <v>58</v>
      </c>
    </row>
    <row r="595" spans="1:31" x14ac:dyDescent="0.35">
      <c r="A595" t="s">
        <v>653</v>
      </c>
      <c r="B595" s="4">
        <v>45996</v>
      </c>
      <c r="C595" s="4">
        <v>46143</v>
      </c>
      <c r="D595" t="s">
        <v>60</v>
      </c>
      <c r="E595">
        <v>55</v>
      </c>
      <c r="F595" t="s">
        <v>33</v>
      </c>
      <c r="G595" t="s">
        <v>34</v>
      </c>
      <c r="H595" t="s">
        <v>58</v>
      </c>
      <c r="I595" t="s">
        <v>36</v>
      </c>
      <c r="J595">
        <v>4</v>
      </c>
      <c r="K595" s="5">
        <v>817.36</v>
      </c>
      <c r="L595" s="5">
        <v>134.51</v>
      </c>
      <c r="M595">
        <v>11</v>
      </c>
      <c r="N595">
        <v>5</v>
      </c>
      <c r="O595">
        <v>2</v>
      </c>
      <c r="P595">
        <v>0</v>
      </c>
      <c r="Q595">
        <v>6</v>
      </c>
      <c r="R595">
        <v>0</v>
      </c>
      <c r="S595">
        <v>1</v>
      </c>
      <c r="T595">
        <v>1</v>
      </c>
      <c r="U595">
        <v>0</v>
      </c>
      <c r="V595">
        <v>0</v>
      </c>
      <c r="W595" t="s">
        <v>45</v>
      </c>
      <c r="X595">
        <v>-19</v>
      </c>
      <c r="Y595">
        <v>0</v>
      </c>
      <c r="Z595">
        <f t="shared" si="54"/>
        <v>23</v>
      </c>
      <c r="AA595">
        <f t="shared" si="55"/>
        <v>0.5</v>
      </c>
      <c r="AB595">
        <f t="shared" si="56"/>
        <v>56</v>
      </c>
      <c r="AC595" t="str">
        <f t="shared" si="57"/>
        <v>Medium</v>
      </c>
      <c r="AD595" t="str">
        <f t="shared" si="58"/>
        <v>Nudge core feature adoption</v>
      </c>
      <c r="AE595">
        <f t="shared" si="59"/>
        <v>77</v>
      </c>
    </row>
    <row r="596" spans="1:31" x14ac:dyDescent="0.35">
      <c r="A596" t="s">
        <v>654</v>
      </c>
      <c r="B596" s="4">
        <v>45308</v>
      </c>
      <c r="C596" s="4">
        <v>46143</v>
      </c>
      <c r="D596" t="s">
        <v>60</v>
      </c>
      <c r="E596">
        <v>60</v>
      </c>
      <c r="F596" t="s">
        <v>57</v>
      </c>
      <c r="G596" t="s">
        <v>40</v>
      </c>
      <c r="H596" t="s">
        <v>35</v>
      </c>
      <c r="I596" t="s">
        <v>36</v>
      </c>
      <c r="J596">
        <v>27</v>
      </c>
      <c r="K596" s="5">
        <v>1676.17</v>
      </c>
      <c r="L596" s="5">
        <v>938.91</v>
      </c>
      <c r="M596">
        <v>36</v>
      </c>
      <c r="N596">
        <v>17</v>
      </c>
      <c r="O596">
        <v>2</v>
      </c>
      <c r="P596">
        <v>5</v>
      </c>
      <c r="Q596">
        <v>19</v>
      </c>
      <c r="R596">
        <v>2</v>
      </c>
      <c r="S596">
        <v>0</v>
      </c>
      <c r="T596">
        <v>1</v>
      </c>
      <c r="U596">
        <v>0</v>
      </c>
      <c r="V596">
        <v>1</v>
      </c>
      <c r="W596" t="s">
        <v>52</v>
      </c>
      <c r="X596">
        <v>-11</v>
      </c>
      <c r="Y596">
        <v>0</v>
      </c>
      <c r="Z596">
        <f t="shared" si="54"/>
        <v>85</v>
      </c>
      <c r="AA596">
        <f t="shared" si="55"/>
        <v>0.96491228070175439</v>
      </c>
      <c r="AB596">
        <f t="shared" si="56"/>
        <v>17</v>
      </c>
      <c r="AC596" t="str">
        <f t="shared" si="57"/>
        <v>Low</v>
      </c>
      <c r="AD596" t="str">
        <f t="shared" si="58"/>
        <v>Upsell premium bundle</v>
      </c>
      <c r="AE596">
        <f t="shared" si="59"/>
        <v>15</v>
      </c>
    </row>
    <row r="597" spans="1:31" x14ac:dyDescent="0.35">
      <c r="A597" t="s">
        <v>655</v>
      </c>
      <c r="B597" s="4">
        <v>45170</v>
      </c>
      <c r="C597" s="4">
        <v>46143</v>
      </c>
      <c r="D597" t="s">
        <v>66</v>
      </c>
      <c r="E597">
        <v>47</v>
      </c>
      <c r="F597" t="s">
        <v>61</v>
      </c>
      <c r="G597" t="s">
        <v>48</v>
      </c>
      <c r="H597" t="s">
        <v>58</v>
      </c>
      <c r="I597" t="s">
        <v>36</v>
      </c>
      <c r="J597">
        <v>32</v>
      </c>
      <c r="K597" s="5">
        <v>2697.61</v>
      </c>
      <c r="L597" s="5">
        <v>736.18</v>
      </c>
      <c r="M597">
        <v>57</v>
      </c>
      <c r="N597">
        <v>19</v>
      </c>
      <c r="O597">
        <v>15</v>
      </c>
      <c r="P597">
        <v>3</v>
      </c>
      <c r="Q597">
        <v>37</v>
      </c>
      <c r="R597">
        <v>1</v>
      </c>
      <c r="S597">
        <v>0</v>
      </c>
      <c r="T597">
        <v>0</v>
      </c>
      <c r="U597">
        <v>0</v>
      </c>
      <c r="V597">
        <v>0</v>
      </c>
      <c r="W597" t="s">
        <v>37</v>
      </c>
      <c r="X597">
        <v>24</v>
      </c>
      <c r="Y597">
        <v>0</v>
      </c>
      <c r="Z597">
        <f t="shared" si="54"/>
        <v>100</v>
      </c>
      <c r="AA597">
        <f t="shared" si="55"/>
        <v>1.5161290322580645</v>
      </c>
      <c r="AB597">
        <f t="shared" si="56"/>
        <v>0</v>
      </c>
      <c r="AC597" t="str">
        <f t="shared" si="57"/>
        <v>Low</v>
      </c>
      <c r="AD597" t="str">
        <f t="shared" si="58"/>
        <v>Upsell premium bundle</v>
      </c>
      <c r="AE597">
        <f t="shared" si="59"/>
        <v>0</v>
      </c>
    </row>
    <row r="598" spans="1:31" x14ac:dyDescent="0.35">
      <c r="A598" t="s">
        <v>656</v>
      </c>
      <c r="B598" s="4">
        <v>45110</v>
      </c>
      <c r="C598" s="4">
        <v>46143</v>
      </c>
      <c r="D598" t="s">
        <v>47</v>
      </c>
      <c r="E598">
        <v>23</v>
      </c>
      <c r="F598" t="s">
        <v>61</v>
      </c>
      <c r="G598" t="s">
        <v>63</v>
      </c>
      <c r="H598" t="s">
        <v>44</v>
      </c>
      <c r="I598" t="s">
        <v>36</v>
      </c>
      <c r="J598">
        <v>34</v>
      </c>
      <c r="K598" s="5">
        <v>1593.51</v>
      </c>
      <c r="L598" s="5">
        <v>571.11</v>
      </c>
      <c r="M598">
        <v>25</v>
      </c>
      <c r="N598">
        <v>17</v>
      </c>
      <c r="O598">
        <v>4</v>
      </c>
      <c r="P598">
        <v>3</v>
      </c>
      <c r="Q598">
        <v>7</v>
      </c>
      <c r="R598">
        <v>0</v>
      </c>
      <c r="S598">
        <v>1</v>
      </c>
      <c r="T598">
        <v>1</v>
      </c>
      <c r="U598">
        <v>0</v>
      </c>
      <c r="V598">
        <v>0</v>
      </c>
      <c r="W598" t="s">
        <v>50</v>
      </c>
      <c r="X598">
        <v>1</v>
      </c>
      <c r="Y598">
        <v>0</v>
      </c>
      <c r="Z598">
        <f t="shared" si="54"/>
        <v>55</v>
      </c>
      <c r="AA598">
        <f t="shared" si="55"/>
        <v>0.5</v>
      </c>
      <c r="AB598">
        <f t="shared" si="56"/>
        <v>34</v>
      </c>
      <c r="AC598" t="str">
        <f t="shared" si="57"/>
        <v>Low</v>
      </c>
      <c r="AD598" t="str">
        <f t="shared" si="58"/>
        <v>Upsell premium bundle</v>
      </c>
      <c r="AE598">
        <f t="shared" si="59"/>
        <v>45</v>
      </c>
    </row>
    <row r="599" spans="1:31" x14ac:dyDescent="0.35">
      <c r="A599" t="s">
        <v>657</v>
      </c>
      <c r="B599" s="4">
        <v>45370</v>
      </c>
      <c r="C599" s="4">
        <v>46143</v>
      </c>
      <c r="D599" t="s">
        <v>39</v>
      </c>
      <c r="E599">
        <v>43</v>
      </c>
      <c r="F599" t="s">
        <v>57</v>
      </c>
      <c r="G599" t="s">
        <v>34</v>
      </c>
      <c r="H599" t="s">
        <v>41</v>
      </c>
      <c r="I599" t="s">
        <v>36</v>
      </c>
      <c r="J599">
        <v>25</v>
      </c>
      <c r="K599" s="5">
        <v>1564.54</v>
      </c>
      <c r="L599" s="5">
        <v>523.09</v>
      </c>
      <c r="M599">
        <v>22</v>
      </c>
      <c r="N599">
        <v>9</v>
      </c>
      <c r="O599">
        <v>1</v>
      </c>
      <c r="P599">
        <v>2</v>
      </c>
      <c r="Q599">
        <v>20</v>
      </c>
      <c r="R599">
        <v>2</v>
      </c>
      <c r="S599">
        <v>2</v>
      </c>
      <c r="T599">
        <v>1</v>
      </c>
      <c r="U599">
        <v>1</v>
      </c>
      <c r="V599">
        <v>1</v>
      </c>
      <c r="W599" t="s">
        <v>50</v>
      </c>
      <c r="X599">
        <v>-32</v>
      </c>
      <c r="Y599">
        <v>0</v>
      </c>
      <c r="Z599">
        <f t="shared" si="54"/>
        <v>68</v>
      </c>
      <c r="AA599">
        <f t="shared" si="55"/>
        <v>0.76363636363636367</v>
      </c>
      <c r="AB599">
        <f t="shared" si="56"/>
        <v>60</v>
      </c>
      <c r="AC599" t="str">
        <f t="shared" si="57"/>
        <v>Medium</v>
      </c>
      <c r="AD599" t="str">
        <f t="shared" si="58"/>
        <v>Nudge core feature adoption</v>
      </c>
      <c r="AE599">
        <f t="shared" si="59"/>
        <v>32</v>
      </c>
    </row>
    <row r="600" spans="1:31" x14ac:dyDescent="0.35">
      <c r="A600" t="s">
        <v>658</v>
      </c>
      <c r="B600" s="4">
        <v>45534</v>
      </c>
      <c r="C600" s="4">
        <v>46143</v>
      </c>
      <c r="D600" t="s">
        <v>66</v>
      </c>
      <c r="E600">
        <v>66</v>
      </c>
      <c r="F600" t="s">
        <v>57</v>
      </c>
      <c r="G600" t="s">
        <v>40</v>
      </c>
      <c r="H600" t="s">
        <v>41</v>
      </c>
      <c r="I600" t="s">
        <v>36</v>
      </c>
      <c r="J600">
        <v>20</v>
      </c>
      <c r="K600" s="5">
        <v>1282.42</v>
      </c>
      <c r="L600" s="5">
        <v>1128.08</v>
      </c>
      <c r="M600">
        <v>2</v>
      </c>
      <c r="N600">
        <v>0</v>
      </c>
      <c r="O600">
        <v>0</v>
      </c>
      <c r="P600">
        <v>0</v>
      </c>
      <c r="Q600">
        <v>6</v>
      </c>
      <c r="R600">
        <v>2</v>
      </c>
      <c r="S600">
        <v>1</v>
      </c>
      <c r="T600">
        <v>0</v>
      </c>
      <c r="U600">
        <v>1</v>
      </c>
      <c r="V600">
        <v>0</v>
      </c>
      <c r="W600" t="s">
        <v>55</v>
      </c>
      <c r="X600">
        <v>-10</v>
      </c>
      <c r="Y600">
        <v>1</v>
      </c>
      <c r="Z600">
        <f t="shared" si="54"/>
        <v>16</v>
      </c>
      <c r="AA600">
        <f t="shared" si="55"/>
        <v>0.16</v>
      </c>
      <c r="AB600">
        <f t="shared" si="56"/>
        <v>62</v>
      </c>
      <c r="AC600" t="str">
        <f t="shared" si="57"/>
        <v>Medium</v>
      </c>
      <c r="AD600" t="str">
        <f t="shared" si="58"/>
        <v>Nudge core feature adoption</v>
      </c>
      <c r="AE600">
        <f t="shared" si="59"/>
        <v>84</v>
      </c>
    </row>
    <row r="601" spans="1:31" x14ac:dyDescent="0.35">
      <c r="A601" t="s">
        <v>659</v>
      </c>
      <c r="B601" s="4">
        <v>45230</v>
      </c>
      <c r="C601" s="4">
        <v>46143</v>
      </c>
      <c r="D601" t="s">
        <v>72</v>
      </c>
      <c r="E601">
        <v>31</v>
      </c>
      <c r="F601" t="s">
        <v>33</v>
      </c>
      <c r="G601" t="s">
        <v>40</v>
      </c>
      <c r="H601" t="s">
        <v>58</v>
      </c>
      <c r="I601" t="s">
        <v>36</v>
      </c>
      <c r="J601">
        <v>30</v>
      </c>
      <c r="K601" s="5">
        <v>290.95999999999998</v>
      </c>
      <c r="L601" s="5">
        <v>221.76</v>
      </c>
      <c r="M601">
        <v>15</v>
      </c>
      <c r="N601">
        <v>7</v>
      </c>
      <c r="O601">
        <v>1</v>
      </c>
      <c r="P601">
        <v>1</v>
      </c>
      <c r="Q601">
        <v>19</v>
      </c>
      <c r="R601">
        <v>0</v>
      </c>
      <c r="S601">
        <v>0</v>
      </c>
      <c r="T601">
        <v>1</v>
      </c>
      <c r="U601">
        <v>1</v>
      </c>
      <c r="V601">
        <v>0</v>
      </c>
      <c r="W601" t="s">
        <v>55</v>
      </c>
      <c r="X601">
        <v>62</v>
      </c>
      <c r="Y601">
        <v>0</v>
      </c>
      <c r="Z601">
        <f t="shared" si="54"/>
        <v>49</v>
      </c>
      <c r="AA601">
        <f t="shared" si="55"/>
        <v>0.56666666666666665</v>
      </c>
      <c r="AB601">
        <f t="shared" si="56"/>
        <v>0</v>
      </c>
      <c r="AC601" t="str">
        <f t="shared" si="57"/>
        <v>Low</v>
      </c>
      <c r="AD601" t="str">
        <f t="shared" si="58"/>
        <v>Upsell premium bundle</v>
      </c>
      <c r="AE601">
        <f t="shared" si="59"/>
        <v>51</v>
      </c>
    </row>
    <row r="602" spans="1:31" x14ac:dyDescent="0.35">
      <c r="A602" t="s">
        <v>660</v>
      </c>
      <c r="B602" s="4">
        <v>45114</v>
      </c>
      <c r="C602" s="4">
        <v>46143</v>
      </c>
      <c r="D602" t="s">
        <v>39</v>
      </c>
      <c r="E602">
        <v>66</v>
      </c>
      <c r="F602" t="s">
        <v>33</v>
      </c>
      <c r="G602" t="s">
        <v>67</v>
      </c>
      <c r="H602" t="s">
        <v>35</v>
      </c>
      <c r="I602" t="s">
        <v>36</v>
      </c>
      <c r="J602">
        <v>34</v>
      </c>
      <c r="K602" s="5">
        <v>679.18</v>
      </c>
      <c r="L602" s="5">
        <v>404.04</v>
      </c>
      <c r="M602">
        <v>27</v>
      </c>
      <c r="N602">
        <v>16</v>
      </c>
      <c r="O602">
        <v>2</v>
      </c>
      <c r="P602">
        <v>4</v>
      </c>
      <c r="Q602">
        <v>14</v>
      </c>
      <c r="R602">
        <v>1</v>
      </c>
      <c r="S602">
        <v>1</v>
      </c>
      <c r="T602">
        <v>1</v>
      </c>
      <c r="U602">
        <v>1</v>
      </c>
      <c r="V602">
        <v>1</v>
      </c>
      <c r="W602" t="s">
        <v>45</v>
      </c>
      <c r="X602">
        <v>-4</v>
      </c>
      <c r="Y602">
        <v>0</v>
      </c>
      <c r="Z602">
        <f t="shared" si="54"/>
        <v>77</v>
      </c>
      <c r="AA602">
        <f t="shared" si="55"/>
        <v>0.640625</v>
      </c>
      <c r="AB602">
        <f t="shared" si="56"/>
        <v>26</v>
      </c>
      <c r="AC602" t="str">
        <f t="shared" si="57"/>
        <v>Low</v>
      </c>
      <c r="AD602" t="str">
        <f t="shared" si="58"/>
        <v>Upsell premium bundle</v>
      </c>
      <c r="AE602">
        <f t="shared" si="59"/>
        <v>23</v>
      </c>
    </row>
    <row r="603" spans="1:31" x14ac:dyDescent="0.35">
      <c r="A603" t="s">
        <v>661</v>
      </c>
      <c r="B603" s="4">
        <v>45366</v>
      </c>
      <c r="C603" s="4">
        <v>46143</v>
      </c>
      <c r="D603" t="s">
        <v>60</v>
      </c>
      <c r="E603">
        <v>71</v>
      </c>
      <c r="F603" t="s">
        <v>57</v>
      </c>
      <c r="G603" t="s">
        <v>85</v>
      </c>
      <c r="H603" t="s">
        <v>41</v>
      </c>
      <c r="I603" t="s">
        <v>36</v>
      </c>
      <c r="J603">
        <v>25</v>
      </c>
      <c r="K603" s="5">
        <v>632.76</v>
      </c>
      <c r="L603" s="5">
        <v>336.57</v>
      </c>
      <c r="M603">
        <v>36</v>
      </c>
      <c r="N603">
        <v>17</v>
      </c>
      <c r="O603">
        <v>5</v>
      </c>
      <c r="P603">
        <v>1</v>
      </c>
      <c r="Q603">
        <v>30</v>
      </c>
      <c r="R603">
        <v>1</v>
      </c>
      <c r="S603">
        <v>1</v>
      </c>
      <c r="T603">
        <v>1</v>
      </c>
      <c r="U603">
        <v>1</v>
      </c>
      <c r="V603">
        <v>1</v>
      </c>
      <c r="W603" t="s">
        <v>55</v>
      </c>
      <c r="X603">
        <v>42</v>
      </c>
      <c r="Y603">
        <v>0</v>
      </c>
      <c r="Z603">
        <f t="shared" si="54"/>
        <v>100</v>
      </c>
      <c r="AA603">
        <f t="shared" si="55"/>
        <v>1.2</v>
      </c>
      <c r="AB603">
        <f t="shared" si="56"/>
        <v>4</v>
      </c>
      <c r="AC603" t="str">
        <f t="shared" si="57"/>
        <v>Low</v>
      </c>
      <c r="AD603" t="str">
        <f t="shared" si="58"/>
        <v>Upsell premium bundle</v>
      </c>
      <c r="AE603">
        <f t="shared" si="59"/>
        <v>0</v>
      </c>
    </row>
    <row r="604" spans="1:31" x14ac:dyDescent="0.35">
      <c r="A604" t="s">
        <v>662</v>
      </c>
      <c r="B604" s="4">
        <v>45977</v>
      </c>
      <c r="C604" s="4">
        <v>46143</v>
      </c>
      <c r="D604" t="s">
        <v>47</v>
      </c>
      <c r="E604">
        <v>56</v>
      </c>
      <c r="F604" t="s">
        <v>57</v>
      </c>
      <c r="G604" t="s">
        <v>40</v>
      </c>
      <c r="H604" t="s">
        <v>58</v>
      </c>
      <c r="I604" t="s">
        <v>36</v>
      </c>
      <c r="J604">
        <v>5</v>
      </c>
      <c r="K604" s="5">
        <v>779.98</v>
      </c>
      <c r="L604" s="5">
        <v>1565.66</v>
      </c>
      <c r="M604">
        <v>4</v>
      </c>
      <c r="N604">
        <v>2</v>
      </c>
      <c r="O604">
        <v>1</v>
      </c>
      <c r="P604">
        <v>0</v>
      </c>
      <c r="Q604">
        <v>4</v>
      </c>
      <c r="R604">
        <v>1</v>
      </c>
      <c r="S604">
        <v>0</v>
      </c>
      <c r="T604">
        <v>1</v>
      </c>
      <c r="U604">
        <v>1</v>
      </c>
      <c r="V604">
        <v>1</v>
      </c>
      <c r="W604" t="s">
        <v>50</v>
      </c>
      <c r="X604">
        <v>17</v>
      </c>
      <c r="Y604">
        <v>0</v>
      </c>
      <c r="Z604">
        <f t="shared" si="54"/>
        <v>26</v>
      </c>
      <c r="AA604">
        <f t="shared" si="55"/>
        <v>0.22857142857142856</v>
      </c>
      <c r="AB604">
        <f t="shared" si="56"/>
        <v>18</v>
      </c>
      <c r="AC604" t="str">
        <f t="shared" si="57"/>
        <v>Low</v>
      </c>
      <c r="AD604" t="str">
        <f t="shared" si="58"/>
        <v>Upsell premium bundle</v>
      </c>
      <c r="AE604">
        <f t="shared" si="59"/>
        <v>74</v>
      </c>
    </row>
    <row r="605" spans="1:31" x14ac:dyDescent="0.35">
      <c r="A605" t="s">
        <v>663</v>
      </c>
      <c r="B605" s="4">
        <v>44747</v>
      </c>
      <c r="C605" s="4">
        <v>46143</v>
      </c>
      <c r="D605" t="s">
        <v>72</v>
      </c>
      <c r="E605">
        <v>46</v>
      </c>
      <c r="F605" t="s">
        <v>57</v>
      </c>
      <c r="G605" t="s">
        <v>34</v>
      </c>
      <c r="H605" t="s">
        <v>41</v>
      </c>
      <c r="I605" t="s">
        <v>36</v>
      </c>
      <c r="J605">
        <v>46</v>
      </c>
      <c r="K605" s="5">
        <v>1295.3699999999999</v>
      </c>
      <c r="L605" s="5">
        <v>0</v>
      </c>
      <c r="M605">
        <v>21</v>
      </c>
      <c r="N605">
        <v>12</v>
      </c>
      <c r="O605">
        <v>5</v>
      </c>
      <c r="P605">
        <v>4</v>
      </c>
      <c r="Q605">
        <v>3</v>
      </c>
      <c r="R605">
        <v>3</v>
      </c>
      <c r="S605">
        <v>1</v>
      </c>
      <c r="T605">
        <v>1</v>
      </c>
      <c r="U605">
        <v>1</v>
      </c>
      <c r="V605">
        <v>1</v>
      </c>
      <c r="W605" t="s">
        <v>55</v>
      </c>
      <c r="X605">
        <v>-5</v>
      </c>
      <c r="Y605">
        <v>1</v>
      </c>
      <c r="Z605">
        <f t="shared" si="54"/>
        <v>61</v>
      </c>
      <c r="AA605">
        <f t="shared" si="55"/>
        <v>0.31578947368421051</v>
      </c>
      <c r="AB605">
        <f t="shared" si="56"/>
        <v>40</v>
      </c>
      <c r="AC605" t="str">
        <f t="shared" si="57"/>
        <v>Medium</v>
      </c>
      <c r="AD605" t="str">
        <f t="shared" si="58"/>
        <v>Nudge core feature adoption</v>
      </c>
      <c r="AE605">
        <f t="shared" si="59"/>
        <v>39</v>
      </c>
    </row>
    <row r="606" spans="1:31" x14ac:dyDescent="0.35">
      <c r="A606" t="s">
        <v>664</v>
      </c>
      <c r="B606" s="4">
        <v>45648</v>
      </c>
      <c r="C606" s="4">
        <v>46143</v>
      </c>
      <c r="D606" t="s">
        <v>39</v>
      </c>
      <c r="E606">
        <v>40</v>
      </c>
      <c r="F606" t="s">
        <v>57</v>
      </c>
      <c r="G606" t="s">
        <v>48</v>
      </c>
      <c r="H606" t="s">
        <v>41</v>
      </c>
      <c r="I606" t="s">
        <v>36</v>
      </c>
      <c r="J606">
        <v>16</v>
      </c>
      <c r="K606" s="5">
        <v>0</v>
      </c>
      <c r="L606" s="5">
        <v>66.72</v>
      </c>
      <c r="M606">
        <v>24</v>
      </c>
      <c r="N606">
        <v>12</v>
      </c>
      <c r="O606">
        <v>2</v>
      </c>
      <c r="P606">
        <v>1</v>
      </c>
      <c r="Q606">
        <v>15</v>
      </c>
      <c r="R606">
        <v>0</v>
      </c>
      <c r="S606">
        <v>0</v>
      </c>
      <c r="T606">
        <v>1</v>
      </c>
      <c r="U606">
        <v>1</v>
      </c>
      <c r="V606">
        <v>0</v>
      </c>
      <c r="W606" t="s">
        <v>55</v>
      </c>
      <c r="X606">
        <v>68</v>
      </c>
      <c r="Y606">
        <v>0</v>
      </c>
      <c r="Z606">
        <f t="shared" si="54"/>
        <v>60</v>
      </c>
      <c r="AA606">
        <f t="shared" si="55"/>
        <v>0.84782608695652173</v>
      </c>
      <c r="AB606">
        <f t="shared" si="56"/>
        <v>0</v>
      </c>
      <c r="AC606" t="str">
        <f t="shared" si="57"/>
        <v>Low</v>
      </c>
      <c r="AD606" t="str">
        <f t="shared" si="58"/>
        <v>Upsell premium bundle</v>
      </c>
      <c r="AE606">
        <f t="shared" si="59"/>
        <v>40</v>
      </c>
    </row>
    <row r="607" spans="1:31" x14ac:dyDescent="0.35">
      <c r="A607" t="s">
        <v>665</v>
      </c>
      <c r="B607" s="4">
        <v>45137</v>
      </c>
      <c r="C607" s="4">
        <v>46143</v>
      </c>
      <c r="D607" t="s">
        <v>66</v>
      </c>
      <c r="E607">
        <v>64</v>
      </c>
      <c r="F607" t="s">
        <v>33</v>
      </c>
      <c r="G607" t="s">
        <v>48</v>
      </c>
      <c r="H607" t="s">
        <v>41</v>
      </c>
      <c r="I607" t="s">
        <v>36</v>
      </c>
      <c r="J607">
        <v>33</v>
      </c>
      <c r="K607" s="5">
        <v>528.57000000000005</v>
      </c>
      <c r="L607" s="5">
        <v>311.60000000000002</v>
      </c>
      <c r="M607">
        <v>20</v>
      </c>
      <c r="N607">
        <v>9</v>
      </c>
      <c r="O607">
        <v>5</v>
      </c>
      <c r="P607">
        <v>2</v>
      </c>
      <c r="Q607">
        <v>16</v>
      </c>
      <c r="R607">
        <v>4</v>
      </c>
      <c r="S607">
        <v>1</v>
      </c>
      <c r="T607">
        <v>1</v>
      </c>
      <c r="U607">
        <v>0</v>
      </c>
      <c r="V607">
        <v>0</v>
      </c>
      <c r="W607" t="s">
        <v>50</v>
      </c>
      <c r="X607">
        <v>-5</v>
      </c>
      <c r="Y607">
        <v>1</v>
      </c>
      <c r="Z607">
        <f t="shared" si="54"/>
        <v>52</v>
      </c>
      <c r="AA607">
        <f t="shared" si="55"/>
        <v>0.5714285714285714</v>
      </c>
      <c r="AB607">
        <f t="shared" si="56"/>
        <v>42</v>
      </c>
      <c r="AC607" t="str">
        <f t="shared" si="57"/>
        <v>Medium</v>
      </c>
      <c r="AD607" t="str">
        <f t="shared" si="58"/>
        <v>Nudge core feature adoption</v>
      </c>
      <c r="AE607">
        <f t="shared" si="59"/>
        <v>48</v>
      </c>
    </row>
    <row r="608" spans="1:31" x14ac:dyDescent="0.35">
      <c r="A608" t="s">
        <v>666</v>
      </c>
      <c r="B608" s="4">
        <v>45681</v>
      </c>
      <c r="C608" s="4">
        <v>46143</v>
      </c>
      <c r="D608" t="s">
        <v>72</v>
      </c>
      <c r="E608">
        <v>26</v>
      </c>
      <c r="F608" t="s">
        <v>57</v>
      </c>
      <c r="G608" t="s">
        <v>48</v>
      </c>
      <c r="H608" t="s">
        <v>58</v>
      </c>
      <c r="I608" t="s">
        <v>49</v>
      </c>
      <c r="J608">
        <v>15</v>
      </c>
      <c r="K608" s="5">
        <v>799.57</v>
      </c>
      <c r="L608" s="5">
        <v>1259.83</v>
      </c>
      <c r="M608">
        <v>25</v>
      </c>
      <c r="N608">
        <v>7</v>
      </c>
      <c r="O608">
        <v>6</v>
      </c>
      <c r="P608">
        <v>0</v>
      </c>
      <c r="Q608">
        <v>19</v>
      </c>
      <c r="R608">
        <v>0</v>
      </c>
      <c r="S608">
        <v>0</v>
      </c>
      <c r="T608">
        <v>0</v>
      </c>
      <c r="U608">
        <v>0</v>
      </c>
      <c r="V608">
        <v>1</v>
      </c>
      <c r="W608" t="s">
        <v>55</v>
      </c>
      <c r="X608">
        <v>45</v>
      </c>
      <c r="Y608">
        <v>0</v>
      </c>
      <c r="Z608">
        <f t="shared" si="54"/>
        <v>64</v>
      </c>
      <c r="AA608">
        <f t="shared" si="55"/>
        <v>0.97777777777777775</v>
      </c>
      <c r="AB608">
        <f t="shared" si="56"/>
        <v>16</v>
      </c>
      <c r="AC608" t="str">
        <f t="shared" si="57"/>
        <v>Low</v>
      </c>
      <c r="AD608" t="str">
        <f t="shared" si="58"/>
        <v>Upsell premium bundle</v>
      </c>
      <c r="AE608">
        <f t="shared" si="59"/>
        <v>36</v>
      </c>
    </row>
    <row r="609" spans="1:31" x14ac:dyDescent="0.35">
      <c r="A609" t="s">
        <v>667</v>
      </c>
      <c r="B609" s="4">
        <v>46108</v>
      </c>
      <c r="C609" s="4">
        <v>46143</v>
      </c>
      <c r="D609" t="s">
        <v>66</v>
      </c>
      <c r="E609">
        <v>53</v>
      </c>
      <c r="F609" t="s">
        <v>33</v>
      </c>
      <c r="G609" t="s">
        <v>48</v>
      </c>
      <c r="H609" t="s">
        <v>58</v>
      </c>
      <c r="I609" t="s">
        <v>36</v>
      </c>
      <c r="J609">
        <v>1</v>
      </c>
      <c r="K609" s="5">
        <v>461.22</v>
      </c>
      <c r="L609" s="5">
        <v>38.79</v>
      </c>
      <c r="M609">
        <v>19</v>
      </c>
      <c r="N609">
        <v>8</v>
      </c>
      <c r="O609">
        <v>1</v>
      </c>
      <c r="P609">
        <v>3</v>
      </c>
      <c r="Q609">
        <v>31</v>
      </c>
      <c r="R609">
        <v>1</v>
      </c>
      <c r="S609">
        <v>1</v>
      </c>
      <c r="T609">
        <v>1</v>
      </c>
      <c r="U609">
        <v>0</v>
      </c>
      <c r="V609">
        <v>0</v>
      </c>
      <c r="W609" t="s">
        <v>45</v>
      </c>
      <c r="X609">
        <v>64</v>
      </c>
      <c r="Y609">
        <v>0</v>
      </c>
      <c r="Z609">
        <f t="shared" si="54"/>
        <v>60</v>
      </c>
      <c r="AA609">
        <f t="shared" si="55"/>
        <v>1.6129032258064515</v>
      </c>
      <c r="AB609">
        <f t="shared" si="56"/>
        <v>0</v>
      </c>
      <c r="AC609" t="str">
        <f t="shared" si="57"/>
        <v>Low</v>
      </c>
      <c r="AD609" t="str">
        <f t="shared" si="58"/>
        <v>Upsell premium bundle</v>
      </c>
      <c r="AE609">
        <f t="shared" si="59"/>
        <v>40</v>
      </c>
    </row>
    <row r="610" spans="1:31" x14ac:dyDescent="0.35">
      <c r="A610" t="s">
        <v>668</v>
      </c>
      <c r="B610" s="4">
        <v>44806</v>
      </c>
      <c r="C610" s="4">
        <v>46143</v>
      </c>
      <c r="D610" t="s">
        <v>39</v>
      </c>
      <c r="E610">
        <v>69</v>
      </c>
      <c r="F610" t="s">
        <v>43</v>
      </c>
      <c r="G610" t="s">
        <v>34</v>
      </c>
      <c r="H610" t="s">
        <v>41</v>
      </c>
      <c r="I610" t="s">
        <v>36</v>
      </c>
      <c r="J610">
        <v>44</v>
      </c>
      <c r="K610" s="5">
        <v>95.59</v>
      </c>
      <c r="L610" s="5">
        <v>21.89</v>
      </c>
      <c r="M610">
        <v>13</v>
      </c>
      <c r="N610">
        <v>7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 t="s">
        <v>55</v>
      </c>
      <c r="X610">
        <v>24</v>
      </c>
      <c r="Y610">
        <v>1</v>
      </c>
      <c r="Z610">
        <f t="shared" si="54"/>
        <v>22</v>
      </c>
      <c r="AA610">
        <f t="shared" si="55"/>
        <v>0.17567567567567569</v>
      </c>
      <c r="AB610">
        <f t="shared" si="56"/>
        <v>45</v>
      </c>
      <c r="AC610" t="str">
        <f t="shared" si="57"/>
        <v>Medium</v>
      </c>
      <c r="AD610" t="str">
        <f t="shared" si="58"/>
        <v>Nudge core feature adoption</v>
      </c>
      <c r="AE610">
        <f t="shared" si="59"/>
        <v>78</v>
      </c>
    </row>
    <row r="611" spans="1:31" x14ac:dyDescent="0.35">
      <c r="A611" t="s">
        <v>669</v>
      </c>
      <c r="B611" s="4">
        <v>45423</v>
      </c>
      <c r="C611" s="4">
        <v>46143</v>
      </c>
      <c r="D611" t="s">
        <v>47</v>
      </c>
      <c r="E611">
        <v>69</v>
      </c>
      <c r="F611" t="s">
        <v>61</v>
      </c>
      <c r="G611" t="s">
        <v>67</v>
      </c>
      <c r="H611" t="s">
        <v>35</v>
      </c>
      <c r="I611" t="s">
        <v>36</v>
      </c>
      <c r="J611">
        <v>24</v>
      </c>
      <c r="K611" s="5">
        <v>299.88</v>
      </c>
      <c r="L611" s="5">
        <v>1721.92</v>
      </c>
      <c r="M611">
        <v>24</v>
      </c>
      <c r="N611">
        <v>12</v>
      </c>
      <c r="O611">
        <v>6</v>
      </c>
      <c r="P611">
        <v>0</v>
      </c>
      <c r="Q611">
        <v>20</v>
      </c>
      <c r="R611">
        <v>2</v>
      </c>
      <c r="S611">
        <v>1</v>
      </c>
      <c r="T611">
        <v>1</v>
      </c>
      <c r="U611">
        <v>1</v>
      </c>
      <c r="V611">
        <v>0</v>
      </c>
      <c r="W611" t="s">
        <v>45</v>
      </c>
      <c r="X611">
        <v>-5</v>
      </c>
      <c r="Y611">
        <v>0</v>
      </c>
      <c r="Z611">
        <f t="shared" si="54"/>
        <v>68</v>
      </c>
      <c r="AA611">
        <f t="shared" si="55"/>
        <v>0.81481481481481477</v>
      </c>
      <c r="AB611">
        <f t="shared" si="56"/>
        <v>18</v>
      </c>
      <c r="AC611" t="str">
        <f t="shared" si="57"/>
        <v>Low</v>
      </c>
      <c r="AD611" t="str">
        <f t="shared" si="58"/>
        <v>Upsell premium bundle</v>
      </c>
      <c r="AE611">
        <f t="shared" si="59"/>
        <v>32</v>
      </c>
    </row>
    <row r="612" spans="1:31" x14ac:dyDescent="0.35">
      <c r="A612" t="s">
        <v>670</v>
      </c>
      <c r="B612" s="4">
        <v>44760</v>
      </c>
      <c r="C612" s="4">
        <v>46143</v>
      </c>
      <c r="D612" t="s">
        <v>32</v>
      </c>
      <c r="E612">
        <v>39</v>
      </c>
      <c r="F612" t="s">
        <v>61</v>
      </c>
      <c r="G612" t="s">
        <v>34</v>
      </c>
      <c r="H612" t="s">
        <v>41</v>
      </c>
      <c r="I612" t="s">
        <v>36</v>
      </c>
      <c r="J612">
        <v>46</v>
      </c>
      <c r="K612" s="5">
        <v>5144.74</v>
      </c>
      <c r="L612" s="5">
        <v>0</v>
      </c>
      <c r="M612">
        <v>2</v>
      </c>
      <c r="N612">
        <v>0</v>
      </c>
      <c r="O612">
        <v>0</v>
      </c>
      <c r="P612">
        <v>0</v>
      </c>
      <c r="Q612">
        <v>2</v>
      </c>
      <c r="R612">
        <v>3</v>
      </c>
      <c r="S612">
        <v>1</v>
      </c>
      <c r="T612">
        <v>0</v>
      </c>
      <c r="U612">
        <v>0</v>
      </c>
      <c r="V612">
        <v>0</v>
      </c>
      <c r="W612" t="s">
        <v>37</v>
      </c>
      <c r="X612">
        <v>-5</v>
      </c>
      <c r="Y612">
        <v>1</v>
      </c>
      <c r="Z612">
        <f t="shared" si="54"/>
        <v>4</v>
      </c>
      <c r="AA612">
        <f t="shared" si="55"/>
        <v>5.2631578947368418E-2</v>
      </c>
      <c r="AB612">
        <f t="shared" si="56"/>
        <v>62</v>
      </c>
      <c r="AC612" t="str">
        <f t="shared" si="57"/>
        <v>Medium</v>
      </c>
      <c r="AD612" t="str">
        <f t="shared" si="58"/>
        <v>Nudge core feature adoption</v>
      </c>
      <c r="AE612">
        <f t="shared" si="59"/>
        <v>96</v>
      </c>
    </row>
    <row r="613" spans="1:31" x14ac:dyDescent="0.35">
      <c r="A613" t="s">
        <v>671</v>
      </c>
      <c r="B613" s="4">
        <v>44705</v>
      </c>
      <c r="C613" s="4">
        <v>46143</v>
      </c>
      <c r="D613" t="s">
        <v>60</v>
      </c>
      <c r="E613">
        <v>60</v>
      </c>
      <c r="F613" t="s">
        <v>77</v>
      </c>
      <c r="G613" t="s">
        <v>85</v>
      </c>
      <c r="H613" t="s">
        <v>44</v>
      </c>
      <c r="I613" t="s">
        <v>36</v>
      </c>
      <c r="J613">
        <v>47</v>
      </c>
      <c r="K613" s="5">
        <v>7434.37</v>
      </c>
      <c r="L613" s="5">
        <v>7281.69</v>
      </c>
      <c r="M613">
        <v>32</v>
      </c>
      <c r="N613">
        <v>16</v>
      </c>
      <c r="O613">
        <v>2</v>
      </c>
      <c r="P613">
        <v>5</v>
      </c>
      <c r="Q613">
        <v>13</v>
      </c>
      <c r="R613">
        <v>3</v>
      </c>
      <c r="S613">
        <v>3</v>
      </c>
      <c r="T613">
        <v>1</v>
      </c>
      <c r="U613">
        <v>1</v>
      </c>
      <c r="V613">
        <v>1</v>
      </c>
      <c r="W613" t="s">
        <v>50</v>
      </c>
      <c r="X613">
        <v>28</v>
      </c>
      <c r="Y613">
        <v>0</v>
      </c>
      <c r="Z613">
        <f t="shared" si="54"/>
        <v>83</v>
      </c>
      <c r="AA613">
        <f t="shared" si="55"/>
        <v>0.58441558441558439</v>
      </c>
      <c r="AB613">
        <f t="shared" si="56"/>
        <v>10</v>
      </c>
      <c r="AC613" t="str">
        <f t="shared" si="57"/>
        <v>Low</v>
      </c>
      <c r="AD613" t="str">
        <f t="shared" si="58"/>
        <v>Upsell premium bundle</v>
      </c>
      <c r="AE613">
        <f t="shared" si="59"/>
        <v>17</v>
      </c>
    </row>
    <row r="614" spans="1:31" x14ac:dyDescent="0.35">
      <c r="A614" t="s">
        <v>672</v>
      </c>
      <c r="B614" s="4">
        <v>45857</v>
      </c>
      <c r="C614" s="4">
        <v>46143</v>
      </c>
      <c r="D614" t="s">
        <v>60</v>
      </c>
      <c r="E614">
        <v>30</v>
      </c>
      <c r="F614" t="s">
        <v>61</v>
      </c>
      <c r="G614" t="s">
        <v>40</v>
      </c>
      <c r="H614" t="s">
        <v>44</v>
      </c>
      <c r="I614" t="s">
        <v>49</v>
      </c>
      <c r="J614">
        <v>9</v>
      </c>
      <c r="K614" s="5">
        <v>5013.79</v>
      </c>
      <c r="L614" s="5">
        <v>1680.76</v>
      </c>
      <c r="M614">
        <v>27</v>
      </c>
      <c r="N614">
        <v>7</v>
      </c>
      <c r="O614">
        <v>2</v>
      </c>
      <c r="P614">
        <v>1</v>
      </c>
      <c r="Q614">
        <v>24</v>
      </c>
      <c r="R614">
        <v>1</v>
      </c>
      <c r="S614">
        <v>1</v>
      </c>
      <c r="T614">
        <v>1</v>
      </c>
      <c r="U614">
        <v>0</v>
      </c>
      <c r="V614">
        <v>0</v>
      </c>
      <c r="W614" t="s">
        <v>50</v>
      </c>
      <c r="X614">
        <v>7</v>
      </c>
      <c r="Y614">
        <v>0</v>
      </c>
      <c r="Z614">
        <f t="shared" si="54"/>
        <v>60</v>
      </c>
      <c r="AA614">
        <f t="shared" si="55"/>
        <v>1.3076923076923077</v>
      </c>
      <c r="AB614">
        <f t="shared" si="56"/>
        <v>33</v>
      </c>
      <c r="AC614" t="str">
        <f t="shared" si="57"/>
        <v>Low</v>
      </c>
      <c r="AD614" t="str">
        <f t="shared" si="58"/>
        <v>Upsell premium bundle</v>
      </c>
      <c r="AE614">
        <f t="shared" si="59"/>
        <v>40</v>
      </c>
    </row>
    <row r="615" spans="1:31" x14ac:dyDescent="0.35">
      <c r="A615" t="s">
        <v>673</v>
      </c>
      <c r="B615" s="4">
        <v>45438</v>
      </c>
      <c r="C615" s="4">
        <v>46143</v>
      </c>
      <c r="D615" t="s">
        <v>72</v>
      </c>
      <c r="E615">
        <v>20</v>
      </c>
      <c r="F615" t="s">
        <v>61</v>
      </c>
      <c r="G615" t="s">
        <v>67</v>
      </c>
      <c r="H615" t="s">
        <v>41</v>
      </c>
      <c r="I615" t="s">
        <v>36</v>
      </c>
      <c r="J615">
        <v>23</v>
      </c>
      <c r="K615" s="5">
        <v>4806.04</v>
      </c>
      <c r="L615" s="5">
        <v>300.35000000000002</v>
      </c>
      <c r="M615">
        <v>29</v>
      </c>
      <c r="N615">
        <v>14</v>
      </c>
      <c r="O615">
        <v>7</v>
      </c>
      <c r="P615">
        <v>0</v>
      </c>
      <c r="Q615">
        <v>10</v>
      </c>
      <c r="R615">
        <v>0</v>
      </c>
      <c r="S615">
        <v>1</v>
      </c>
      <c r="T615">
        <v>1</v>
      </c>
      <c r="U615">
        <v>0</v>
      </c>
      <c r="V615">
        <v>0</v>
      </c>
      <c r="W615" t="s">
        <v>45</v>
      </c>
      <c r="X615">
        <v>-56</v>
      </c>
      <c r="Y615">
        <v>0</v>
      </c>
      <c r="Z615">
        <f t="shared" si="54"/>
        <v>59</v>
      </c>
      <c r="AA615">
        <f t="shared" si="55"/>
        <v>0.73584905660377353</v>
      </c>
      <c r="AB615">
        <f t="shared" si="56"/>
        <v>70</v>
      </c>
      <c r="AC615" t="str">
        <f t="shared" si="57"/>
        <v>High</v>
      </c>
      <c r="AD615" t="str">
        <f t="shared" si="58"/>
        <v>Retention call</v>
      </c>
      <c r="AE615">
        <f t="shared" si="59"/>
        <v>41</v>
      </c>
    </row>
    <row r="616" spans="1:31" x14ac:dyDescent="0.35">
      <c r="A616" t="s">
        <v>674</v>
      </c>
      <c r="B616" s="4">
        <v>45875</v>
      </c>
      <c r="C616" s="4">
        <v>46143</v>
      </c>
      <c r="D616" t="s">
        <v>39</v>
      </c>
      <c r="E616">
        <v>58</v>
      </c>
      <c r="F616" t="s">
        <v>57</v>
      </c>
      <c r="G616" t="s">
        <v>67</v>
      </c>
      <c r="H616" t="s">
        <v>41</v>
      </c>
      <c r="I616" t="s">
        <v>36</v>
      </c>
      <c r="J616">
        <v>8</v>
      </c>
      <c r="K616" s="5">
        <v>1466.37</v>
      </c>
      <c r="L616" s="5">
        <v>1518.23</v>
      </c>
      <c r="M616">
        <v>39</v>
      </c>
      <c r="N616">
        <v>20</v>
      </c>
      <c r="O616">
        <v>3</v>
      </c>
      <c r="P616">
        <v>2</v>
      </c>
      <c r="Q616">
        <v>14</v>
      </c>
      <c r="R616">
        <v>3</v>
      </c>
      <c r="S616">
        <v>1</v>
      </c>
      <c r="T616">
        <v>1</v>
      </c>
      <c r="U616">
        <v>0</v>
      </c>
      <c r="V616">
        <v>1</v>
      </c>
      <c r="W616" t="s">
        <v>37</v>
      </c>
      <c r="X616">
        <v>26</v>
      </c>
      <c r="Y616">
        <v>0</v>
      </c>
      <c r="Z616">
        <f t="shared" si="54"/>
        <v>83</v>
      </c>
      <c r="AA616">
        <f t="shared" si="55"/>
        <v>1.3947368421052631</v>
      </c>
      <c r="AB616">
        <f t="shared" si="56"/>
        <v>5</v>
      </c>
      <c r="AC616" t="str">
        <f t="shared" si="57"/>
        <v>Low</v>
      </c>
      <c r="AD616" t="str">
        <f t="shared" si="58"/>
        <v>Upsell premium bundle</v>
      </c>
      <c r="AE616">
        <f t="shared" si="59"/>
        <v>17</v>
      </c>
    </row>
    <row r="617" spans="1:31" x14ac:dyDescent="0.35">
      <c r="A617" t="s">
        <v>675</v>
      </c>
      <c r="B617" s="4">
        <v>45614</v>
      </c>
      <c r="C617" s="4">
        <v>46143</v>
      </c>
      <c r="D617" t="s">
        <v>66</v>
      </c>
      <c r="E617">
        <v>42</v>
      </c>
      <c r="F617" t="s">
        <v>77</v>
      </c>
      <c r="G617" t="s">
        <v>63</v>
      </c>
      <c r="H617" t="s">
        <v>58</v>
      </c>
      <c r="I617" t="s">
        <v>49</v>
      </c>
      <c r="J617">
        <v>17</v>
      </c>
      <c r="K617" s="5">
        <v>2035.5</v>
      </c>
      <c r="L617" s="5">
        <v>6133.17</v>
      </c>
      <c r="M617">
        <v>17</v>
      </c>
      <c r="N617">
        <v>5</v>
      </c>
      <c r="O617">
        <v>3</v>
      </c>
      <c r="P617">
        <v>2</v>
      </c>
      <c r="Q617">
        <v>14</v>
      </c>
      <c r="R617">
        <v>2</v>
      </c>
      <c r="S617">
        <v>1</v>
      </c>
      <c r="T617">
        <v>0</v>
      </c>
      <c r="U617">
        <v>1</v>
      </c>
      <c r="V617">
        <v>0</v>
      </c>
      <c r="W617" t="s">
        <v>45</v>
      </c>
      <c r="X617">
        <v>-11</v>
      </c>
      <c r="Y617">
        <v>0</v>
      </c>
      <c r="Z617">
        <f t="shared" si="54"/>
        <v>49</v>
      </c>
      <c r="AA617">
        <f t="shared" si="55"/>
        <v>0.65957446808510634</v>
      </c>
      <c r="AB617">
        <f t="shared" si="56"/>
        <v>45</v>
      </c>
      <c r="AC617" t="str">
        <f t="shared" si="57"/>
        <v>Medium</v>
      </c>
      <c r="AD617" t="str">
        <f t="shared" si="58"/>
        <v>Nudge core feature adoption</v>
      </c>
      <c r="AE617">
        <f t="shared" si="59"/>
        <v>51</v>
      </c>
    </row>
    <row r="618" spans="1:31" x14ac:dyDescent="0.35">
      <c r="A618" t="s">
        <v>676</v>
      </c>
      <c r="B618" s="4">
        <v>45083</v>
      </c>
      <c r="C618" s="4">
        <v>46143</v>
      </c>
      <c r="D618" t="s">
        <v>47</v>
      </c>
      <c r="E618">
        <v>51</v>
      </c>
      <c r="F618" t="s">
        <v>61</v>
      </c>
      <c r="G618" t="s">
        <v>85</v>
      </c>
      <c r="H618" t="s">
        <v>44</v>
      </c>
      <c r="I618" t="s">
        <v>36</v>
      </c>
      <c r="J618">
        <v>35</v>
      </c>
      <c r="K618" s="5">
        <v>453.55</v>
      </c>
      <c r="L618" s="5">
        <v>4414.7</v>
      </c>
      <c r="M618">
        <v>44</v>
      </c>
      <c r="N618">
        <v>11</v>
      </c>
      <c r="O618">
        <v>6</v>
      </c>
      <c r="P618">
        <v>7</v>
      </c>
      <c r="Q618">
        <v>37</v>
      </c>
      <c r="R618">
        <v>1</v>
      </c>
      <c r="S618">
        <v>0</v>
      </c>
      <c r="T618">
        <v>1</v>
      </c>
      <c r="U618">
        <v>0</v>
      </c>
      <c r="V618">
        <v>1</v>
      </c>
      <c r="W618" t="s">
        <v>45</v>
      </c>
      <c r="X618">
        <v>61</v>
      </c>
      <c r="Y618">
        <v>0</v>
      </c>
      <c r="Z618">
        <f t="shared" si="54"/>
        <v>100</v>
      </c>
      <c r="AA618">
        <f t="shared" si="55"/>
        <v>1.2461538461538462</v>
      </c>
      <c r="AB618">
        <f t="shared" si="56"/>
        <v>0</v>
      </c>
      <c r="AC618" t="str">
        <f t="shared" si="57"/>
        <v>Low</v>
      </c>
      <c r="AD618" t="str">
        <f t="shared" si="58"/>
        <v>Upsell premium bundle</v>
      </c>
      <c r="AE618">
        <f t="shared" si="59"/>
        <v>0</v>
      </c>
    </row>
    <row r="619" spans="1:31" x14ac:dyDescent="0.35">
      <c r="A619" t="s">
        <v>677</v>
      </c>
      <c r="B619" s="4">
        <v>46121</v>
      </c>
      <c r="C619" s="4">
        <v>46143</v>
      </c>
      <c r="D619" t="s">
        <v>47</v>
      </c>
      <c r="E619">
        <v>33</v>
      </c>
      <c r="F619" t="s">
        <v>77</v>
      </c>
      <c r="G619" t="s">
        <v>85</v>
      </c>
      <c r="H619" t="s">
        <v>35</v>
      </c>
      <c r="I619" t="s">
        <v>36</v>
      </c>
      <c r="J619">
        <v>1</v>
      </c>
      <c r="K619" s="5">
        <v>10863.87</v>
      </c>
      <c r="L619" s="5">
        <v>12023.15</v>
      </c>
      <c r="M619">
        <v>15</v>
      </c>
      <c r="N619">
        <v>10</v>
      </c>
      <c r="O619">
        <v>1</v>
      </c>
      <c r="P619">
        <v>1</v>
      </c>
      <c r="Q619">
        <v>10</v>
      </c>
      <c r="R619">
        <v>0</v>
      </c>
      <c r="S619">
        <v>3</v>
      </c>
      <c r="T619">
        <v>1</v>
      </c>
      <c r="U619">
        <v>0</v>
      </c>
      <c r="V619">
        <v>0</v>
      </c>
      <c r="W619" t="s">
        <v>52</v>
      </c>
      <c r="X619">
        <v>33</v>
      </c>
      <c r="Y619">
        <v>0</v>
      </c>
      <c r="Z619">
        <f t="shared" si="54"/>
        <v>35</v>
      </c>
      <c r="AA619">
        <f t="shared" si="55"/>
        <v>0.80645161290322576</v>
      </c>
      <c r="AB619">
        <f t="shared" si="56"/>
        <v>32</v>
      </c>
      <c r="AC619" t="str">
        <f t="shared" si="57"/>
        <v>Low</v>
      </c>
      <c r="AD619" t="str">
        <f t="shared" si="58"/>
        <v>Upsell premium bundle</v>
      </c>
      <c r="AE619">
        <f t="shared" si="59"/>
        <v>65</v>
      </c>
    </row>
    <row r="620" spans="1:31" x14ac:dyDescent="0.35">
      <c r="A620" t="s">
        <v>678</v>
      </c>
      <c r="B620" s="4">
        <v>45172</v>
      </c>
      <c r="C620" s="4">
        <v>46143</v>
      </c>
      <c r="D620" t="s">
        <v>32</v>
      </c>
      <c r="E620">
        <v>53</v>
      </c>
      <c r="F620" t="s">
        <v>43</v>
      </c>
      <c r="G620" t="s">
        <v>85</v>
      </c>
      <c r="H620" t="s">
        <v>41</v>
      </c>
      <c r="I620" t="s">
        <v>36</v>
      </c>
      <c r="J620">
        <v>32</v>
      </c>
      <c r="K620" s="5">
        <v>60.99</v>
      </c>
      <c r="L620" s="5">
        <v>73.33</v>
      </c>
      <c r="M620">
        <v>22</v>
      </c>
      <c r="N620">
        <v>16</v>
      </c>
      <c r="O620">
        <v>4</v>
      </c>
      <c r="P620">
        <v>2</v>
      </c>
      <c r="Q620">
        <v>21</v>
      </c>
      <c r="R620">
        <v>4</v>
      </c>
      <c r="S620">
        <v>1</v>
      </c>
      <c r="T620">
        <v>1</v>
      </c>
      <c r="U620">
        <v>0</v>
      </c>
      <c r="V620">
        <v>0</v>
      </c>
      <c r="W620" t="s">
        <v>50</v>
      </c>
      <c r="X620">
        <v>26</v>
      </c>
      <c r="Y620">
        <v>1</v>
      </c>
      <c r="Z620">
        <f t="shared" si="54"/>
        <v>62</v>
      </c>
      <c r="AA620">
        <f t="shared" si="55"/>
        <v>0.69354838709677424</v>
      </c>
      <c r="AB620">
        <f t="shared" si="56"/>
        <v>22</v>
      </c>
      <c r="AC620" t="str">
        <f t="shared" si="57"/>
        <v>Low</v>
      </c>
      <c r="AD620" t="str">
        <f t="shared" si="58"/>
        <v>Upsell premium bundle</v>
      </c>
      <c r="AE620">
        <f t="shared" si="59"/>
        <v>38</v>
      </c>
    </row>
    <row r="621" spans="1:31" x14ac:dyDescent="0.35">
      <c r="A621" t="s">
        <v>679</v>
      </c>
      <c r="B621" s="4">
        <v>45724</v>
      </c>
      <c r="C621" s="4">
        <v>46143</v>
      </c>
      <c r="D621" t="s">
        <v>47</v>
      </c>
      <c r="E621">
        <v>63</v>
      </c>
      <c r="F621" t="s">
        <v>57</v>
      </c>
      <c r="G621" t="s">
        <v>63</v>
      </c>
      <c r="H621" t="s">
        <v>41</v>
      </c>
      <c r="I621" t="s">
        <v>36</v>
      </c>
      <c r="J621">
        <v>13</v>
      </c>
      <c r="K621" s="5">
        <v>0</v>
      </c>
      <c r="L621" s="5">
        <v>288.36</v>
      </c>
      <c r="M621">
        <v>31</v>
      </c>
      <c r="N621">
        <v>15</v>
      </c>
      <c r="O621">
        <v>3</v>
      </c>
      <c r="P621">
        <v>5</v>
      </c>
      <c r="Q621">
        <v>22</v>
      </c>
      <c r="R621">
        <v>1</v>
      </c>
      <c r="S621">
        <v>0</v>
      </c>
      <c r="T621">
        <v>0</v>
      </c>
      <c r="U621">
        <v>0</v>
      </c>
      <c r="V621">
        <v>1</v>
      </c>
      <c r="W621" t="s">
        <v>45</v>
      </c>
      <c r="X621">
        <v>-15</v>
      </c>
      <c r="Y621">
        <v>0</v>
      </c>
      <c r="Z621">
        <f t="shared" si="54"/>
        <v>82</v>
      </c>
      <c r="AA621">
        <f t="shared" si="55"/>
        <v>1.2325581395348837</v>
      </c>
      <c r="AB621">
        <f t="shared" si="56"/>
        <v>31</v>
      </c>
      <c r="AC621" t="str">
        <f t="shared" si="57"/>
        <v>Low</v>
      </c>
      <c r="AD621" t="str">
        <f t="shared" si="58"/>
        <v>Upsell premium bundle</v>
      </c>
      <c r="AE621">
        <f t="shared" si="59"/>
        <v>18</v>
      </c>
    </row>
    <row r="622" spans="1:31" x14ac:dyDescent="0.35">
      <c r="A622" t="s">
        <v>680</v>
      </c>
      <c r="B622" s="4">
        <v>44741</v>
      </c>
      <c r="C622" s="4">
        <v>46143</v>
      </c>
      <c r="D622" t="s">
        <v>66</v>
      </c>
      <c r="E622">
        <v>19</v>
      </c>
      <c r="F622" t="s">
        <v>33</v>
      </c>
      <c r="G622" t="s">
        <v>67</v>
      </c>
      <c r="H622" t="s">
        <v>58</v>
      </c>
      <c r="I622" t="s">
        <v>36</v>
      </c>
      <c r="J622">
        <v>46</v>
      </c>
      <c r="K622" s="5">
        <v>423.39</v>
      </c>
      <c r="L622" s="5">
        <v>93.97</v>
      </c>
      <c r="M622">
        <v>35</v>
      </c>
      <c r="N622">
        <v>26</v>
      </c>
      <c r="O622">
        <v>5</v>
      </c>
      <c r="P622">
        <v>7</v>
      </c>
      <c r="Q622">
        <v>27</v>
      </c>
      <c r="R622">
        <v>0</v>
      </c>
      <c r="S622">
        <v>0</v>
      </c>
      <c r="T622">
        <v>1</v>
      </c>
      <c r="U622">
        <v>0</v>
      </c>
      <c r="V622">
        <v>1</v>
      </c>
      <c r="W622" t="s">
        <v>52</v>
      </c>
      <c r="X622">
        <v>84</v>
      </c>
      <c r="Y622">
        <v>0</v>
      </c>
      <c r="Z622">
        <f t="shared" si="54"/>
        <v>100</v>
      </c>
      <c r="AA622">
        <f t="shared" si="55"/>
        <v>0.81578947368421051</v>
      </c>
      <c r="AB622">
        <f t="shared" si="56"/>
        <v>0</v>
      </c>
      <c r="AC622" t="str">
        <f t="shared" si="57"/>
        <v>Low</v>
      </c>
      <c r="AD622" t="str">
        <f t="shared" si="58"/>
        <v>Upsell premium bundle</v>
      </c>
      <c r="AE622">
        <f t="shared" si="59"/>
        <v>0</v>
      </c>
    </row>
    <row r="623" spans="1:31" x14ac:dyDescent="0.35">
      <c r="A623" t="s">
        <v>681</v>
      </c>
      <c r="B623" s="4">
        <v>45636</v>
      </c>
      <c r="C623" s="4">
        <v>46143</v>
      </c>
      <c r="D623" t="s">
        <v>66</v>
      </c>
      <c r="E623">
        <v>50</v>
      </c>
      <c r="F623" t="s">
        <v>57</v>
      </c>
      <c r="G623" t="s">
        <v>40</v>
      </c>
      <c r="H623" t="s">
        <v>41</v>
      </c>
      <c r="I623" t="s">
        <v>54</v>
      </c>
      <c r="J623">
        <v>16</v>
      </c>
      <c r="K623" s="5">
        <v>802.75</v>
      </c>
      <c r="L623" s="5">
        <v>602.96</v>
      </c>
      <c r="M623">
        <v>25</v>
      </c>
      <c r="N623">
        <v>15</v>
      </c>
      <c r="O623">
        <v>3</v>
      </c>
      <c r="P623">
        <v>0</v>
      </c>
      <c r="Q623">
        <v>12</v>
      </c>
      <c r="R623">
        <v>1</v>
      </c>
      <c r="S623">
        <v>0</v>
      </c>
      <c r="T623">
        <v>0</v>
      </c>
      <c r="U623">
        <v>0</v>
      </c>
      <c r="V623">
        <v>0</v>
      </c>
      <c r="W623" t="s">
        <v>50</v>
      </c>
      <c r="X623">
        <v>37</v>
      </c>
      <c r="Y623">
        <v>1</v>
      </c>
      <c r="Z623">
        <f t="shared" si="54"/>
        <v>52</v>
      </c>
      <c r="AA623">
        <f t="shared" si="55"/>
        <v>0.80434782608695654</v>
      </c>
      <c r="AB623">
        <f t="shared" si="56"/>
        <v>33</v>
      </c>
      <c r="AC623" t="str">
        <f t="shared" si="57"/>
        <v>Low</v>
      </c>
      <c r="AD623" t="str">
        <f t="shared" si="58"/>
        <v>Upsell premium bundle</v>
      </c>
      <c r="AE623">
        <f t="shared" si="59"/>
        <v>48</v>
      </c>
    </row>
    <row r="624" spans="1:31" x14ac:dyDescent="0.35">
      <c r="A624" t="s">
        <v>682</v>
      </c>
      <c r="B624" s="4">
        <v>45659</v>
      </c>
      <c r="C624" s="4">
        <v>46143</v>
      </c>
      <c r="D624" t="s">
        <v>60</v>
      </c>
      <c r="E624">
        <v>31</v>
      </c>
      <c r="F624" t="s">
        <v>61</v>
      </c>
      <c r="G624" t="s">
        <v>63</v>
      </c>
      <c r="H624" t="s">
        <v>44</v>
      </c>
      <c r="I624" t="s">
        <v>36</v>
      </c>
      <c r="J624">
        <v>16</v>
      </c>
      <c r="K624" s="5">
        <v>0</v>
      </c>
      <c r="L624" s="5">
        <v>136.54</v>
      </c>
      <c r="M624">
        <v>45</v>
      </c>
      <c r="N624">
        <v>29</v>
      </c>
      <c r="O624">
        <v>8</v>
      </c>
      <c r="P624">
        <v>6</v>
      </c>
      <c r="Q624">
        <v>25</v>
      </c>
      <c r="R624">
        <v>3</v>
      </c>
      <c r="S624">
        <v>0</v>
      </c>
      <c r="T624">
        <v>1</v>
      </c>
      <c r="U624">
        <v>0</v>
      </c>
      <c r="V624">
        <v>1</v>
      </c>
      <c r="W624" t="s">
        <v>52</v>
      </c>
      <c r="X624">
        <v>0</v>
      </c>
      <c r="Y624">
        <v>0</v>
      </c>
      <c r="Z624">
        <f t="shared" si="54"/>
        <v>100</v>
      </c>
      <c r="AA624">
        <f t="shared" si="55"/>
        <v>1.5217391304347827</v>
      </c>
      <c r="AB624">
        <f t="shared" si="56"/>
        <v>4</v>
      </c>
      <c r="AC624" t="str">
        <f t="shared" si="57"/>
        <v>Low</v>
      </c>
      <c r="AD624" t="str">
        <f t="shared" si="58"/>
        <v>Upsell premium bundle</v>
      </c>
      <c r="AE624">
        <f t="shared" si="59"/>
        <v>0</v>
      </c>
    </row>
    <row r="625" spans="1:31" x14ac:dyDescent="0.35">
      <c r="A625" t="s">
        <v>683</v>
      </c>
      <c r="B625" s="4">
        <v>44795</v>
      </c>
      <c r="C625" s="4">
        <v>46143</v>
      </c>
      <c r="D625" t="s">
        <v>60</v>
      </c>
      <c r="E625">
        <v>21</v>
      </c>
      <c r="F625" t="s">
        <v>57</v>
      </c>
      <c r="G625" t="s">
        <v>63</v>
      </c>
      <c r="H625" t="s">
        <v>41</v>
      </c>
      <c r="I625" t="s">
        <v>36</v>
      </c>
      <c r="J625">
        <v>44</v>
      </c>
      <c r="K625" s="5">
        <v>2579.42</v>
      </c>
      <c r="L625" s="5">
        <v>788.86</v>
      </c>
      <c r="M625">
        <v>51</v>
      </c>
      <c r="N625">
        <v>27</v>
      </c>
      <c r="O625">
        <v>10</v>
      </c>
      <c r="P625">
        <v>4</v>
      </c>
      <c r="Q625">
        <v>21</v>
      </c>
      <c r="R625">
        <v>2</v>
      </c>
      <c r="S625">
        <v>0</v>
      </c>
      <c r="T625">
        <v>1</v>
      </c>
      <c r="U625">
        <v>0</v>
      </c>
      <c r="V625">
        <v>1</v>
      </c>
      <c r="W625" t="s">
        <v>55</v>
      </c>
      <c r="X625">
        <v>-8</v>
      </c>
      <c r="Y625">
        <v>0</v>
      </c>
      <c r="Z625">
        <f t="shared" si="54"/>
        <v>100</v>
      </c>
      <c r="AA625">
        <f t="shared" si="55"/>
        <v>0.97297297297297303</v>
      </c>
      <c r="AB625">
        <f t="shared" si="56"/>
        <v>19</v>
      </c>
      <c r="AC625" t="str">
        <f t="shared" si="57"/>
        <v>Low</v>
      </c>
      <c r="AD625" t="str">
        <f t="shared" si="58"/>
        <v>Upsell premium bundle</v>
      </c>
      <c r="AE625">
        <f t="shared" si="59"/>
        <v>0</v>
      </c>
    </row>
    <row r="626" spans="1:31" x14ac:dyDescent="0.35">
      <c r="A626" t="s">
        <v>684</v>
      </c>
      <c r="B626" s="4">
        <v>45578</v>
      </c>
      <c r="C626" s="4">
        <v>46143</v>
      </c>
      <c r="D626" t="s">
        <v>72</v>
      </c>
      <c r="E626">
        <v>58</v>
      </c>
      <c r="F626" t="s">
        <v>43</v>
      </c>
      <c r="G626" t="s">
        <v>67</v>
      </c>
      <c r="H626" t="s">
        <v>41</v>
      </c>
      <c r="I626" t="s">
        <v>36</v>
      </c>
      <c r="J626">
        <v>18</v>
      </c>
      <c r="K626" s="5">
        <v>175.85</v>
      </c>
      <c r="L626" s="5">
        <v>32.01</v>
      </c>
      <c r="M626">
        <v>17</v>
      </c>
      <c r="N626">
        <v>5</v>
      </c>
      <c r="O626">
        <v>4</v>
      </c>
      <c r="P626">
        <v>2</v>
      </c>
      <c r="Q626">
        <v>23</v>
      </c>
      <c r="R626">
        <v>2</v>
      </c>
      <c r="S626">
        <v>1</v>
      </c>
      <c r="T626">
        <v>1</v>
      </c>
      <c r="U626">
        <v>1</v>
      </c>
      <c r="V626">
        <v>0</v>
      </c>
      <c r="W626" t="s">
        <v>55</v>
      </c>
      <c r="X626">
        <v>55</v>
      </c>
      <c r="Y626">
        <v>1</v>
      </c>
      <c r="Z626">
        <f t="shared" si="54"/>
        <v>59</v>
      </c>
      <c r="AA626">
        <f t="shared" si="55"/>
        <v>0.83333333333333337</v>
      </c>
      <c r="AB626">
        <f t="shared" si="56"/>
        <v>12</v>
      </c>
      <c r="AC626" t="str">
        <f t="shared" si="57"/>
        <v>Low</v>
      </c>
      <c r="AD626" t="str">
        <f t="shared" si="58"/>
        <v>Upsell premium bundle</v>
      </c>
      <c r="AE626">
        <f t="shared" si="59"/>
        <v>41</v>
      </c>
    </row>
    <row r="627" spans="1:31" x14ac:dyDescent="0.35">
      <c r="A627" t="s">
        <v>685</v>
      </c>
      <c r="B627" s="4">
        <v>45720</v>
      </c>
      <c r="C627" s="4">
        <v>46143</v>
      </c>
      <c r="D627" t="s">
        <v>47</v>
      </c>
      <c r="E627">
        <v>49</v>
      </c>
      <c r="F627" t="s">
        <v>77</v>
      </c>
      <c r="G627" t="s">
        <v>48</v>
      </c>
      <c r="H627" t="s">
        <v>35</v>
      </c>
      <c r="I627" t="s">
        <v>36</v>
      </c>
      <c r="J627">
        <v>14</v>
      </c>
      <c r="K627" s="5">
        <v>20082.91</v>
      </c>
      <c r="L627" s="5">
        <v>5675.31</v>
      </c>
      <c r="M627">
        <v>33</v>
      </c>
      <c r="N627">
        <v>16</v>
      </c>
      <c r="O627">
        <v>1</v>
      </c>
      <c r="P627">
        <v>2</v>
      </c>
      <c r="Q627">
        <v>18</v>
      </c>
      <c r="R627">
        <v>1</v>
      </c>
      <c r="S627">
        <v>0</v>
      </c>
      <c r="T627">
        <v>0</v>
      </c>
      <c r="U627">
        <v>0</v>
      </c>
      <c r="V627">
        <v>0</v>
      </c>
      <c r="W627" t="s">
        <v>37</v>
      </c>
      <c r="X627">
        <v>35</v>
      </c>
      <c r="Y627">
        <v>0</v>
      </c>
      <c r="Z627">
        <f t="shared" si="54"/>
        <v>68</v>
      </c>
      <c r="AA627">
        <f t="shared" si="55"/>
        <v>1.1590909090909092</v>
      </c>
      <c r="AB627">
        <f t="shared" si="56"/>
        <v>0</v>
      </c>
      <c r="AC627" t="str">
        <f t="shared" si="57"/>
        <v>Low</v>
      </c>
      <c r="AD627" t="str">
        <f t="shared" si="58"/>
        <v>Upsell premium bundle</v>
      </c>
      <c r="AE627">
        <f t="shared" si="59"/>
        <v>32</v>
      </c>
    </row>
    <row r="628" spans="1:31" x14ac:dyDescent="0.35">
      <c r="A628" t="s">
        <v>686</v>
      </c>
      <c r="B628" s="4">
        <v>44847</v>
      </c>
      <c r="C628" s="4">
        <v>46143</v>
      </c>
      <c r="D628" t="s">
        <v>39</v>
      </c>
      <c r="E628">
        <v>25</v>
      </c>
      <c r="F628" t="s">
        <v>33</v>
      </c>
      <c r="G628" t="s">
        <v>34</v>
      </c>
      <c r="H628" t="s">
        <v>44</v>
      </c>
      <c r="I628" t="s">
        <v>36</v>
      </c>
      <c r="J628">
        <v>43</v>
      </c>
      <c r="K628" s="5">
        <v>645.79999999999995</v>
      </c>
      <c r="L628" s="5">
        <v>0</v>
      </c>
      <c r="M628">
        <v>30</v>
      </c>
      <c r="N628">
        <v>17</v>
      </c>
      <c r="O628">
        <v>7</v>
      </c>
      <c r="P628">
        <v>3</v>
      </c>
      <c r="Q628">
        <v>28</v>
      </c>
      <c r="R628">
        <v>2</v>
      </c>
      <c r="S628">
        <v>0</v>
      </c>
      <c r="T628">
        <v>1</v>
      </c>
      <c r="U628">
        <v>1</v>
      </c>
      <c r="V628">
        <v>1</v>
      </c>
      <c r="W628" t="s">
        <v>50</v>
      </c>
      <c r="X628">
        <v>70</v>
      </c>
      <c r="Y628">
        <v>0</v>
      </c>
      <c r="Z628">
        <f t="shared" si="54"/>
        <v>98</v>
      </c>
      <c r="AA628">
        <f t="shared" si="55"/>
        <v>0.79452054794520544</v>
      </c>
      <c r="AB628">
        <f t="shared" si="56"/>
        <v>0</v>
      </c>
      <c r="AC628" t="str">
        <f t="shared" si="57"/>
        <v>Low</v>
      </c>
      <c r="AD628" t="str">
        <f t="shared" si="58"/>
        <v>Upsell premium bundle</v>
      </c>
      <c r="AE628">
        <f t="shared" si="59"/>
        <v>2</v>
      </c>
    </row>
    <row r="629" spans="1:31" x14ac:dyDescent="0.35">
      <c r="A629" t="s">
        <v>687</v>
      </c>
      <c r="B629" s="4">
        <v>46002</v>
      </c>
      <c r="C629" s="4">
        <v>46143</v>
      </c>
      <c r="D629" t="s">
        <v>47</v>
      </c>
      <c r="E629">
        <v>33</v>
      </c>
      <c r="F629" t="s">
        <v>77</v>
      </c>
      <c r="G629" t="s">
        <v>34</v>
      </c>
      <c r="H629" t="s">
        <v>41</v>
      </c>
      <c r="I629" t="s">
        <v>36</v>
      </c>
      <c r="J629">
        <v>4</v>
      </c>
      <c r="K629" s="5">
        <v>14284</v>
      </c>
      <c r="L629" s="5">
        <v>0</v>
      </c>
      <c r="M629">
        <v>22</v>
      </c>
      <c r="N629">
        <v>6</v>
      </c>
      <c r="O629">
        <v>5</v>
      </c>
      <c r="P629">
        <v>1</v>
      </c>
      <c r="Q629">
        <v>13</v>
      </c>
      <c r="R629">
        <v>0</v>
      </c>
      <c r="S629">
        <v>0</v>
      </c>
      <c r="T629">
        <v>1</v>
      </c>
      <c r="U629">
        <v>0</v>
      </c>
      <c r="V629">
        <v>1</v>
      </c>
      <c r="W629" t="s">
        <v>55</v>
      </c>
      <c r="X629">
        <v>18</v>
      </c>
      <c r="Y629">
        <v>0</v>
      </c>
      <c r="Z629">
        <f t="shared" si="54"/>
        <v>55</v>
      </c>
      <c r="AA629">
        <f t="shared" si="55"/>
        <v>1.0294117647058822</v>
      </c>
      <c r="AB629">
        <f t="shared" si="56"/>
        <v>27</v>
      </c>
      <c r="AC629" t="str">
        <f t="shared" si="57"/>
        <v>Low</v>
      </c>
      <c r="AD629" t="str">
        <f t="shared" si="58"/>
        <v>Upsell premium bundle</v>
      </c>
      <c r="AE629">
        <f t="shared" si="59"/>
        <v>45</v>
      </c>
    </row>
    <row r="630" spans="1:31" x14ac:dyDescent="0.35">
      <c r="A630" t="s">
        <v>688</v>
      </c>
      <c r="B630" s="4">
        <v>46003</v>
      </c>
      <c r="C630" s="4">
        <v>46143</v>
      </c>
      <c r="D630" t="s">
        <v>32</v>
      </c>
      <c r="E630">
        <v>40</v>
      </c>
      <c r="F630" t="s">
        <v>43</v>
      </c>
      <c r="G630" t="s">
        <v>67</v>
      </c>
      <c r="H630" t="s">
        <v>58</v>
      </c>
      <c r="I630" t="s">
        <v>36</v>
      </c>
      <c r="J630">
        <v>4</v>
      </c>
      <c r="K630" s="5">
        <v>68.459999999999994</v>
      </c>
      <c r="L630" s="5">
        <v>54.84</v>
      </c>
      <c r="M630">
        <v>27</v>
      </c>
      <c r="N630">
        <v>16</v>
      </c>
      <c r="O630">
        <v>6</v>
      </c>
      <c r="P630">
        <v>2</v>
      </c>
      <c r="Q630">
        <v>18</v>
      </c>
      <c r="R630">
        <v>1</v>
      </c>
      <c r="S630">
        <v>1</v>
      </c>
      <c r="T630">
        <v>1</v>
      </c>
      <c r="U630">
        <v>0</v>
      </c>
      <c r="V630">
        <v>0</v>
      </c>
      <c r="W630" t="s">
        <v>50</v>
      </c>
      <c r="X630">
        <v>22</v>
      </c>
      <c r="Y630">
        <v>0</v>
      </c>
      <c r="Z630">
        <f t="shared" si="54"/>
        <v>67</v>
      </c>
      <c r="AA630">
        <f t="shared" si="55"/>
        <v>1.3235294117647058</v>
      </c>
      <c r="AB630">
        <f t="shared" si="56"/>
        <v>17</v>
      </c>
      <c r="AC630" t="str">
        <f t="shared" si="57"/>
        <v>Low</v>
      </c>
      <c r="AD630" t="str">
        <f t="shared" si="58"/>
        <v>Upsell premium bundle</v>
      </c>
      <c r="AE630">
        <f t="shared" si="59"/>
        <v>33</v>
      </c>
    </row>
    <row r="631" spans="1:31" x14ac:dyDescent="0.35">
      <c r="A631" t="s">
        <v>689</v>
      </c>
      <c r="B631" s="4">
        <v>44842</v>
      </c>
      <c r="C631" s="4">
        <v>46143</v>
      </c>
      <c r="D631" t="s">
        <v>72</v>
      </c>
      <c r="E631">
        <v>20</v>
      </c>
      <c r="F631" t="s">
        <v>43</v>
      </c>
      <c r="G631" t="s">
        <v>85</v>
      </c>
      <c r="H631" t="s">
        <v>58</v>
      </c>
      <c r="I631" t="s">
        <v>36</v>
      </c>
      <c r="J631">
        <v>43</v>
      </c>
      <c r="K631" s="5">
        <v>113.78</v>
      </c>
      <c r="L631" s="5">
        <v>89.14</v>
      </c>
      <c r="M631">
        <v>25</v>
      </c>
      <c r="N631">
        <v>17</v>
      </c>
      <c r="O631">
        <v>1</v>
      </c>
      <c r="P631">
        <v>1</v>
      </c>
      <c r="Q631">
        <v>16</v>
      </c>
      <c r="R631">
        <v>3</v>
      </c>
      <c r="S631">
        <v>0</v>
      </c>
      <c r="T631">
        <v>1</v>
      </c>
      <c r="U631">
        <v>0</v>
      </c>
      <c r="V631">
        <v>1</v>
      </c>
      <c r="W631" t="s">
        <v>45</v>
      </c>
      <c r="X631">
        <v>-4</v>
      </c>
      <c r="Y631">
        <v>1</v>
      </c>
      <c r="Z631">
        <f t="shared" si="54"/>
        <v>63</v>
      </c>
      <c r="AA631">
        <f t="shared" si="55"/>
        <v>0.56164383561643838</v>
      </c>
      <c r="AB631">
        <f t="shared" si="56"/>
        <v>20</v>
      </c>
      <c r="AC631" t="str">
        <f t="shared" si="57"/>
        <v>Low</v>
      </c>
      <c r="AD631" t="str">
        <f t="shared" si="58"/>
        <v>Upsell premium bundle</v>
      </c>
      <c r="AE631">
        <f t="shared" si="59"/>
        <v>37</v>
      </c>
    </row>
    <row r="632" spans="1:31" x14ac:dyDescent="0.35">
      <c r="A632" t="s">
        <v>690</v>
      </c>
      <c r="B632" s="4">
        <v>45577</v>
      </c>
      <c r="C632" s="4">
        <v>46143</v>
      </c>
      <c r="D632" t="s">
        <v>60</v>
      </c>
      <c r="E632">
        <v>47</v>
      </c>
      <c r="F632" t="s">
        <v>43</v>
      </c>
      <c r="G632" t="s">
        <v>67</v>
      </c>
      <c r="H632" t="s">
        <v>41</v>
      </c>
      <c r="I632" t="s">
        <v>36</v>
      </c>
      <c r="J632">
        <v>18</v>
      </c>
      <c r="K632" s="5">
        <v>78.42</v>
      </c>
      <c r="L632" s="5">
        <v>46.86</v>
      </c>
      <c r="M632">
        <v>0</v>
      </c>
      <c r="N632">
        <v>0</v>
      </c>
      <c r="O632">
        <v>0</v>
      </c>
      <c r="P632">
        <v>0</v>
      </c>
      <c r="Q632">
        <v>5</v>
      </c>
      <c r="R632">
        <v>1</v>
      </c>
      <c r="S632">
        <v>0</v>
      </c>
      <c r="T632">
        <v>0</v>
      </c>
      <c r="U632">
        <v>1</v>
      </c>
      <c r="V632">
        <v>0</v>
      </c>
      <c r="W632" t="s">
        <v>50</v>
      </c>
      <c r="X632">
        <v>76</v>
      </c>
      <c r="Y632">
        <v>1</v>
      </c>
      <c r="Z632">
        <f t="shared" si="54"/>
        <v>13</v>
      </c>
      <c r="AA632">
        <f t="shared" si="55"/>
        <v>0.10416666666666667</v>
      </c>
      <c r="AB632">
        <f t="shared" si="56"/>
        <v>13</v>
      </c>
      <c r="AC632" t="str">
        <f t="shared" si="57"/>
        <v>Low</v>
      </c>
      <c r="AD632" t="str">
        <f t="shared" si="58"/>
        <v>Upsell premium bundle</v>
      </c>
      <c r="AE632">
        <f t="shared" si="59"/>
        <v>87</v>
      </c>
    </row>
    <row r="633" spans="1:31" x14ac:dyDescent="0.35">
      <c r="A633" t="s">
        <v>691</v>
      </c>
      <c r="B633" s="4">
        <v>45863</v>
      </c>
      <c r="C633" s="4">
        <v>46143</v>
      </c>
      <c r="D633" t="s">
        <v>39</v>
      </c>
      <c r="E633">
        <v>72</v>
      </c>
      <c r="F633" t="s">
        <v>43</v>
      </c>
      <c r="G633" t="s">
        <v>67</v>
      </c>
      <c r="H633" t="s">
        <v>35</v>
      </c>
      <c r="I633" t="s">
        <v>49</v>
      </c>
      <c r="J633">
        <v>9</v>
      </c>
      <c r="K633" s="5">
        <v>164.77</v>
      </c>
      <c r="L633" s="5">
        <v>53.35</v>
      </c>
      <c r="M633">
        <v>11</v>
      </c>
      <c r="N633">
        <v>4</v>
      </c>
      <c r="O633">
        <v>3</v>
      </c>
      <c r="P633">
        <v>0</v>
      </c>
      <c r="Q633">
        <v>14</v>
      </c>
      <c r="R633">
        <v>3</v>
      </c>
      <c r="S633">
        <v>0</v>
      </c>
      <c r="T633">
        <v>1</v>
      </c>
      <c r="U633">
        <v>1</v>
      </c>
      <c r="V633">
        <v>1</v>
      </c>
      <c r="W633" t="s">
        <v>52</v>
      </c>
      <c r="X633">
        <v>16</v>
      </c>
      <c r="Y633">
        <v>0</v>
      </c>
      <c r="Z633">
        <f t="shared" si="54"/>
        <v>46</v>
      </c>
      <c r="AA633">
        <f t="shared" si="55"/>
        <v>0.64102564102564108</v>
      </c>
      <c r="AB633">
        <f t="shared" si="56"/>
        <v>33</v>
      </c>
      <c r="AC633" t="str">
        <f t="shared" si="57"/>
        <v>Low</v>
      </c>
      <c r="AD633" t="str">
        <f t="shared" si="58"/>
        <v>Upsell premium bundle</v>
      </c>
      <c r="AE633">
        <f t="shared" si="59"/>
        <v>54</v>
      </c>
    </row>
    <row r="634" spans="1:31" x14ac:dyDescent="0.35">
      <c r="A634" t="s">
        <v>692</v>
      </c>
      <c r="B634" s="4">
        <v>45588</v>
      </c>
      <c r="C634" s="4">
        <v>46143</v>
      </c>
      <c r="D634" t="s">
        <v>72</v>
      </c>
      <c r="E634">
        <v>68</v>
      </c>
      <c r="F634" t="s">
        <v>57</v>
      </c>
      <c r="G634" t="s">
        <v>67</v>
      </c>
      <c r="H634" t="s">
        <v>41</v>
      </c>
      <c r="I634" t="s">
        <v>36</v>
      </c>
      <c r="J634">
        <v>18</v>
      </c>
      <c r="K634" s="5">
        <v>0</v>
      </c>
      <c r="L634" s="5">
        <v>818.9</v>
      </c>
      <c r="M634">
        <v>9</v>
      </c>
      <c r="N634">
        <v>2</v>
      </c>
      <c r="O634">
        <v>1</v>
      </c>
      <c r="P634">
        <v>0</v>
      </c>
      <c r="Q634">
        <v>12</v>
      </c>
      <c r="R634">
        <v>1</v>
      </c>
      <c r="S634">
        <v>0</v>
      </c>
      <c r="T634">
        <v>0</v>
      </c>
      <c r="U634">
        <v>0</v>
      </c>
      <c r="V634">
        <v>0</v>
      </c>
      <c r="W634" t="s">
        <v>52</v>
      </c>
      <c r="X634">
        <v>-20</v>
      </c>
      <c r="Y634">
        <v>1</v>
      </c>
      <c r="Z634">
        <f t="shared" si="54"/>
        <v>23</v>
      </c>
      <c r="AA634">
        <f t="shared" si="55"/>
        <v>0.4375</v>
      </c>
      <c r="AB634">
        <f t="shared" si="56"/>
        <v>57</v>
      </c>
      <c r="AC634" t="str">
        <f t="shared" si="57"/>
        <v>Medium</v>
      </c>
      <c r="AD634" t="str">
        <f t="shared" si="58"/>
        <v>Nudge core feature adoption</v>
      </c>
      <c r="AE634">
        <f t="shared" si="59"/>
        <v>77</v>
      </c>
    </row>
    <row r="635" spans="1:31" x14ac:dyDescent="0.35">
      <c r="A635" t="s">
        <v>693</v>
      </c>
      <c r="B635" s="4">
        <v>45734</v>
      </c>
      <c r="C635" s="4">
        <v>46143</v>
      </c>
      <c r="D635" t="s">
        <v>47</v>
      </c>
      <c r="E635">
        <v>66</v>
      </c>
      <c r="F635" t="s">
        <v>43</v>
      </c>
      <c r="G635" t="s">
        <v>48</v>
      </c>
      <c r="H635" t="s">
        <v>58</v>
      </c>
      <c r="I635" t="s">
        <v>36</v>
      </c>
      <c r="J635">
        <v>13</v>
      </c>
      <c r="K635" s="5">
        <v>120.18</v>
      </c>
      <c r="L635" s="5">
        <v>96.97</v>
      </c>
      <c r="M635">
        <v>43</v>
      </c>
      <c r="N635">
        <v>22</v>
      </c>
      <c r="O635">
        <v>12</v>
      </c>
      <c r="P635">
        <v>6</v>
      </c>
      <c r="Q635">
        <v>29</v>
      </c>
      <c r="R635">
        <v>1</v>
      </c>
      <c r="S635">
        <v>1</v>
      </c>
      <c r="T635">
        <v>0</v>
      </c>
      <c r="U635">
        <v>1</v>
      </c>
      <c r="V635">
        <v>1</v>
      </c>
      <c r="W635" t="s">
        <v>45</v>
      </c>
      <c r="X635">
        <v>50</v>
      </c>
      <c r="Y635">
        <v>0</v>
      </c>
      <c r="Z635">
        <f t="shared" si="54"/>
        <v>100</v>
      </c>
      <c r="AA635">
        <f t="shared" si="55"/>
        <v>1.6744186046511629</v>
      </c>
      <c r="AB635">
        <f t="shared" si="56"/>
        <v>0</v>
      </c>
      <c r="AC635" t="str">
        <f t="shared" si="57"/>
        <v>Low</v>
      </c>
      <c r="AD635" t="str">
        <f t="shared" si="58"/>
        <v>Upsell premium bundle</v>
      </c>
      <c r="AE635">
        <f t="shared" si="59"/>
        <v>0</v>
      </c>
    </row>
    <row r="636" spans="1:31" x14ac:dyDescent="0.35">
      <c r="A636" t="s">
        <v>694</v>
      </c>
      <c r="B636" s="4">
        <v>45106</v>
      </c>
      <c r="C636" s="4">
        <v>46143</v>
      </c>
      <c r="D636" t="s">
        <v>60</v>
      </c>
      <c r="E636">
        <v>23</v>
      </c>
      <c r="F636" t="s">
        <v>43</v>
      </c>
      <c r="G636" t="s">
        <v>85</v>
      </c>
      <c r="H636" t="s">
        <v>41</v>
      </c>
      <c r="I636" t="s">
        <v>36</v>
      </c>
      <c r="J636">
        <v>34</v>
      </c>
      <c r="K636" s="5">
        <v>15.43</v>
      </c>
      <c r="L636" s="5">
        <v>55.67</v>
      </c>
      <c r="M636">
        <v>48</v>
      </c>
      <c r="N636">
        <v>21</v>
      </c>
      <c r="O636">
        <v>3</v>
      </c>
      <c r="P636">
        <v>7</v>
      </c>
      <c r="Q636">
        <v>34</v>
      </c>
      <c r="R636">
        <v>3</v>
      </c>
      <c r="S636">
        <v>1</v>
      </c>
      <c r="T636">
        <v>1</v>
      </c>
      <c r="U636">
        <v>0</v>
      </c>
      <c r="V636">
        <v>0</v>
      </c>
      <c r="W636" t="s">
        <v>37</v>
      </c>
      <c r="X636">
        <v>19</v>
      </c>
      <c r="Y636">
        <v>0</v>
      </c>
      <c r="Z636">
        <f t="shared" si="54"/>
        <v>100</v>
      </c>
      <c r="AA636">
        <f t="shared" si="55"/>
        <v>1.28125</v>
      </c>
      <c r="AB636">
        <f t="shared" si="56"/>
        <v>12</v>
      </c>
      <c r="AC636" t="str">
        <f t="shared" si="57"/>
        <v>Low</v>
      </c>
      <c r="AD636" t="str">
        <f t="shared" si="58"/>
        <v>Upsell premium bundle</v>
      </c>
      <c r="AE636">
        <f t="shared" si="59"/>
        <v>0</v>
      </c>
    </row>
    <row r="637" spans="1:31" x14ac:dyDescent="0.35">
      <c r="A637" t="s">
        <v>695</v>
      </c>
      <c r="B637" s="4">
        <v>45996</v>
      </c>
      <c r="C637" s="4">
        <v>46143</v>
      </c>
      <c r="D637" t="s">
        <v>47</v>
      </c>
      <c r="E637">
        <v>60</v>
      </c>
      <c r="F637" t="s">
        <v>33</v>
      </c>
      <c r="G637" t="s">
        <v>63</v>
      </c>
      <c r="H637" t="s">
        <v>58</v>
      </c>
      <c r="I637" t="s">
        <v>36</v>
      </c>
      <c r="J637">
        <v>4</v>
      </c>
      <c r="K637" s="5">
        <v>235.81</v>
      </c>
      <c r="L637" s="5">
        <v>84.8</v>
      </c>
      <c r="M637">
        <v>15</v>
      </c>
      <c r="N637">
        <v>11</v>
      </c>
      <c r="O637">
        <v>2</v>
      </c>
      <c r="P637">
        <v>1</v>
      </c>
      <c r="Q637">
        <v>11</v>
      </c>
      <c r="R637">
        <v>5</v>
      </c>
      <c r="S637">
        <v>1</v>
      </c>
      <c r="T637">
        <v>1</v>
      </c>
      <c r="U637">
        <v>0</v>
      </c>
      <c r="V637">
        <v>0</v>
      </c>
      <c r="W637" t="s">
        <v>50</v>
      </c>
      <c r="X637">
        <v>61</v>
      </c>
      <c r="Y637">
        <v>1</v>
      </c>
      <c r="Z637">
        <f t="shared" si="54"/>
        <v>38</v>
      </c>
      <c r="AA637">
        <f t="shared" si="55"/>
        <v>0.76470588235294112</v>
      </c>
      <c r="AB637">
        <f t="shared" si="56"/>
        <v>3</v>
      </c>
      <c r="AC637" t="str">
        <f t="shared" si="57"/>
        <v>Low</v>
      </c>
      <c r="AD637" t="str">
        <f t="shared" si="58"/>
        <v>Upsell premium bundle</v>
      </c>
      <c r="AE637">
        <f t="shared" si="59"/>
        <v>62</v>
      </c>
    </row>
    <row r="638" spans="1:31" x14ac:dyDescent="0.35">
      <c r="A638" t="s">
        <v>696</v>
      </c>
      <c r="B638" s="4">
        <v>45899</v>
      </c>
      <c r="C638" s="4">
        <v>46143</v>
      </c>
      <c r="D638" t="s">
        <v>72</v>
      </c>
      <c r="E638">
        <v>71</v>
      </c>
      <c r="F638" t="s">
        <v>77</v>
      </c>
      <c r="G638" t="s">
        <v>48</v>
      </c>
      <c r="H638" t="s">
        <v>41</v>
      </c>
      <c r="I638" t="s">
        <v>36</v>
      </c>
      <c r="J638">
        <v>8</v>
      </c>
      <c r="K638" s="5">
        <v>12770.52</v>
      </c>
      <c r="L638" s="5">
        <v>2262.91</v>
      </c>
      <c r="M638">
        <v>29</v>
      </c>
      <c r="N638">
        <v>10</v>
      </c>
      <c r="O638">
        <v>2</v>
      </c>
      <c r="P638">
        <v>5</v>
      </c>
      <c r="Q638">
        <v>22</v>
      </c>
      <c r="R638">
        <v>0</v>
      </c>
      <c r="S638">
        <v>0</v>
      </c>
      <c r="T638">
        <v>1</v>
      </c>
      <c r="U638">
        <v>0</v>
      </c>
      <c r="V638">
        <v>0</v>
      </c>
      <c r="W638" t="s">
        <v>52</v>
      </c>
      <c r="X638">
        <v>3</v>
      </c>
      <c r="Y638">
        <v>0</v>
      </c>
      <c r="Z638">
        <f t="shared" si="54"/>
        <v>68</v>
      </c>
      <c r="AA638">
        <f t="shared" si="55"/>
        <v>1.3421052631578947</v>
      </c>
      <c r="AB638">
        <f t="shared" si="56"/>
        <v>19</v>
      </c>
      <c r="AC638" t="str">
        <f t="shared" si="57"/>
        <v>Low</v>
      </c>
      <c r="AD638" t="str">
        <f t="shared" si="58"/>
        <v>Upsell premium bundle</v>
      </c>
      <c r="AE638">
        <f t="shared" si="59"/>
        <v>32</v>
      </c>
    </row>
    <row r="639" spans="1:31" x14ac:dyDescent="0.35">
      <c r="A639" t="s">
        <v>697</v>
      </c>
      <c r="B639" s="4">
        <v>44861</v>
      </c>
      <c r="C639" s="4">
        <v>46143</v>
      </c>
      <c r="D639" t="s">
        <v>66</v>
      </c>
      <c r="E639">
        <v>65</v>
      </c>
      <c r="F639" t="s">
        <v>61</v>
      </c>
      <c r="G639" t="s">
        <v>67</v>
      </c>
      <c r="H639" t="s">
        <v>41</v>
      </c>
      <c r="I639" t="s">
        <v>36</v>
      </c>
      <c r="J639">
        <v>42</v>
      </c>
      <c r="K639" s="5">
        <v>4812.4399999999996</v>
      </c>
      <c r="L639" s="5">
        <v>4376.9399999999996</v>
      </c>
      <c r="M639">
        <v>30</v>
      </c>
      <c r="N639">
        <v>9</v>
      </c>
      <c r="O639">
        <v>7</v>
      </c>
      <c r="P639">
        <v>3</v>
      </c>
      <c r="Q639">
        <v>33</v>
      </c>
      <c r="R639">
        <v>3</v>
      </c>
      <c r="S639">
        <v>2</v>
      </c>
      <c r="T639">
        <v>1</v>
      </c>
      <c r="U639">
        <v>1</v>
      </c>
      <c r="V639">
        <v>0</v>
      </c>
      <c r="W639" t="s">
        <v>52</v>
      </c>
      <c r="X639">
        <v>43</v>
      </c>
      <c r="Y639">
        <v>1</v>
      </c>
      <c r="Z639">
        <f t="shared" si="54"/>
        <v>90</v>
      </c>
      <c r="AA639">
        <f t="shared" si="55"/>
        <v>0.875</v>
      </c>
      <c r="AB639">
        <f t="shared" si="56"/>
        <v>2</v>
      </c>
      <c r="AC639" t="str">
        <f t="shared" si="57"/>
        <v>Low</v>
      </c>
      <c r="AD639" t="str">
        <f t="shared" si="58"/>
        <v>Upsell premium bundle</v>
      </c>
      <c r="AE639">
        <f t="shared" si="59"/>
        <v>10</v>
      </c>
    </row>
    <row r="640" spans="1:31" x14ac:dyDescent="0.35">
      <c r="A640" t="s">
        <v>698</v>
      </c>
      <c r="B640" s="4">
        <v>45782</v>
      </c>
      <c r="C640" s="4">
        <v>46143</v>
      </c>
      <c r="D640" t="s">
        <v>60</v>
      </c>
      <c r="E640">
        <v>55</v>
      </c>
      <c r="F640" t="s">
        <v>33</v>
      </c>
      <c r="G640" t="s">
        <v>63</v>
      </c>
      <c r="H640" t="s">
        <v>41</v>
      </c>
      <c r="I640" t="s">
        <v>49</v>
      </c>
      <c r="J640">
        <v>12</v>
      </c>
      <c r="K640" s="5">
        <v>243.24</v>
      </c>
      <c r="L640" s="5">
        <v>176.62</v>
      </c>
      <c r="M640">
        <v>29</v>
      </c>
      <c r="N640">
        <v>12</v>
      </c>
      <c r="O640">
        <v>5</v>
      </c>
      <c r="P640">
        <v>3</v>
      </c>
      <c r="Q640">
        <v>12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45</v>
      </c>
      <c r="X640">
        <v>65</v>
      </c>
      <c r="Y640">
        <v>0</v>
      </c>
      <c r="Z640">
        <f t="shared" si="54"/>
        <v>61</v>
      </c>
      <c r="AA640">
        <f t="shared" si="55"/>
        <v>0.97619047619047616</v>
      </c>
      <c r="AB640">
        <f t="shared" si="56"/>
        <v>17</v>
      </c>
      <c r="AC640" t="str">
        <f t="shared" si="57"/>
        <v>Low</v>
      </c>
      <c r="AD640" t="str">
        <f t="shared" si="58"/>
        <v>Upsell premium bundle</v>
      </c>
      <c r="AE640">
        <f t="shared" si="59"/>
        <v>39</v>
      </c>
    </row>
    <row r="641" spans="1:31" x14ac:dyDescent="0.35">
      <c r="A641" t="s">
        <v>699</v>
      </c>
      <c r="B641" s="4">
        <v>44699</v>
      </c>
      <c r="C641" s="4">
        <v>46143</v>
      </c>
      <c r="D641" t="s">
        <v>66</v>
      </c>
      <c r="E641">
        <v>58</v>
      </c>
      <c r="F641" t="s">
        <v>57</v>
      </c>
      <c r="G641" t="s">
        <v>40</v>
      </c>
      <c r="H641" t="s">
        <v>58</v>
      </c>
      <c r="I641" t="s">
        <v>36</v>
      </c>
      <c r="J641">
        <v>48</v>
      </c>
      <c r="K641" s="5">
        <v>1973.82</v>
      </c>
      <c r="L641" s="5">
        <v>953.13</v>
      </c>
      <c r="M641">
        <v>48</v>
      </c>
      <c r="N641">
        <v>17</v>
      </c>
      <c r="O641">
        <v>5</v>
      </c>
      <c r="P641">
        <v>8</v>
      </c>
      <c r="Q641">
        <v>31</v>
      </c>
      <c r="R641">
        <v>2</v>
      </c>
      <c r="S641">
        <v>3</v>
      </c>
      <c r="T641">
        <v>1</v>
      </c>
      <c r="U641">
        <v>0</v>
      </c>
      <c r="V641">
        <v>0</v>
      </c>
      <c r="W641" t="s">
        <v>52</v>
      </c>
      <c r="X641">
        <v>26</v>
      </c>
      <c r="Y641">
        <v>0</v>
      </c>
      <c r="Z641">
        <f t="shared" si="54"/>
        <v>100</v>
      </c>
      <c r="AA641">
        <f t="shared" si="55"/>
        <v>1.0128205128205128</v>
      </c>
      <c r="AB641">
        <f t="shared" si="56"/>
        <v>16</v>
      </c>
      <c r="AC641" t="str">
        <f t="shared" si="57"/>
        <v>Low</v>
      </c>
      <c r="AD641" t="str">
        <f t="shared" si="58"/>
        <v>Upsell premium bundle</v>
      </c>
      <c r="AE641">
        <f t="shared" si="59"/>
        <v>0</v>
      </c>
    </row>
    <row r="642" spans="1:31" x14ac:dyDescent="0.35">
      <c r="A642" t="s">
        <v>700</v>
      </c>
      <c r="B642" s="4">
        <v>45187</v>
      </c>
      <c r="C642" s="4">
        <v>46143</v>
      </c>
      <c r="D642" t="s">
        <v>60</v>
      </c>
      <c r="E642">
        <v>67</v>
      </c>
      <c r="F642" t="s">
        <v>57</v>
      </c>
      <c r="G642" t="s">
        <v>63</v>
      </c>
      <c r="H642" t="s">
        <v>41</v>
      </c>
      <c r="I642" t="s">
        <v>36</v>
      </c>
      <c r="J642">
        <v>31</v>
      </c>
      <c r="K642" s="5">
        <v>2017.93</v>
      </c>
      <c r="L642" s="5">
        <v>429.1</v>
      </c>
      <c r="M642">
        <v>37</v>
      </c>
      <c r="N642">
        <v>15</v>
      </c>
      <c r="O642">
        <v>3</v>
      </c>
      <c r="P642">
        <v>7</v>
      </c>
      <c r="Q642">
        <v>24</v>
      </c>
      <c r="R642">
        <v>3</v>
      </c>
      <c r="S642">
        <v>1</v>
      </c>
      <c r="T642">
        <v>1</v>
      </c>
      <c r="U642">
        <v>1</v>
      </c>
      <c r="V642">
        <v>0</v>
      </c>
      <c r="W642" t="s">
        <v>52</v>
      </c>
      <c r="X642">
        <v>-9</v>
      </c>
      <c r="Y642">
        <v>1</v>
      </c>
      <c r="Z642">
        <f t="shared" ref="Z642:Z705" si="60">MIN(100,ROUND((M642*1.1+N642*0.7+O642*1.2+P642*1.4+Q642*0.9+U642*8+V642*7),0))</f>
        <v>94</v>
      </c>
      <c r="AA642">
        <f t="shared" ref="AA642:AA705" si="61">IFERROR((M642+Q642)/(30+J642),0)</f>
        <v>1</v>
      </c>
      <c r="AB642">
        <f t="shared" ref="AB642:AB705" si="62">ROUND(MIN(100,MAX(0,60-Z642*0.4-R642*1.5+S642*8-IF(L642&gt;1500,10,0)-X642*0.5+IF(I642="Completed",-8,8)+IF(H642="Free",6,-4))),0)</f>
        <v>28</v>
      </c>
      <c r="AC642" t="str">
        <f t="shared" ref="AC642:AC705" si="63">IF(AB642&gt;=70,"High",IF(AB642&gt;=40,"Medium","Low"))</f>
        <v>Low</v>
      </c>
      <c r="AD642" t="str">
        <f t="shared" ref="AD642:AD705" si="64">IF(AC642="High",IF(Q642&lt;5,"Re-engage with app usage offer",IF(K642&lt;100,"Deposit incentive","Retention call")),IF(AC642="Medium","Nudge core feature adoption","Upsell premium bundle"))</f>
        <v>Upsell premium bundle</v>
      </c>
      <c r="AE642">
        <f t="shared" ref="AE642:AE705" si="65">100-Z642</f>
        <v>6</v>
      </c>
    </row>
    <row r="643" spans="1:31" x14ac:dyDescent="0.35">
      <c r="A643" t="s">
        <v>701</v>
      </c>
      <c r="B643" s="4">
        <v>46074</v>
      </c>
      <c r="C643" s="4">
        <v>46143</v>
      </c>
      <c r="D643" t="s">
        <v>32</v>
      </c>
      <c r="E643">
        <v>48</v>
      </c>
      <c r="F643" t="s">
        <v>33</v>
      </c>
      <c r="G643" t="s">
        <v>67</v>
      </c>
      <c r="H643" t="s">
        <v>44</v>
      </c>
      <c r="I643" t="s">
        <v>36</v>
      </c>
      <c r="J643">
        <v>2</v>
      </c>
      <c r="K643" s="5">
        <v>0</v>
      </c>
      <c r="L643" s="5">
        <v>510.89</v>
      </c>
      <c r="M643">
        <v>44</v>
      </c>
      <c r="N643">
        <v>26</v>
      </c>
      <c r="O643">
        <v>4</v>
      </c>
      <c r="P643">
        <v>7</v>
      </c>
      <c r="Q643">
        <v>20</v>
      </c>
      <c r="R643">
        <v>2</v>
      </c>
      <c r="S643">
        <v>0</v>
      </c>
      <c r="T643">
        <v>1</v>
      </c>
      <c r="U643">
        <v>0</v>
      </c>
      <c r="V643">
        <v>0</v>
      </c>
      <c r="W643" t="s">
        <v>45</v>
      </c>
      <c r="X643">
        <v>2</v>
      </c>
      <c r="Y643">
        <v>0</v>
      </c>
      <c r="Z643">
        <f t="shared" si="60"/>
        <v>99</v>
      </c>
      <c r="AA643">
        <f t="shared" si="61"/>
        <v>2</v>
      </c>
      <c r="AB643">
        <f t="shared" si="62"/>
        <v>4</v>
      </c>
      <c r="AC643" t="str">
        <f t="shared" si="63"/>
        <v>Low</v>
      </c>
      <c r="AD643" t="str">
        <f t="shared" si="64"/>
        <v>Upsell premium bundle</v>
      </c>
      <c r="AE643">
        <f t="shared" si="65"/>
        <v>1</v>
      </c>
    </row>
    <row r="644" spans="1:31" x14ac:dyDescent="0.35">
      <c r="A644" t="s">
        <v>702</v>
      </c>
      <c r="B644" s="4">
        <v>45774</v>
      </c>
      <c r="C644" s="4">
        <v>46143</v>
      </c>
      <c r="D644" t="s">
        <v>66</v>
      </c>
      <c r="E644">
        <v>54</v>
      </c>
      <c r="F644" t="s">
        <v>33</v>
      </c>
      <c r="G644" t="s">
        <v>85</v>
      </c>
      <c r="H644" t="s">
        <v>41</v>
      </c>
      <c r="I644" t="s">
        <v>36</v>
      </c>
      <c r="J644">
        <v>12</v>
      </c>
      <c r="K644" s="5">
        <v>210.49</v>
      </c>
      <c r="L644" s="5">
        <v>12.92</v>
      </c>
      <c r="M644">
        <v>16</v>
      </c>
      <c r="N644">
        <v>4</v>
      </c>
      <c r="O644">
        <v>1</v>
      </c>
      <c r="P644">
        <v>0</v>
      </c>
      <c r="Q644">
        <v>21</v>
      </c>
      <c r="R644">
        <v>3</v>
      </c>
      <c r="S644">
        <v>0</v>
      </c>
      <c r="T644">
        <v>1</v>
      </c>
      <c r="U644">
        <v>0</v>
      </c>
      <c r="V644">
        <v>1</v>
      </c>
      <c r="W644" t="s">
        <v>52</v>
      </c>
      <c r="X644">
        <v>22</v>
      </c>
      <c r="Y644">
        <v>1</v>
      </c>
      <c r="Z644">
        <f t="shared" si="60"/>
        <v>48</v>
      </c>
      <c r="AA644">
        <f t="shared" si="61"/>
        <v>0.88095238095238093</v>
      </c>
      <c r="AB644">
        <f t="shared" si="62"/>
        <v>23</v>
      </c>
      <c r="AC644" t="str">
        <f t="shared" si="63"/>
        <v>Low</v>
      </c>
      <c r="AD644" t="str">
        <f t="shared" si="64"/>
        <v>Upsell premium bundle</v>
      </c>
      <c r="AE644">
        <f t="shared" si="65"/>
        <v>52</v>
      </c>
    </row>
    <row r="645" spans="1:31" x14ac:dyDescent="0.35">
      <c r="A645" t="s">
        <v>703</v>
      </c>
      <c r="B645" s="4">
        <v>45735</v>
      </c>
      <c r="C645" s="4">
        <v>46143</v>
      </c>
      <c r="D645" t="s">
        <v>32</v>
      </c>
      <c r="E645">
        <v>28</v>
      </c>
      <c r="F645" t="s">
        <v>61</v>
      </c>
      <c r="G645" t="s">
        <v>34</v>
      </c>
      <c r="H645" t="s">
        <v>58</v>
      </c>
      <c r="I645" t="s">
        <v>36</v>
      </c>
      <c r="J645">
        <v>13</v>
      </c>
      <c r="K645" s="5">
        <v>3007.84</v>
      </c>
      <c r="L645" s="5">
        <v>828.82</v>
      </c>
      <c r="M645">
        <v>19</v>
      </c>
      <c r="N645">
        <v>9</v>
      </c>
      <c r="O645">
        <v>1</v>
      </c>
      <c r="P645">
        <v>2</v>
      </c>
      <c r="Q645">
        <v>12</v>
      </c>
      <c r="R645">
        <v>0</v>
      </c>
      <c r="S645">
        <v>1</v>
      </c>
      <c r="T645">
        <v>0</v>
      </c>
      <c r="U645">
        <v>0</v>
      </c>
      <c r="V645">
        <v>1</v>
      </c>
      <c r="W645" t="s">
        <v>45</v>
      </c>
      <c r="X645">
        <v>12</v>
      </c>
      <c r="Y645">
        <v>0</v>
      </c>
      <c r="Z645">
        <f t="shared" si="60"/>
        <v>49</v>
      </c>
      <c r="AA645">
        <f t="shared" si="61"/>
        <v>0.72093023255813948</v>
      </c>
      <c r="AB645">
        <f t="shared" si="62"/>
        <v>30</v>
      </c>
      <c r="AC645" t="str">
        <f t="shared" si="63"/>
        <v>Low</v>
      </c>
      <c r="AD645" t="str">
        <f t="shared" si="64"/>
        <v>Upsell premium bundle</v>
      </c>
      <c r="AE645">
        <f t="shared" si="65"/>
        <v>51</v>
      </c>
    </row>
    <row r="646" spans="1:31" x14ac:dyDescent="0.35">
      <c r="A646" t="s">
        <v>704</v>
      </c>
      <c r="B646" s="4">
        <v>44744</v>
      </c>
      <c r="C646" s="4">
        <v>46143</v>
      </c>
      <c r="D646" t="s">
        <v>72</v>
      </c>
      <c r="E646">
        <v>24</v>
      </c>
      <c r="F646" t="s">
        <v>57</v>
      </c>
      <c r="G646" t="s">
        <v>40</v>
      </c>
      <c r="H646" t="s">
        <v>41</v>
      </c>
      <c r="I646" t="s">
        <v>36</v>
      </c>
      <c r="J646">
        <v>46</v>
      </c>
      <c r="K646" s="5">
        <v>1164.3900000000001</v>
      </c>
      <c r="L646" s="5">
        <v>0</v>
      </c>
      <c r="M646">
        <v>38</v>
      </c>
      <c r="N646">
        <v>10</v>
      </c>
      <c r="O646">
        <v>3</v>
      </c>
      <c r="P646">
        <v>3</v>
      </c>
      <c r="Q646">
        <v>43</v>
      </c>
      <c r="R646">
        <v>2</v>
      </c>
      <c r="S646">
        <v>0</v>
      </c>
      <c r="T646">
        <v>1</v>
      </c>
      <c r="U646">
        <v>0</v>
      </c>
      <c r="V646">
        <v>1</v>
      </c>
      <c r="W646" t="s">
        <v>55</v>
      </c>
      <c r="X646">
        <v>70</v>
      </c>
      <c r="Y646">
        <v>0</v>
      </c>
      <c r="Z646">
        <f t="shared" si="60"/>
        <v>100</v>
      </c>
      <c r="AA646">
        <f t="shared" si="61"/>
        <v>1.0657894736842106</v>
      </c>
      <c r="AB646">
        <f t="shared" si="62"/>
        <v>0</v>
      </c>
      <c r="AC646" t="str">
        <f t="shared" si="63"/>
        <v>Low</v>
      </c>
      <c r="AD646" t="str">
        <f t="shared" si="64"/>
        <v>Upsell premium bundle</v>
      </c>
      <c r="AE646">
        <f t="shared" si="65"/>
        <v>0</v>
      </c>
    </row>
    <row r="647" spans="1:31" x14ac:dyDescent="0.35">
      <c r="A647" t="s">
        <v>705</v>
      </c>
      <c r="B647" s="4">
        <v>45539</v>
      </c>
      <c r="C647" s="4">
        <v>46143</v>
      </c>
      <c r="D647" t="s">
        <v>60</v>
      </c>
      <c r="E647">
        <v>52</v>
      </c>
      <c r="F647" t="s">
        <v>61</v>
      </c>
      <c r="G647" t="s">
        <v>63</v>
      </c>
      <c r="H647" t="s">
        <v>41</v>
      </c>
      <c r="I647" t="s">
        <v>36</v>
      </c>
      <c r="J647">
        <v>20</v>
      </c>
      <c r="K647" s="5">
        <v>6703.29</v>
      </c>
      <c r="L647" s="5">
        <v>4931.87</v>
      </c>
      <c r="M647">
        <v>20</v>
      </c>
      <c r="N647">
        <v>6</v>
      </c>
      <c r="O647">
        <v>4</v>
      </c>
      <c r="P647">
        <v>1</v>
      </c>
      <c r="Q647">
        <v>17</v>
      </c>
      <c r="R647">
        <v>0</v>
      </c>
      <c r="S647">
        <v>2</v>
      </c>
      <c r="T647">
        <v>1</v>
      </c>
      <c r="U647">
        <v>1</v>
      </c>
      <c r="V647">
        <v>1</v>
      </c>
      <c r="W647" t="s">
        <v>50</v>
      </c>
      <c r="X647">
        <v>42</v>
      </c>
      <c r="Y647">
        <v>0</v>
      </c>
      <c r="Z647">
        <f t="shared" si="60"/>
        <v>63</v>
      </c>
      <c r="AA647">
        <f t="shared" si="61"/>
        <v>0.74</v>
      </c>
      <c r="AB647">
        <f t="shared" si="62"/>
        <v>18</v>
      </c>
      <c r="AC647" t="str">
        <f t="shared" si="63"/>
        <v>Low</v>
      </c>
      <c r="AD647" t="str">
        <f t="shared" si="64"/>
        <v>Upsell premium bundle</v>
      </c>
      <c r="AE647">
        <f t="shared" si="65"/>
        <v>37</v>
      </c>
    </row>
    <row r="648" spans="1:31" x14ac:dyDescent="0.35">
      <c r="A648" t="s">
        <v>706</v>
      </c>
      <c r="B648" s="4">
        <v>45238</v>
      </c>
      <c r="C648" s="4">
        <v>46143</v>
      </c>
      <c r="D648" t="s">
        <v>60</v>
      </c>
      <c r="E648">
        <v>39</v>
      </c>
      <c r="F648" t="s">
        <v>33</v>
      </c>
      <c r="G648" t="s">
        <v>85</v>
      </c>
      <c r="H648" t="s">
        <v>41</v>
      </c>
      <c r="I648" t="s">
        <v>36</v>
      </c>
      <c r="J648">
        <v>30</v>
      </c>
      <c r="K648" s="5">
        <v>84.17</v>
      </c>
      <c r="L648" s="5">
        <v>343.69</v>
      </c>
      <c r="M648">
        <v>18</v>
      </c>
      <c r="N648">
        <v>11</v>
      </c>
      <c r="O648">
        <v>1</v>
      </c>
      <c r="P648">
        <v>0</v>
      </c>
      <c r="Q648">
        <v>17</v>
      </c>
      <c r="R648">
        <v>0</v>
      </c>
      <c r="S648">
        <v>0</v>
      </c>
      <c r="T648">
        <v>1</v>
      </c>
      <c r="U648">
        <v>0</v>
      </c>
      <c r="V648">
        <v>0</v>
      </c>
      <c r="W648" t="s">
        <v>52</v>
      </c>
      <c r="X648">
        <v>59</v>
      </c>
      <c r="Y648">
        <v>0</v>
      </c>
      <c r="Z648">
        <f t="shared" si="60"/>
        <v>44</v>
      </c>
      <c r="AA648">
        <f t="shared" si="61"/>
        <v>0.58333333333333337</v>
      </c>
      <c r="AB648">
        <f t="shared" si="62"/>
        <v>11</v>
      </c>
      <c r="AC648" t="str">
        <f t="shared" si="63"/>
        <v>Low</v>
      </c>
      <c r="AD648" t="str">
        <f t="shared" si="64"/>
        <v>Upsell premium bundle</v>
      </c>
      <c r="AE648">
        <f t="shared" si="65"/>
        <v>56</v>
      </c>
    </row>
    <row r="649" spans="1:31" x14ac:dyDescent="0.35">
      <c r="A649" t="s">
        <v>707</v>
      </c>
      <c r="B649" s="4">
        <v>45231</v>
      </c>
      <c r="C649" s="4">
        <v>46143</v>
      </c>
      <c r="D649" t="s">
        <v>72</v>
      </c>
      <c r="E649">
        <v>29</v>
      </c>
      <c r="F649" t="s">
        <v>61</v>
      </c>
      <c r="G649" t="s">
        <v>85</v>
      </c>
      <c r="H649" t="s">
        <v>41</v>
      </c>
      <c r="I649" t="s">
        <v>36</v>
      </c>
      <c r="J649">
        <v>30</v>
      </c>
      <c r="K649" s="5">
        <v>8655.2999999999993</v>
      </c>
      <c r="L649" s="5">
        <v>2620.61</v>
      </c>
      <c r="M649">
        <v>4</v>
      </c>
      <c r="N649">
        <v>2</v>
      </c>
      <c r="O649">
        <v>0</v>
      </c>
      <c r="P649">
        <v>0</v>
      </c>
      <c r="Q649">
        <v>15</v>
      </c>
      <c r="R649">
        <v>0</v>
      </c>
      <c r="S649">
        <v>0</v>
      </c>
      <c r="T649">
        <v>1</v>
      </c>
      <c r="U649">
        <v>1</v>
      </c>
      <c r="V649">
        <v>1</v>
      </c>
      <c r="W649" t="s">
        <v>52</v>
      </c>
      <c r="X649">
        <v>27</v>
      </c>
      <c r="Y649">
        <v>0</v>
      </c>
      <c r="Z649">
        <f t="shared" si="60"/>
        <v>34</v>
      </c>
      <c r="AA649">
        <f t="shared" si="61"/>
        <v>0.31666666666666665</v>
      </c>
      <c r="AB649">
        <f t="shared" si="62"/>
        <v>21</v>
      </c>
      <c r="AC649" t="str">
        <f t="shared" si="63"/>
        <v>Low</v>
      </c>
      <c r="AD649" t="str">
        <f t="shared" si="64"/>
        <v>Upsell premium bundle</v>
      </c>
      <c r="AE649">
        <f t="shared" si="65"/>
        <v>66</v>
      </c>
    </row>
    <row r="650" spans="1:31" x14ac:dyDescent="0.35">
      <c r="A650" t="s">
        <v>708</v>
      </c>
      <c r="B650" s="4">
        <v>44963</v>
      </c>
      <c r="C650" s="4">
        <v>46143</v>
      </c>
      <c r="D650" t="s">
        <v>66</v>
      </c>
      <c r="E650">
        <v>36</v>
      </c>
      <c r="F650" t="s">
        <v>43</v>
      </c>
      <c r="G650" t="s">
        <v>48</v>
      </c>
      <c r="H650" t="s">
        <v>58</v>
      </c>
      <c r="I650" t="s">
        <v>36</v>
      </c>
      <c r="J650">
        <v>39</v>
      </c>
      <c r="K650" s="5">
        <v>114.11</v>
      </c>
      <c r="L650" s="5">
        <v>37.869999999999997</v>
      </c>
      <c r="M650">
        <v>16</v>
      </c>
      <c r="N650">
        <v>7</v>
      </c>
      <c r="O650">
        <v>1</v>
      </c>
      <c r="P650">
        <v>2</v>
      </c>
      <c r="Q650">
        <v>29</v>
      </c>
      <c r="R650">
        <v>0</v>
      </c>
      <c r="S650">
        <v>0</v>
      </c>
      <c r="T650">
        <v>1</v>
      </c>
      <c r="U650">
        <v>1</v>
      </c>
      <c r="V650">
        <v>1</v>
      </c>
      <c r="W650" t="s">
        <v>55</v>
      </c>
      <c r="X650">
        <v>-10</v>
      </c>
      <c r="Y650">
        <v>0</v>
      </c>
      <c r="Z650">
        <f t="shared" si="60"/>
        <v>68</v>
      </c>
      <c r="AA650">
        <f t="shared" si="61"/>
        <v>0.65217391304347827</v>
      </c>
      <c r="AB650">
        <f t="shared" si="62"/>
        <v>26</v>
      </c>
      <c r="AC650" t="str">
        <f t="shared" si="63"/>
        <v>Low</v>
      </c>
      <c r="AD650" t="str">
        <f t="shared" si="64"/>
        <v>Upsell premium bundle</v>
      </c>
      <c r="AE650">
        <f t="shared" si="65"/>
        <v>32</v>
      </c>
    </row>
    <row r="651" spans="1:31" x14ac:dyDescent="0.35">
      <c r="A651" t="s">
        <v>709</v>
      </c>
      <c r="B651" s="4">
        <v>45573</v>
      </c>
      <c r="C651" s="4">
        <v>46143</v>
      </c>
      <c r="D651" t="s">
        <v>39</v>
      </c>
      <c r="E651">
        <v>29</v>
      </c>
      <c r="F651" t="s">
        <v>33</v>
      </c>
      <c r="G651" t="s">
        <v>34</v>
      </c>
      <c r="H651" t="s">
        <v>41</v>
      </c>
      <c r="I651" t="s">
        <v>36</v>
      </c>
      <c r="J651">
        <v>19</v>
      </c>
      <c r="K651" s="5">
        <v>338.42</v>
      </c>
      <c r="L651" s="5">
        <v>123.7</v>
      </c>
      <c r="M651">
        <v>10</v>
      </c>
      <c r="N651">
        <v>6</v>
      </c>
      <c r="O651">
        <v>2</v>
      </c>
      <c r="P651">
        <v>0</v>
      </c>
      <c r="Q651">
        <v>17</v>
      </c>
      <c r="R651">
        <v>0</v>
      </c>
      <c r="S651">
        <v>0</v>
      </c>
      <c r="T651">
        <v>0</v>
      </c>
      <c r="U651">
        <v>0</v>
      </c>
      <c r="V651">
        <v>1</v>
      </c>
      <c r="W651" t="s">
        <v>50</v>
      </c>
      <c r="X651">
        <v>23</v>
      </c>
      <c r="Y651">
        <v>1</v>
      </c>
      <c r="Z651">
        <f t="shared" si="60"/>
        <v>40</v>
      </c>
      <c r="AA651">
        <f t="shared" si="61"/>
        <v>0.55102040816326525</v>
      </c>
      <c r="AB651">
        <f t="shared" si="62"/>
        <v>31</v>
      </c>
      <c r="AC651" t="str">
        <f t="shared" si="63"/>
        <v>Low</v>
      </c>
      <c r="AD651" t="str">
        <f t="shared" si="64"/>
        <v>Upsell premium bundle</v>
      </c>
      <c r="AE651">
        <f t="shared" si="65"/>
        <v>60</v>
      </c>
    </row>
    <row r="652" spans="1:31" x14ac:dyDescent="0.35">
      <c r="A652" t="s">
        <v>710</v>
      </c>
      <c r="B652" s="4">
        <v>46043</v>
      </c>
      <c r="C652" s="4">
        <v>46143</v>
      </c>
      <c r="D652" t="s">
        <v>47</v>
      </c>
      <c r="E652">
        <v>67</v>
      </c>
      <c r="F652" t="s">
        <v>57</v>
      </c>
      <c r="G652" t="s">
        <v>85</v>
      </c>
      <c r="H652" t="s">
        <v>41</v>
      </c>
      <c r="I652" t="s">
        <v>36</v>
      </c>
      <c r="J652">
        <v>3</v>
      </c>
      <c r="K652" s="5">
        <v>1907.92</v>
      </c>
      <c r="L652" s="5">
        <v>714.37</v>
      </c>
      <c r="M652">
        <v>13</v>
      </c>
      <c r="N652">
        <v>9</v>
      </c>
      <c r="O652">
        <v>1</v>
      </c>
      <c r="P652">
        <v>2</v>
      </c>
      <c r="Q652">
        <v>11</v>
      </c>
      <c r="R652">
        <v>0</v>
      </c>
      <c r="S652">
        <v>0</v>
      </c>
      <c r="T652">
        <v>1</v>
      </c>
      <c r="U652">
        <v>0</v>
      </c>
      <c r="V652">
        <v>1</v>
      </c>
      <c r="W652" t="s">
        <v>55</v>
      </c>
      <c r="X652">
        <v>26</v>
      </c>
      <c r="Y652">
        <v>0</v>
      </c>
      <c r="Z652">
        <f t="shared" si="60"/>
        <v>42</v>
      </c>
      <c r="AA652">
        <f t="shared" si="61"/>
        <v>0.72727272727272729</v>
      </c>
      <c r="AB652">
        <f t="shared" si="62"/>
        <v>28</v>
      </c>
      <c r="AC652" t="str">
        <f t="shared" si="63"/>
        <v>Low</v>
      </c>
      <c r="AD652" t="str">
        <f t="shared" si="64"/>
        <v>Upsell premium bundle</v>
      </c>
      <c r="AE652">
        <f t="shared" si="65"/>
        <v>58</v>
      </c>
    </row>
    <row r="653" spans="1:31" x14ac:dyDescent="0.35">
      <c r="A653" t="s">
        <v>711</v>
      </c>
      <c r="B653" s="4">
        <v>45388</v>
      </c>
      <c r="C653" s="4">
        <v>46143</v>
      </c>
      <c r="D653" t="s">
        <v>60</v>
      </c>
      <c r="E653">
        <v>35</v>
      </c>
      <c r="F653" t="s">
        <v>77</v>
      </c>
      <c r="G653" t="s">
        <v>85</v>
      </c>
      <c r="H653" t="s">
        <v>35</v>
      </c>
      <c r="I653" t="s">
        <v>36</v>
      </c>
      <c r="J653">
        <v>25</v>
      </c>
      <c r="K653" s="5">
        <v>10398.09</v>
      </c>
      <c r="L653" s="5">
        <v>0</v>
      </c>
      <c r="M653">
        <v>32</v>
      </c>
      <c r="N653">
        <v>20</v>
      </c>
      <c r="O653">
        <v>2</v>
      </c>
      <c r="P653">
        <v>5</v>
      </c>
      <c r="Q653">
        <v>22</v>
      </c>
      <c r="R653">
        <v>0</v>
      </c>
      <c r="S653">
        <v>0</v>
      </c>
      <c r="T653">
        <v>1</v>
      </c>
      <c r="U653">
        <v>1</v>
      </c>
      <c r="V653">
        <v>1</v>
      </c>
      <c r="W653" t="s">
        <v>50</v>
      </c>
      <c r="X653">
        <v>29</v>
      </c>
      <c r="Y653">
        <v>0</v>
      </c>
      <c r="Z653">
        <f t="shared" si="60"/>
        <v>93</v>
      </c>
      <c r="AA653">
        <f t="shared" si="61"/>
        <v>0.98181818181818181</v>
      </c>
      <c r="AB653">
        <f t="shared" si="62"/>
        <v>0</v>
      </c>
      <c r="AC653" t="str">
        <f t="shared" si="63"/>
        <v>Low</v>
      </c>
      <c r="AD653" t="str">
        <f t="shared" si="64"/>
        <v>Upsell premium bundle</v>
      </c>
      <c r="AE653">
        <f t="shared" si="65"/>
        <v>7</v>
      </c>
    </row>
    <row r="654" spans="1:31" x14ac:dyDescent="0.35">
      <c r="A654" t="s">
        <v>712</v>
      </c>
      <c r="B654" s="4">
        <v>45601</v>
      </c>
      <c r="C654" s="4">
        <v>46143</v>
      </c>
      <c r="D654" t="s">
        <v>47</v>
      </c>
      <c r="E654">
        <v>51</v>
      </c>
      <c r="F654" t="s">
        <v>43</v>
      </c>
      <c r="G654" t="s">
        <v>85</v>
      </c>
      <c r="H654" t="s">
        <v>58</v>
      </c>
      <c r="I654" t="s">
        <v>36</v>
      </c>
      <c r="J654">
        <v>18</v>
      </c>
      <c r="K654" s="5">
        <v>80.75</v>
      </c>
      <c r="L654" s="5">
        <v>57.11</v>
      </c>
      <c r="M654">
        <v>31</v>
      </c>
      <c r="N654">
        <v>21</v>
      </c>
      <c r="O654">
        <v>6</v>
      </c>
      <c r="P654">
        <v>2</v>
      </c>
      <c r="Q654">
        <v>24</v>
      </c>
      <c r="R654">
        <v>0</v>
      </c>
      <c r="S654">
        <v>0</v>
      </c>
      <c r="T654">
        <v>0</v>
      </c>
      <c r="U654">
        <v>0</v>
      </c>
      <c r="V654">
        <v>0</v>
      </c>
      <c r="W654" t="s">
        <v>45</v>
      </c>
      <c r="X654">
        <v>30</v>
      </c>
      <c r="Y654">
        <v>0</v>
      </c>
      <c r="Z654">
        <f t="shared" si="60"/>
        <v>80</v>
      </c>
      <c r="AA654">
        <f t="shared" si="61"/>
        <v>1.1458333333333333</v>
      </c>
      <c r="AB654">
        <f t="shared" si="62"/>
        <v>1</v>
      </c>
      <c r="AC654" t="str">
        <f t="shared" si="63"/>
        <v>Low</v>
      </c>
      <c r="AD654" t="str">
        <f t="shared" si="64"/>
        <v>Upsell premium bundle</v>
      </c>
      <c r="AE654">
        <f t="shared" si="65"/>
        <v>20</v>
      </c>
    </row>
    <row r="655" spans="1:31" x14ac:dyDescent="0.35">
      <c r="A655" t="s">
        <v>713</v>
      </c>
      <c r="B655" s="4">
        <v>45439</v>
      </c>
      <c r="C655" s="4">
        <v>46143</v>
      </c>
      <c r="D655" t="s">
        <v>60</v>
      </c>
      <c r="E655">
        <v>20</v>
      </c>
      <c r="F655" t="s">
        <v>43</v>
      </c>
      <c r="G655" t="s">
        <v>40</v>
      </c>
      <c r="H655" t="s">
        <v>41</v>
      </c>
      <c r="I655" t="s">
        <v>36</v>
      </c>
      <c r="J655">
        <v>23</v>
      </c>
      <c r="K655" s="5">
        <v>113.84</v>
      </c>
      <c r="L655" s="5">
        <v>55.48</v>
      </c>
      <c r="M655">
        <v>25</v>
      </c>
      <c r="N655">
        <v>8</v>
      </c>
      <c r="O655">
        <v>2</v>
      </c>
      <c r="P655">
        <v>3</v>
      </c>
      <c r="Q655">
        <v>16</v>
      </c>
      <c r="R655">
        <v>0</v>
      </c>
      <c r="S655">
        <v>1</v>
      </c>
      <c r="T655">
        <v>1</v>
      </c>
      <c r="U655">
        <v>0</v>
      </c>
      <c r="V655">
        <v>1</v>
      </c>
      <c r="W655" t="s">
        <v>55</v>
      </c>
      <c r="X655">
        <v>34</v>
      </c>
      <c r="Y655">
        <v>1</v>
      </c>
      <c r="Z655">
        <f t="shared" si="60"/>
        <v>61</v>
      </c>
      <c r="AA655">
        <f t="shared" si="61"/>
        <v>0.77358490566037741</v>
      </c>
      <c r="AB655">
        <f t="shared" si="62"/>
        <v>25</v>
      </c>
      <c r="AC655" t="str">
        <f t="shared" si="63"/>
        <v>Low</v>
      </c>
      <c r="AD655" t="str">
        <f t="shared" si="64"/>
        <v>Upsell premium bundle</v>
      </c>
      <c r="AE655">
        <f t="shared" si="65"/>
        <v>39</v>
      </c>
    </row>
    <row r="656" spans="1:31" x14ac:dyDescent="0.35">
      <c r="A656" t="s">
        <v>714</v>
      </c>
      <c r="B656" s="4">
        <v>45177</v>
      </c>
      <c r="C656" s="4">
        <v>46143</v>
      </c>
      <c r="D656" t="s">
        <v>72</v>
      </c>
      <c r="E656">
        <v>56</v>
      </c>
      <c r="F656" t="s">
        <v>43</v>
      </c>
      <c r="G656" t="s">
        <v>85</v>
      </c>
      <c r="H656" t="s">
        <v>41</v>
      </c>
      <c r="I656" t="s">
        <v>36</v>
      </c>
      <c r="J656">
        <v>32</v>
      </c>
      <c r="K656" s="5">
        <v>0</v>
      </c>
      <c r="L656" s="5">
        <v>57.53</v>
      </c>
      <c r="M656">
        <v>27</v>
      </c>
      <c r="N656">
        <v>14</v>
      </c>
      <c r="O656">
        <v>2</v>
      </c>
      <c r="P656">
        <v>1</v>
      </c>
      <c r="Q656">
        <v>27</v>
      </c>
      <c r="R656">
        <v>5</v>
      </c>
      <c r="S656">
        <v>0</v>
      </c>
      <c r="T656">
        <v>1</v>
      </c>
      <c r="U656">
        <v>1</v>
      </c>
      <c r="V656">
        <v>1</v>
      </c>
      <c r="W656" t="s">
        <v>37</v>
      </c>
      <c r="X656">
        <v>55</v>
      </c>
      <c r="Y656">
        <v>0</v>
      </c>
      <c r="Z656">
        <f t="shared" si="60"/>
        <v>83</v>
      </c>
      <c r="AA656">
        <f t="shared" si="61"/>
        <v>0.87096774193548387</v>
      </c>
      <c r="AB656">
        <f t="shared" si="62"/>
        <v>0</v>
      </c>
      <c r="AC656" t="str">
        <f t="shared" si="63"/>
        <v>Low</v>
      </c>
      <c r="AD656" t="str">
        <f t="shared" si="64"/>
        <v>Upsell premium bundle</v>
      </c>
      <c r="AE656">
        <f t="shared" si="65"/>
        <v>17</v>
      </c>
    </row>
    <row r="657" spans="1:31" x14ac:dyDescent="0.35">
      <c r="A657" t="s">
        <v>715</v>
      </c>
      <c r="B657" s="4">
        <v>46002</v>
      </c>
      <c r="C657" s="4">
        <v>46143</v>
      </c>
      <c r="D657" t="s">
        <v>60</v>
      </c>
      <c r="E657">
        <v>43</v>
      </c>
      <c r="F657" t="s">
        <v>33</v>
      </c>
      <c r="G657" t="s">
        <v>67</v>
      </c>
      <c r="H657" t="s">
        <v>58</v>
      </c>
      <c r="I657" t="s">
        <v>36</v>
      </c>
      <c r="J657">
        <v>4</v>
      </c>
      <c r="K657" s="5">
        <v>393.33</v>
      </c>
      <c r="L657" s="5">
        <v>262.60000000000002</v>
      </c>
      <c r="M657">
        <v>42</v>
      </c>
      <c r="N657">
        <v>23</v>
      </c>
      <c r="O657">
        <v>4</v>
      </c>
      <c r="P657">
        <v>7</v>
      </c>
      <c r="Q657">
        <v>39</v>
      </c>
      <c r="R657">
        <v>0</v>
      </c>
      <c r="S657">
        <v>0</v>
      </c>
      <c r="T657">
        <v>0</v>
      </c>
      <c r="U657">
        <v>1</v>
      </c>
      <c r="V657">
        <v>0</v>
      </c>
      <c r="W657" t="s">
        <v>45</v>
      </c>
      <c r="X657">
        <v>100</v>
      </c>
      <c r="Y657">
        <v>0</v>
      </c>
      <c r="Z657">
        <f t="shared" si="60"/>
        <v>100</v>
      </c>
      <c r="AA657">
        <f t="shared" si="61"/>
        <v>2.3823529411764706</v>
      </c>
      <c r="AB657">
        <f t="shared" si="62"/>
        <v>0</v>
      </c>
      <c r="AC657" t="str">
        <f t="shared" si="63"/>
        <v>Low</v>
      </c>
      <c r="AD657" t="str">
        <f t="shared" si="64"/>
        <v>Upsell premium bundle</v>
      </c>
      <c r="AE657">
        <f t="shared" si="65"/>
        <v>0</v>
      </c>
    </row>
    <row r="658" spans="1:31" x14ac:dyDescent="0.35">
      <c r="A658" t="s">
        <v>716</v>
      </c>
      <c r="B658" s="4">
        <v>45662</v>
      </c>
      <c r="C658" s="4">
        <v>46143</v>
      </c>
      <c r="D658" t="s">
        <v>66</v>
      </c>
      <c r="E658">
        <v>45</v>
      </c>
      <c r="F658" t="s">
        <v>33</v>
      </c>
      <c r="G658" t="s">
        <v>63</v>
      </c>
      <c r="H658" t="s">
        <v>44</v>
      </c>
      <c r="I658" t="s">
        <v>54</v>
      </c>
      <c r="J658">
        <v>16</v>
      </c>
      <c r="K658" s="5">
        <v>133.59</v>
      </c>
      <c r="L658" s="5">
        <v>166.88</v>
      </c>
      <c r="M658">
        <v>46</v>
      </c>
      <c r="N658">
        <v>19</v>
      </c>
      <c r="O658">
        <v>10</v>
      </c>
      <c r="P658">
        <v>0</v>
      </c>
      <c r="Q658">
        <v>20</v>
      </c>
      <c r="R658">
        <v>2</v>
      </c>
      <c r="S658">
        <v>1</v>
      </c>
      <c r="T658">
        <v>1</v>
      </c>
      <c r="U658">
        <v>1</v>
      </c>
      <c r="V658">
        <v>0</v>
      </c>
      <c r="W658" t="s">
        <v>50</v>
      </c>
      <c r="X658">
        <v>14</v>
      </c>
      <c r="Y658">
        <v>0</v>
      </c>
      <c r="Z658">
        <f t="shared" si="60"/>
        <v>100</v>
      </c>
      <c r="AA658">
        <f t="shared" si="61"/>
        <v>1.4347826086956521</v>
      </c>
      <c r="AB658">
        <f t="shared" si="62"/>
        <v>22</v>
      </c>
      <c r="AC658" t="str">
        <f t="shared" si="63"/>
        <v>Low</v>
      </c>
      <c r="AD658" t="str">
        <f t="shared" si="64"/>
        <v>Upsell premium bundle</v>
      </c>
      <c r="AE658">
        <f t="shared" si="65"/>
        <v>0</v>
      </c>
    </row>
    <row r="659" spans="1:31" x14ac:dyDescent="0.35">
      <c r="A659" t="s">
        <v>717</v>
      </c>
      <c r="B659" s="4">
        <v>44889</v>
      </c>
      <c r="C659" s="4">
        <v>46143</v>
      </c>
      <c r="D659" t="s">
        <v>39</v>
      </c>
      <c r="E659">
        <v>31</v>
      </c>
      <c r="F659" t="s">
        <v>33</v>
      </c>
      <c r="G659" t="s">
        <v>63</v>
      </c>
      <c r="H659" t="s">
        <v>41</v>
      </c>
      <c r="I659" t="s">
        <v>36</v>
      </c>
      <c r="J659">
        <v>41</v>
      </c>
      <c r="K659" s="5">
        <v>183.02</v>
      </c>
      <c r="L659" s="5">
        <v>282.64</v>
      </c>
      <c r="M659">
        <v>36</v>
      </c>
      <c r="N659">
        <v>17</v>
      </c>
      <c r="O659">
        <v>9</v>
      </c>
      <c r="P659">
        <v>3</v>
      </c>
      <c r="Q659">
        <v>22</v>
      </c>
      <c r="R659">
        <v>0</v>
      </c>
      <c r="S659">
        <v>1</v>
      </c>
      <c r="T659">
        <v>1</v>
      </c>
      <c r="U659">
        <v>0</v>
      </c>
      <c r="V659">
        <v>0</v>
      </c>
      <c r="W659" t="s">
        <v>52</v>
      </c>
      <c r="X659">
        <v>53</v>
      </c>
      <c r="Y659">
        <v>0</v>
      </c>
      <c r="Z659">
        <f t="shared" si="60"/>
        <v>86</v>
      </c>
      <c r="AA659">
        <f t="shared" si="61"/>
        <v>0.81690140845070425</v>
      </c>
      <c r="AB659">
        <f t="shared" si="62"/>
        <v>5</v>
      </c>
      <c r="AC659" t="str">
        <f t="shared" si="63"/>
        <v>Low</v>
      </c>
      <c r="AD659" t="str">
        <f t="shared" si="64"/>
        <v>Upsell premium bundle</v>
      </c>
      <c r="AE659">
        <f t="shared" si="65"/>
        <v>14</v>
      </c>
    </row>
    <row r="660" spans="1:31" x14ac:dyDescent="0.35">
      <c r="A660" t="s">
        <v>718</v>
      </c>
      <c r="B660" s="4">
        <v>45372</v>
      </c>
      <c r="C660" s="4">
        <v>46143</v>
      </c>
      <c r="D660" t="s">
        <v>60</v>
      </c>
      <c r="E660">
        <v>54</v>
      </c>
      <c r="F660" t="s">
        <v>43</v>
      </c>
      <c r="G660" t="s">
        <v>48</v>
      </c>
      <c r="H660" t="s">
        <v>35</v>
      </c>
      <c r="I660" t="s">
        <v>49</v>
      </c>
      <c r="J660">
        <v>25</v>
      </c>
      <c r="K660" s="5">
        <v>57.05</v>
      </c>
      <c r="L660" s="5">
        <v>0</v>
      </c>
      <c r="M660">
        <v>33</v>
      </c>
      <c r="N660">
        <v>16</v>
      </c>
      <c r="O660">
        <v>1</v>
      </c>
      <c r="P660">
        <v>0</v>
      </c>
      <c r="Q660">
        <v>29</v>
      </c>
      <c r="R660">
        <v>2</v>
      </c>
      <c r="S660">
        <v>1</v>
      </c>
      <c r="T660">
        <v>1</v>
      </c>
      <c r="U660">
        <v>1</v>
      </c>
      <c r="V660">
        <v>0</v>
      </c>
      <c r="W660" t="s">
        <v>37</v>
      </c>
      <c r="X660">
        <v>-3</v>
      </c>
      <c r="Y660">
        <v>0</v>
      </c>
      <c r="Z660">
        <f t="shared" si="60"/>
        <v>83</v>
      </c>
      <c r="AA660">
        <f t="shared" si="61"/>
        <v>1.1272727272727272</v>
      </c>
      <c r="AB660">
        <f t="shared" si="62"/>
        <v>37</v>
      </c>
      <c r="AC660" t="str">
        <f t="shared" si="63"/>
        <v>Low</v>
      </c>
      <c r="AD660" t="str">
        <f t="shared" si="64"/>
        <v>Upsell premium bundle</v>
      </c>
      <c r="AE660">
        <f t="shared" si="65"/>
        <v>17</v>
      </c>
    </row>
    <row r="661" spans="1:31" x14ac:dyDescent="0.35">
      <c r="A661" t="s">
        <v>719</v>
      </c>
      <c r="B661" s="4">
        <v>45624</v>
      </c>
      <c r="C661" s="4">
        <v>46143</v>
      </c>
      <c r="D661" t="s">
        <v>66</v>
      </c>
      <c r="E661">
        <v>50</v>
      </c>
      <c r="F661" t="s">
        <v>57</v>
      </c>
      <c r="G661" t="s">
        <v>48</v>
      </c>
      <c r="H661" t="s">
        <v>35</v>
      </c>
      <c r="I661" t="s">
        <v>36</v>
      </c>
      <c r="J661">
        <v>17</v>
      </c>
      <c r="K661" s="5">
        <v>1392.69</v>
      </c>
      <c r="L661" s="5">
        <v>1191.2</v>
      </c>
      <c r="M661">
        <v>42</v>
      </c>
      <c r="N661">
        <v>13</v>
      </c>
      <c r="O661">
        <v>8</v>
      </c>
      <c r="P661">
        <v>3</v>
      </c>
      <c r="Q661">
        <v>21</v>
      </c>
      <c r="R661">
        <v>2</v>
      </c>
      <c r="S661">
        <v>0</v>
      </c>
      <c r="T661">
        <v>1</v>
      </c>
      <c r="U661">
        <v>1</v>
      </c>
      <c r="V661">
        <v>1</v>
      </c>
      <c r="W661" t="s">
        <v>55</v>
      </c>
      <c r="X661">
        <v>68</v>
      </c>
      <c r="Y661">
        <v>0</v>
      </c>
      <c r="Z661">
        <f t="shared" si="60"/>
        <v>100</v>
      </c>
      <c r="AA661">
        <f t="shared" si="61"/>
        <v>1.3404255319148937</v>
      </c>
      <c r="AB661">
        <f t="shared" si="62"/>
        <v>0</v>
      </c>
      <c r="AC661" t="str">
        <f t="shared" si="63"/>
        <v>Low</v>
      </c>
      <c r="AD661" t="str">
        <f t="shared" si="64"/>
        <v>Upsell premium bundle</v>
      </c>
      <c r="AE661">
        <f t="shared" si="65"/>
        <v>0</v>
      </c>
    </row>
    <row r="662" spans="1:31" x14ac:dyDescent="0.35">
      <c r="A662" t="s">
        <v>720</v>
      </c>
      <c r="B662" s="4">
        <v>44700</v>
      </c>
      <c r="C662" s="4">
        <v>46143</v>
      </c>
      <c r="D662" t="s">
        <v>66</v>
      </c>
      <c r="E662">
        <v>24</v>
      </c>
      <c r="F662" t="s">
        <v>43</v>
      </c>
      <c r="G662" t="s">
        <v>67</v>
      </c>
      <c r="H662" t="s">
        <v>41</v>
      </c>
      <c r="I662" t="s">
        <v>36</v>
      </c>
      <c r="J662">
        <v>48</v>
      </c>
      <c r="K662" s="5">
        <v>0</v>
      </c>
      <c r="L662" s="5">
        <v>77.5</v>
      </c>
      <c r="M662">
        <v>23</v>
      </c>
      <c r="N662">
        <v>6</v>
      </c>
      <c r="O662">
        <v>2</v>
      </c>
      <c r="P662">
        <v>1</v>
      </c>
      <c r="Q662">
        <v>34</v>
      </c>
      <c r="R662">
        <v>7</v>
      </c>
      <c r="S662">
        <v>5</v>
      </c>
      <c r="T662">
        <v>0</v>
      </c>
      <c r="U662">
        <v>0</v>
      </c>
      <c r="V662">
        <v>0</v>
      </c>
      <c r="W662" t="s">
        <v>55</v>
      </c>
      <c r="X662">
        <v>-23</v>
      </c>
      <c r="Y662">
        <v>1</v>
      </c>
      <c r="Z662">
        <f t="shared" si="60"/>
        <v>64</v>
      </c>
      <c r="AA662">
        <f t="shared" si="61"/>
        <v>0.73076923076923073</v>
      </c>
      <c r="AB662">
        <f t="shared" si="62"/>
        <v>73</v>
      </c>
      <c r="AC662" t="str">
        <f t="shared" si="63"/>
        <v>High</v>
      </c>
      <c r="AD662" t="str">
        <f t="shared" si="64"/>
        <v>Deposit incentive</v>
      </c>
      <c r="AE662">
        <f t="shared" si="65"/>
        <v>36</v>
      </c>
    </row>
    <row r="663" spans="1:31" x14ac:dyDescent="0.35">
      <c r="A663" t="s">
        <v>721</v>
      </c>
      <c r="B663" s="4">
        <v>45882</v>
      </c>
      <c r="C663" s="4">
        <v>46143</v>
      </c>
      <c r="D663" t="s">
        <v>39</v>
      </c>
      <c r="E663">
        <v>51</v>
      </c>
      <c r="F663" t="s">
        <v>43</v>
      </c>
      <c r="G663" t="s">
        <v>85</v>
      </c>
      <c r="H663" t="s">
        <v>41</v>
      </c>
      <c r="I663" t="s">
        <v>49</v>
      </c>
      <c r="J663">
        <v>8</v>
      </c>
      <c r="K663" s="5">
        <v>111</v>
      </c>
      <c r="L663" s="5">
        <v>60.73</v>
      </c>
      <c r="M663">
        <v>19</v>
      </c>
      <c r="N663">
        <v>9</v>
      </c>
      <c r="O663">
        <v>2</v>
      </c>
      <c r="P663">
        <v>3</v>
      </c>
      <c r="Q663">
        <v>6</v>
      </c>
      <c r="R663">
        <v>2</v>
      </c>
      <c r="S663">
        <v>0</v>
      </c>
      <c r="T663">
        <v>1</v>
      </c>
      <c r="U663">
        <v>0</v>
      </c>
      <c r="V663">
        <v>0</v>
      </c>
      <c r="W663" t="s">
        <v>55</v>
      </c>
      <c r="X663">
        <v>38</v>
      </c>
      <c r="Y663">
        <v>1</v>
      </c>
      <c r="Z663">
        <f t="shared" si="60"/>
        <v>39</v>
      </c>
      <c r="AA663">
        <f t="shared" si="61"/>
        <v>0.65789473684210531</v>
      </c>
      <c r="AB663">
        <f t="shared" si="62"/>
        <v>36</v>
      </c>
      <c r="AC663" t="str">
        <f t="shared" si="63"/>
        <v>Low</v>
      </c>
      <c r="AD663" t="str">
        <f t="shared" si="64"/>
        <v>Upsell premium bundle</v>
      </c>
      <c r="AE663">
        <f t="shared" si="65"/>
        <v>61</v>
      </c>
    </row>
    <row r="664" spans="1:31" x14ac:dyDescent="0.35">
      <c r="A664" t="s">
        <v>722</v>
      </c>
      <c r="B664" s="4">
        <v>45941</v>
      </c>
      <c r="C664" s="4">
        <v>46143</v>
      </c>
      <c r="D664" t="s">
        <v>66</v>
      </c>
      <c r="E664">
        <v>59</v>
      </c>
      <c r="F664" t="s">
        <v>61</v>
      </c>
      <c r="G664" t="s">
        <v>34</v>
      </c>
      <c r="H664" t="s">
        <v>58</v>
      </c>
      <c r="I664" t="s">
        <v>36</v>
      </c>
      <c r="J664">
        <v>6</v>
      </c>
      <c r="K664" s="5">
        <v>2248.33</v>
      </c>
      <c r="L664" s="5">
        <v>6212.6</v>
      </c>
      <c r="M664">
        <v>19</v>
      </c>
      <c r="N664">
        <v>13</v>
      </c>
      <c r="O664">
        <v>5</v>
      </c>
      <c r="P664">
        <v>1</v>
      </c>
      <c r="Q664">
        <v>20</v>
      </c>
      <c r="R664">
        <v>0</v>
      </c>
      <c r="S664">
        <v>0</v>
      </c>
      <c r="T664">
        <v>1</v>
      </c>
      <c r="U664">
        <v>1</v>
      </c>
      <c r="V664">
        <v>0</v>
      </c>
      <c r="W664" t="s">
        <v>55</v>
      </c>
      <c r="X664">
        <v>38</v>
      </c>
      <c r="Y664">
        <v>0</v>
      </c>
      <c r="Z664">
        <f t="shared" si="60"/>
        <v>63</v>
      </c>
      <c r="AA664">
        <f t="shared" si="61"/>
        <v>1.0833333333333333</v>
      </c>
      <c r="AB664">
        <f t="shared" si="62"/>
        <v>0</v>
      </c>
      <c r="AC664" t="str">
        <f t="shared" si="63"/>
        <v>Low</v>
      </c>
      <c r="AD664" t="str">
        <f t="shared" si="64"/>
        <v>Upsell premium bundle</v>
      </c>
      <c r="AE664">
        <f t="shared" si="65"/>
        <v>37</v>
      </c>
    </row>
    <row r="665" spans="1:31" x14ac:dyDescent="0.35">
      <c r="A665" t="s">
        <v>723</v>
      </c>
      <c r="B665" s="4">
        <v>45988</v>
      </c>
      <c r="C665" s="4">
        <v>46143</v>
      </c>
      <c r="D665" t="s">
        <v>32</v>
      </c>
      <c r="E665">
        <v>68</v>
      </c>
      <c r="F665" t="s">
        <v>61</v>
      </c>
      <c r="G665" t="s">
        <v>63</v>
      </c>
      <c r="H665" t="s">
        <v>41</v>
      </c>
      <c r="I665" t="s">
        <v>36</v>
      </c>
      <c r="J665">
        <v>5</v>
      </c>
      <c r="K665" s="5">
        <v>3974.87</v>
      </c>
      <c r="L665" s="5">
        <v>112.72</v>
      </c>
      <c r="M665">
        <v>45</v>
      </c>
      <c r="N665">
        <v>32</v>
      </c>
      <c r="O665">
        <v>12</v>
      </c>
      <c r="P665">
        <v>8</v>
      </c>
      <c r="Q665">
        <v>24</v>
      </c>
      <c r="R665">
        <v>0</v>
      </c>
      <c r="S665">
        <v>0</v>
      </c>
      <c r="T665">
        <v>1</v>
      </c>
      <c r="U665">
        <v>0</v>
      </c>
      <c r="V665">
        <v>1</v>
      </c>
      <c r="W665" t="s">
        <v>55</v>
      </c>
      <c r="X665">
        <v>76</v>
      </c>
      <c r="Y665">
        <v>0</v>
      </c>
      <c r="Z665">
        <f t="shared" si="60"/>
        <v>100</v>
      </c>
      <c r="AA665">
        <f t="shared" si="61"/>
        <v>1.9714285714285715</v>
      </c>
      <c r="AB665">
        <f t="shared" si="62"/>
        <v>0</v>
      </c>
      <c r="AC665" t="str">
        <f t="shared" si="63"/>
        <v>Low</v>
      </c>
      <c r="AD665" t="str">
        <f t="shared" si="64"/>
        <v>Upsell premium bundle</v>
      </c>
      <c r="AE665">
        <f t="shared" si="65"/>
        <v>0</v>
      </c>
    </row>
    <row r="666" spans="1:31" x14ac:dyDescent="0.35">
      <c r="A666" t="s">
        <v>724</v>
      </c>
      <c r="B666" s="4">
        <v>45190</v>
      </c>
      <c r="C666" s="4">
        <v>46143</v>
      </c>
      <c r="D666" t="s">
        <v>47</v>
      </c>
      <c r="E666">
        <v>63</v>
      </c>
      <c r="F666" t="s">
        <v>57</v>
      </c>
      <c r="G666" t="s">
        <v>67</v>
      </c>
      <c r="H666" t="s">
        <v>41</v>
      </c>
      <c r="I666" t="s">
        <v>36</v>
      </c>
      <c r="J666">
        <v>31</v>
      </c>
      <c r="K666" s="5">
        <v>2605.56</v>
      </c>
      <c r="L666" s="5">
        <v>164.36</v>
      </c>
      <c r="M666">
        <v>32</v>
      </c>
      <c r="N666">
        <v>12</v>
      </c>
      <c r="O666">
        <v>8</v>
      </c>
      <c r="P666">
        <v>0</v>
      </c>
      <c r="Q666">
        <v>16</v>
      </c>
      <c r="R666">
        <v>1</v>
      </c>
      <c r="S666">
        <v>0</v>
      </c>
      <c r="T666">
        <v>0</v>
      </c>
      <c r="U666">
        <v>1</v>
      </c>
      <c r="V666">
        <v>1</v>
      </c>
      <c r="W666" t="s">
        <v>45</v>
      </c>
      <c r="X666">
        <v>-19</v>
      </c>
      <c r="Y666">
        <v>0</v>
      </c>
      <c r="Z666">
        <f t="shared" si="60"/>
        <v>83</v>
      </c>
      <c r="AA666">
        <f t="shared" si="61"/>
        <v>0.78688524590163933</v>
      </c>
      <c r="AB666">
        <f t="shared" si="62"/>
        <v>33</v>
      </c>
      <c r="AC666" t="str">
        <f t="shared" si="63"/>
        <v>Low</v>
      </c>
      <c r="AD666" t="str">
        <f t="shared" si="64"/>
        <v>Upsell premium bundle</v>
      </c>
      <c r="AE666">
        <f t="shared" si="65"/>
        <v>17</v>
      </c>
    </row>
    <row r="667" spans="1:31" x14ac:dyDescent="0.35">
      <c r="A667" t="s">
        <v>725</v>
      </c>
      <c r="B667" s="4">
        <v>46003</v>
      </c>
      <c r="C667" s="4">
        <v>46143</v>
      </c>
      <c r="D667" t="s">
        <v>39</v>
      </c>
      <c r="E667">
        <v>65</v>
      </c>
      <c r="F667" t="s">
        <v>33</v>
      </c>
      <c r="G667" t="s">
        <v>34</v>
      </c>
      <c r="H667" t="s">
        <v>41</v>
      </c>
      <c r="I667" t="s">
        <v>36</v>
      </c>
      <c r="J667">
        <v>4</v>
      </c>
      <c r="K667" s="5">
        <v>31.82</v>
      </c>
      <c r="L667" s="5">
        <v>248.46</v>
      </c>
      <c r="M667">
        <v>34</v>
      </c>
      <c r="N667">
        <v>13</v>
      </c>
      <c r="O667">
        <v>3</v>
      </c>
      <c r="P667">
        <v>7</v>
      </c>
      <c r="Q667">
        <v>21</v>
      </c>
      <c r="R667">
        <v>2</v>
      </c>
      <c r="S667">
        <v>0</v>
      </c>
      <c r="T667">
        <v>1</v>
      </c>
      <c r="U667">
        <v>0</v>
      </c>
      <c r="V667">
        <v>0</v>
      </c>
      <c r="W667" t="s">
        <v>50</v>
      </c>
      <c r="X667">
        <v>8</v>
      </c>
      <c r="Y667">
        <v>0</v>
      </c>
      <c r="Z667">
        <f t="shared" si="60"/>
        <v>79</v>
      </c>
      <c r="AA667">
        <f t="shared" si="61"/>
        <v>1.6176470588235294</v>
      </c>
      <c r="AB667">
        <f t="shared" si="62"/>
        <v>19</v>
      </c>
      <c r="AC667" t="str">
        <f t="shared" si="63"/>
        <v>Low</v>
      </c>
      <c r="AD667" t="str">
        <f t="shared" si="64"/>
        <v>Upsell premium bundle</v>
      </c>
      <c r="AE667">
        <f t="shared" si="65"/>
        <v>21</v>
      </c>
    </row>
    <row r="668" spans="1:31" x14ac:dyDescent="0.35">
      <c r="A668" t="s">
        <v>726</v>
      </c>
      <c r="B668" s="4">
        <v>44893</v>
      </c>
      <c r="C668" s="4">
        <v>46143</v>
      </c>
      <c r="D668" t="s">
        <v>39</v>
      </c>
      <c r="E668">
        <v>21</v>
      </c>
      <c r="F668" t="s">
        <v>57</v>
      </c>
      <c r="G668" t="s">
        <v>34</v>
      </c>
      <c r="H668" t="s">
        <v>41</v>
      </c>
      <c r="I668" t="s">
        <v>36</v>
      </c>
      <c r="J668">
        <v>41</v>
      </c>
      <c r="K668" s="5">
        <v>1479.68</v>
      </c>
      <c r="L668" s="5">
        <v>984.69</v>
      </c>
      <c r="M668">
        <v>15</v>
      </c>
      <c r="N668">
        <v>10</v>
      </c>
      <c r="O668">
        <v>2</v>
      </c>
      <c r="P668">
        <v>0</v>
      </c>
      <c r="Q668">
        <v>28</v>
      </c>
      <c r="R668">
        <v>2</v>
      </c>
      <c r="S668">
        <v>0</v>
      </c>
      <c r="T668">
        <v>1</v>
      </c>
      <c r="U668">
        <v>1</v>
      </c>
      <c r="V668">
        <v>1</v>
      </c>
      <c r="W668" t="s">
        <v>55</v>
      </c>
      <c r="X668">
        <v>21</v>
      </c>
      <c r="Y668">
        <v>0</v>
      </c>
      <c r="Z668">
        <f t="shared" si="60"/>
        <v>66</v>
      </c>
      <c r="AA668">
        <f t="shared" si="61"/>
        <v>0.60563380281690138</v>
      </c>
      <c r="AB668">
        <f t="shared" si="62"/>
        <v>18</v>
      </c>
      <c r="AC668" t="str">
        <f t="shared" si="63"/>
        <v>Low</v>
      </c>
      <c r="AD668" t="str">
        <f t="shared" si="64"/>
        <v>Upsell premium bundle</v>
      </c>
      <c r="AE668">
        <f t="shared" si="65"/>
        <v>34</v>
      </c>
    </row>
    <row r="669" spans="1:31" x14ac:dyDescent="0.35">
      <c r="A669" t="s">
        <v>727</v>
      </c>
      <c r="B669" s="4">
        <v>45443</v>
      </c>
      <c r="C669" s="4">
        <v>46143</v>
      </c>
      <c r="D669" t="s">
        <v>39</v>
      </c>
      <c r="E669">
        <v>55</v>
      </c>
      <c r="F669" t="s">
        <v>61</v>
      </c>
      <c r="G669" t="s">
        <v>67</v>
      </c>
      <c r="H669" t="s">
        <v>41</v>
      </c>
      <c r="I669" t="s">
        <v>36</v>
      </c>
      <c r="J669">
        <v>23</v>
      </c>
      <c r="K669" s="5">
        <v>0</v>
      </c>
      <c r="L669" s="5">
        <v>2995.52</v>
      </c>
      <c r="M669">
        <v>24</v>
      </c>
      <c r="N669">
        <v>15</v>
      </c>
      <c r="O669">
        <v>4</v>
      </c>
      <c r="P669">
        <v>2</v>
      </c>
      <c r="Q669">
        <v>14</v>
      </c>
      <c r="R669">
        <v>2</v>
      </c>
      <c r="S669">
        <v>2</v>
      </c>
      <c r="T669">
        <v>0</v>
      </c>
      <c r="U669">
        <v>0</v>
      </c>
      <c r="V669">
        <v>1</v>
      </c>
      <c r="W669" t="s">
        <v>50</v>
      </c>
      <c r="X669">
        <v>9</v>
      </c>
      <c r="Y669">
        <v>1</v>
      </c>
      <c r="Z669">
        <f t="shared" si="60"/>
        <v>64</v>
      </c>
      <c r="AA669">
        <f t="shared" si="61"/>
        <v>0.71698113207547165</v>
      </c>
      <c r="AB669">
        <f t="shared" si="62"/>
        <v>31</v>
      </c>
      <c r="AC669" t="str">
        <f t="shared" si="63"/>
        <v>Low</v>
      </c>
      <c r="AD669" t="str">
        <f t="shared" si="64"/>
        <v>Upsell premium bundle</v>
      </c>
      <c r="AE669">
        <f t="shared" si="65"/>
        <v>36</v>
      </c>
    </row>
    <row r="670" spans="1:31" x14ac:dyDescent="0.35">
      <c r="A670" t="s">
        <v>728</v>
      </c>
      <c r="B670" s="4">
        <v>45867</v>
      </c>
      <c r="C670" s="4">
        <v>46143</v>
      </c>
      <c r="D670" t="s">
        <v>32</v>
      </c>
      <c r="E670">
        <v>68</v>
      </c>
      <c r="F670" t="s">
        <v>43</v>
      </c>
      <c r="G670" t="s">
        <v>40</v>
      </c>
      <c r="H670" t="s">
        <v>58</v>
      </c>
      <c r="I670" t="s">
        <v>36</v>
      </c>
      <c r="J670">
        <v>9</v>
      </c>
      <c r="K670" s="5">
        <v>26.72</v>
      </c>
      <c r="L670" s="5">
        <v>8.6199999999999992</v>
      </c>
      <c r="M670">
        <v>20</v>
      </c>
      <c r="N670">
        <v>12</v>
      </c>
      <c r="O670">
        <v>2</v>
      </c>
      <c r="P670">
        <v>0</v>
      </c>
      <c r="Q670">
        <v>14</v>
      </c>
      <c r="R670">
        <v>0</v>
      </c>
      <c r="S670">
        <v>1</v>
      </c>
      <c r="T670">
        <v>0</v>
      </c>
      <c r="U670">
        <v>1</v>
      </c>
      <c r="V670">
        <v>1</v>
      </c>
      <c r="W670" t="s">
        <v>52</v>
      </c>
      <c r="X670">
        <v>50</v>
      </c>
      <c r="Y670">
        <v>0</v>
      </c>
      <c r="Z670">
        <f t="shared" si="60"/>
        <v>60</v>
      </c>
      <c r="AA670">
        <f t="shared" si="61"/>
        <v>0.87179487179487181</v>
      </c>
      <c r="AB670">
        <f t="shared" si="62"/>
        <v>7</v>
      </c>
      <c r="AC670" t="str">
        <f t="shared" si="63"/>
        <v>Low</v>
      </c>
      <c r="AD670" t="str">
        <f t="shared" si="64"/>
        <v>Upsell premium bundle</v>
      </c>
      <c r="AE670">
        <f t="shared" si="65"/>
        <v>40</v>
      </c>
    </row>
    <row r="671" spans="1:31" x14ac:dyDescent="0.35">
      <c r="A671" t="s">
        <v>729</v>
      </c>
      <c r="B671" s="4">
        <v>45755</v>
      </c>
      <c r="C671" s="4">
        <v>46143</v>
      </c>
      <c r="D671" t="s">
        <v>60</v>
      </c>
      <c r="E671">
        <v>52</v>
      </c>
      <c r="F671" t="s">
        <v>57</v>
      </c>
      <c r="G671" t="s">
        <v>48</v>
      </c>
      <c r="H671" t="s">
        <v>44</v>
      </c>
      <c r="I671" t="s">
        <v>36</v>
      </c>
      <c r="J671">
        <v>12</v>
      </c>
      <c r="K671" s="5">
        <v>2078.0700000000002</v>
      </c>
      <c r="L671" s="5">
        <v>0</v>
      </c>
      <c r="M671">
        <v>29</v>
      </c>
      <c r="N671">
        <v>9</v>
      </c>
      <c r="O671">
        <v>5</v>
      </c>
      <c r="P671">
        <v>5</v>
      </c>
      <c r="Q671">
        <v>36</v>
      </c>
      <c r="R671">
        <v>0</v>
      </c>
      <c r="S671">
        <v>0</v>
      </c>
      <c r="T671">
        <v>0</v>
      </c>
      <c r="U671">
        <v>1</v>
      </c>
      <c r="V671">
        <v>1</v>
      </c>
      <c r="W671" t="s">
        <v>52</v>
      </c>
      <c r="X671">
        <v>45</v>
      </c>
      <c r="Y671">
        <v>0</v>
      </c>
      <c r="Z671">
        <f t="shared" si="60"/>
        <v>99</v>
      </c>
      <c r="AA671">
        <f t="shared" si="61"/>
        <v>1.5476190476190477</v>
      </c>
      <c r="AB671">
        <f t="shared" si="62"/>
        <v>0</v>
      </c>
      <c r="AC671" t="str">
        <f t="shared" si="63"/>
        <v>Low</v>
      </c>
      <c r="AD671" t="str">
        <f t="shared" si="64"/>
        <v>Upsell premium bundle</v>
      </c>
      <c r="AE671">
        <f t="shared" si="65"/>
        <v>1</v>
      </c>
    </row>
    <row r="672" spans="1:31" x14ac:dyDescent="0.35">
      <c r="A672" t="s">
        <v>730</v>
      </c>
      <c r="B672" s="4">
        <v>45731</v>
      </c>
      <c r="C672" s="4">
        <v>46143</v>
      </c>
      <c r="D672" t="s">
        <v>47</v>
      </c>
      <c r="E672">
        <v>69</v>
      </c>
      <c r="F672" t="s">
        <v>61</v>
      </c>
      <c r="G672" t="s">
        <v>40</v>
      </c>
      <c r="H672" t="s">
        <v>41</v>
      </c>
      <c r="I672" t="s">
        <v>54</v>
      </c>
      <c r="J672">
        <v>13</v>
      </c>
      <c r="K672" s="5">
        <v>2833.22</v>
      </c>
      <c r="L672" s="5">
        <v>3287.6</v>
      </c>
      <c r="M672">
        <v>8</v>
      </c>
      <c r="N672">
        <v>5</v>
      </c>
      <c r="O672">
        <v>1</v>
      </c>
      <c r="P672">
        <v>0</v>
      </c>
      <c r="Q672">
        <v>7</v>
      </c>
      <c r="R672">
        <v>0</v>
      </c>
      <c r="S672">
        <v>0</v>
      </c>
      <c r="T672">
        <v>1</v>
      </c>
      <c r="U672">
        <v>0</v>
      </c>
      <c r="V672">
        <v>1</v>
      </c>
      <c r="W672" t="s">
        <v>55</v>
      </c>
      <c r="X672">
        <v>48</v>
      </c>
      <c r="Y672">
        <v>0</v>
      </c>
      <c r="Z672">
        <f t="shared" si="60"/>
        <v>27</v>
      </c>
      <c r="AA672">
        <f t="shared" si="61"/>
        <v>0.34883720930232559</v>
      </c>
      <c r="AB672">
        <f t="shared" si="62"/>
        <v>29</v>
      </c>
      <c r="AC672" t="str">
        <f t="shared" si="63"/>
        <v>Low</v>
      </c>
      <c r="AD672" t="str">
        <f t="shared" si="64"/>
        <v>Upsell premium bundle</v>
      </c>
      <c r="AE672">
        <f t="shared" si="65"/>
        <v>73</v>
      </c>
    </row>
    <row r="673" spans="1:31" x14ac:dyDescent="0.35">
      <c r="A673" t="s">
        <v>731</v>
      </c>
      <c r="B673" s="4">
        <v>44814</v>
      </c>
      <c r="C673" s="4">
        <v>46143</v>
      </c>
      <c r="D673" t="s">
        <v>72</v>
      </c>
      <c r="E673">
        <v>71</v>
      </c>
      <c r="F673" t="s">
        <v>43</v>
      </c>
      <c r="G673" t="s">
        <v>67</v>
      </c>
      <c r="H673" t="s">
        <v>58</v>
      </c>
      <c r="I673" t="s">
        <v>36</v>
      </c>
      <c r="J673">
        <v>44</v>
      </c>
      <c r="K673" s="5">
        <v>13.51</v>
      </c>
      <c r="L673" s="5">
        <v>26.29</v>
      </c>
      <c r="M673">
        <v>47</v>
      </c>
      <c r="N673">
        <v>32</v>
      </c>
      <c r="O673">
        <v>6</v>
      </c>
      <c r="P673">
        <v>6</v>
      </c>
      <c r="Q673">
        <v>38</v>
      </c>
      <c r="R673">
        <v>0</v>
      </c>
      <c r="S673">
        <v>0</v>
      </c>
      <c r="T673">
        <v>1</v>
      </c>
      <c r="U673">
        <v>0</v>
      </c>
      <c r="V673">
        <v>1</v>
      </c>
      <c r="W673" t="s">
        <v>52</v>
      </c>
      <c r="X673">
        <v>5</v>
      </c>
      <c r="Y673">
        <v>0</v>
      </c>
      <c r="Z673">
        <f t="shared" si="60"/>
        <v>100</v>
      </c>
      <c r="AA673">
        <f t="shared" si="61"/>
        <v>1.1486486486486487</v>
      </c>
      <c r="AB673">
        <f t="shared" si="62"/>
        <v>6</v>
      </c>
      <c r="AC673" t="str">
        <f t="shared" si="63"/>
        <v>Low</v>
      </c>
      <c r="AD673" t="str">
        <f t="shared" si="64"/>
        <v>Upsell premium bundle</v>
      </c>
      <c r="AE673">
        <f t="shared" si="65"/>
        <v>0</v>
      </c>
    </row>
    <row r="674" spans="1:31" x14ac:dyDescent="0.35">
      <c r="A674" t="s">
        <v>732</v>
      </c>
      <c r="B674" s="4">
        <v>44970</v>
      </c>
      <c r="C674" s="4">
        <v>46143</v>
      </c>
      <c r="D674" t="s">
        <v>66</v>
      </c>
      <c r="E674">
        <v>23</v>
      </c>
      <c r="F674" t="s">
        <v>77</v>
      </c>
      <c r="G674" t="s">
        <v>48</v>
      </c>
      <c r="H674" t="s">
        <v>44</v>
      </c>
      <c r="I674" t="s">
        <v>36</v>
      </c>
      <c r="J674">
        <v>39</v>
      </c>
      <c r="K674" s="5">
        <v>16205.33</v>
      </c>
      <c r="L674" s="5">
        <v>9783.84</v>
      </c>
      <c r="M674">
        <v>17</v>
      </c>
      <c r="N674">
        <v>5</v>
      </c>
      <c r="O674">
        <v>4</v>
      </c>
      <c r="P674">
        <v>2</v>
      </c>
      <c r="Q674">
        <v>12</v>
      </c>
      <c r="R674">
        <v>1</v>
      </c>
      <c r="S674">
        <v>0</v>
      </c>
      <c r="T674">
        <v>0</v>
      </c>
      <c r="U674">
        <v>1</v>
      </c>
      <c r="V674">
        <v>0</v>
      </c>
      <c r="W674" t="s">
        <v>52</v>
      </c>
      <c r="X674">
        <v>22</v>
      </c>
      <c r="Y674">
        <v>0</v>
      </c>
      <c r="Z674">
        <f t="shared" si="60"/>
        <v>49</v>
      </c>
      <c r="AA674">
        <f t="shared" si="61"/>
        <v>0.42028985507246375</v>
      </c>
      <c r="AB674">
        <f t="shared" si="62"/>
        <v>6</v>
      </c>
      <c r="AC674" t="str">
        <f t="shared" si="63"/>
        <v>Low</v>
      </c>
      <c r="AD674" t="str">
        <f t="shared" si="64"/>
        <v>Upsell premium bundle</v>
      </c>
      <c r="AE674">
        <f t="shared" si="65"/>
        <v>51</v>
      </c>
    </row>
    <row r="675" spans="1:31" x14ac:dyDescent="0.35">
      <c r="A675" t="s">
        <v>733</v>
      </c>
      <c r="B675" s="4">
        <v>45421</v>
      </c>
      <c r="C675" s="4">
        <v>46143</v>
      </c>
      <c r="D675" t="s">
        <v>39</v>
      </c>
      <c r="E675">
        <v>51</v>
      </c>
      <c r="F675" t="s">
        <v>57</v>
      </c>
      <c r="G675" t="s">
        <v>40</v>
      </c>
      <c r="H675" t="s">
        <v>41</v>
      </c>
      <c r="I675" t="s">
        <v>36</v>
      </c>
      <c r="J675">
        <v>24</v>
      </c>
      <c r="K675" s="5">
        <v>184.45</v>
      </c>
      <c r="L675" s="5">
        <v>0</v>
      </c>
      <c r="M675">
        <v>10</v>
      </c>
      <c r="N675">
        <v>3</v>
      </c>
      <c r="O675">
        <v>0</v>
      </c>
      <c r="P675">
        <v>1</v>
      </c>
      <c r="Q675">
        <v>13</v>
      </c>
      <c r="R675">
        <v>1</v>
      </c>
      <c r="S675">
        <v>1</v>
      </c>
      <c r="T675">
        <v>1</v>
      </c>
      <c r="U675">
        <v>0</v>
      </c>
      <c r="V675">
        <v>0</v>
      </c>
      <c r="W675" t="s">
        <v>55</v>
      </c>
      <c r="X675">
        <v>6</v>
      </c>
      <c r="Y675">
        <v>1</v>
      </c>
      <c r="Z675">
        <f t="shared" si="60"/>
        <v>26</v>
      </c>
      <c r="AA675">
        <f t="shared" si="61"/>
        <v>0.42592592592592593</v>
      </c>
      <c r="AB675">
        <f t="shared" si="62"/>
        <v>51</v>
      </c>
      <c r="AC675" t="str">
        <f t="shared" si="63"/>
        <v>Medium</v>
      </c>
      <c r="AD675" t="str">
        <f t="shared" si="64"/>
        <v>Nudge core feature adoption</v>
      </c>
      <c r="AE675">
        <f t="shared" si="65"/>
        <v>74</v>
      </c>
    </row>
    <row r="676" spans="1:31" x14ac:dyDescent="0.35">
      <c r="A676" t="s">
        <v>734</v>
      </c>
      <c r="B676" s="4">
        <v>46104</v>
      </c>
      <c r="C676" s="4">
        <v>46143</v>
      </c>
      <c r="D676" t="s">
        <v>66</v>
      </c>
      <c r="E676">
        <v>59</v>
      </c>
      <c r="F676" t="s">
        <v>33</v>
      </c>
      <c r="G676" t="s">
        <v>67</v>
      </c>
      <c r="H676" t="s">
        <v>41</v>
      </c>
      <c r="I676" t="s">
        <v>49</v>
      </c>
      <c r="J676">
        <v>1</v>
      </c>
      <c r="K676" s="5">
        <v>591.29999999999995</v>
      </c>
      <c r="L676" s="5">
        <v>228.52</v>
      </c>
      <c r="M676">
        <v>26</v>
      </c>
      <c r="N676">
        <v>13</v>
      </c>
      <c r="O676">
        <v>6</v>
      </c>
      <c r="P676">
        <v>2</v>
      </c>
      <c r="Q676">
        <v>18</v>
      </c>
      <c r="R676">
        <v>0</v>
      </c>
      <c r="S676">
        <v>0</v>
      </c>
      <c r="T676">
        <v>1</v>
      </c>
      <c r="U676">
        <v>0</v>
      </c>
      <c r="V676">
        <v>0</v>
      </c>
      <c r="W676" t="s">
        <v>52</v>
      </c>
      <c r="X676">
        <v>11</v>
      </c>
      <c r="Y676">
        <v>0</v>
      </c>
      <c r="Z676">
        <f t="shared" si="60"/>
        <v>64</v>
      </c>
      <c r="AA676">
        <f t="shared" si="61"/>
        <v>1.4193548387096775</v>
      </c>
      <c r="AB676">
        <f t="shared" si="62"/>
        <v>43</v>
      </c>
      <c r="AC676" t="str">
        <f t="shared" si="63"/>
        <v>Medium</v>
      </c>
      <c r="AD676" t="str">
        <f t="shared" si="64"/>
        <v>Nudge core feature adoption</v>
      </c>
      <c r="AE676">
        <f t="shared" si="65"/>
        <v>36</v>
      </c>
    </row>
    <row r="677" spans="1:31" x14ac:dyDescent="0.35">
      <c r="A677" t="s">
        <v>735</v>
      </c>
      <c r="B677" s="4">
        <v>45034</v>
      </c>
      <c r="C677" s="4">
        <v>46143</v>
      </c>
      <c r="D677" t="s">
        <v>32</v>
      </c>
      <c r="E677">
        <v>26</v>
      </c>
      <c r="F677" t="s">
        <v>61</v>
      </c>
      <c r="G677" t="s">
        <v>34</v>
      </c>
      <c r="H677" t="s">
        <v>41</v>
      </c>
      <c r="I677" t="s">
        <v>36</v>
      </c>
      <c r="J677">
        <v>36</v>
      </c>
      <c r="K677" s="5">
        <v>4457.66</v>
      </c>
      <c r="L677" s="5">
        <v>2842.26</v>
      </c>
      <c r="M677">
        <v>17</v>
      </c>
      <c r="N677">
        <v>6</v>
      </c>
      <c r="O677">
        <v>3</v>
      </c>
      <c r="P677">
        <v>0</v>
      </c>
      <c r="Q677">
        <v>5</v>
      </c>
      <c r="R677">
        <v>2</v>
      </c>
      <c r="S677">
        <v>1</v>
      </c>
      <c r="T677">
        <v>1</v>
      </c>
      <c r="U677">
        <v>1</v>
      </c>
      <c r="V677">
        <v>1</v>
      </c>
      <c r="W677" t="s">
        <v>52</v>
      </c>
      <c r="X677">
        <v>28</v>
      </c>
      <c r="Y677">
        <v>0</v>
      </c>
      <c r="Z677">
        <f t="shared" si="60"/>
        <v>46</v>
      </c>
      <c r="AA677">
        <f t="shared" si="61"/>
        <v>0.33333333333333331</v>
      </c>
      <c r="AB677">
        <f t="shared" si="62"/>
        <v>21</v>
      </c>
      <c r="AC677" t="str">
        <f t="shared" si="63"/>
        <v>Low</v>
      </c>
      <c r="AD677" t="str">
        <f t="shared" si="64"/>
        <v>Upsell premium bundle</v>
      </c>
      <c r="AE677">
        <f t="shared" si="65"/>
        <v>54</v>
      </c>
    </row>
    <row r="678" spans="1:31" x14ac:dyDescent="0.35">
      <c r="A678" t="s">
        <v>736</v>
      </c>
      <c r="B678" s="4">
        <v>45882</v>
      </c>
      <c r="C678" s="4">
        <v>46143</v>
      </c>
      <c r="D678" t="s">
        <v>60</v>
      </c>
      <c r="E678">
        <v>22</v>
      </c>
      <c r="F678" t="s">
        <v>61</v>
      </c>
      <c r="G678" t="s">
        <v>85</v>
      </c>
      <c r="H678" t="s">
        <v>58</v>
      </c>
      <c r="I678" t="s">
        <v>36</v>
      </c>
      <c r="J678">
        <v>8</v>
      </c>
      <c r="K678" s="5">
        <v>5543.56</v>
      </c>
      <c r="L678" s="5">
        <v>1661.76</v>
      </c>
      <c r="M678">
        <v>14</v>
      </c>
      <c r="N678">
        <v>3</v>
      </c>
      <c r="O678">
        <v>1</v>
      </c>
      <c r="P678">
        <v>1</v>
      </c>
      <c r="Q678">
        <v>13</v>
      </c>
      <c r="R678">
        <v>2</v>
      </c>
      <c r="S678">
        <v>0</v>
      </c>
      <c r="T678">
        <v>0</v>
      </c>
      <c r="U678">
        <v>1</v>
      </c>
      <c r="V678">
        <v>1</v>
      </c>
      <c r="W678" t="s">
        <v>45</v>
      </c>
      <c r="X678">
        <v>13</v>
      </c>
      <c r="Y678">
        <v>0</v>
      </c>
      <c r="Z678">
        <f t="shared" si="60"/>
        <v>47</v>
      </c>
      <c r="AA678">
        <f t="shared" si="61"/>
        <v>0.71052631578947367</v>
      </c>
      <c r="AB678">
        <f t="shared" si="62"/>
        <v>10</v>
      </c>
      <c r="AC678" t="str">
        <f t="shared" si="63"/>
        <v>Low</v>
      </c>
      <c r="AD678" t="str">
        <f t="shared" si="64"/>
        <v>Upsell premium bundle</v>
      </c>
      <c r="AE678">
        <f t="shared" si="65"/>
        <v>53</v>
      </c>
    </row>
    <row r="679" spans="1:31" x14ac:dyDescent="0.35">
      <c r="A679" t="s">
        <v>737</v>
      </c>
      <c r="B679" s="4">
        <v>45217</v>
      </c>
      <c r="C679" s="4">
        <v>46143</v>
      </c>
      <c r="D679" t="s">
        <v>66</v>
      </c>
      <c r="E679">
        <v>67</v>
      </c>
      <c r="F679" t="s">
        <v>77</v>
      </c>
      <c r="G679" t="s">
        <v>67</v>
      </c>
      <c r="H679" t="s">
        <v>35</v>
      </c>
      <c r="I679" t="s">
        <v>36</v>
      </c>
      <c r="J679">
        <v>30</v>
      </c>
      <c r="K679" s="5">
        <v>14880.68</v>
      </c>
      <c r="L679" s="5">
        <v>4628.26</v>
      </c>
      <c r="M679">
        <v>16</v>
      </c>
      <c r="N679">
        <v>8</v>
      </c>
      <c r="O679">
        <v>2</v>
      </c>
      <c r="P679">
        <v>1</v>
      </c>
      <c r="Q679">
        <v>13</v>
      </c>
      <c r="R679">
        <v>0</v>
      </c>
      <c r="S679">
        <v>0</v>
      </c>
      <c r="T679">
        <v>1</v>
      </c>
      <c r="U679">
        <v>1</v>
      </c>
      <c r="V679">
        <v>0</v>
      </c>
      <c r="W679" t="s">
        <v>37</v>
      </c>
      <c r="X679">
        <v>98</v>
      </c>
      <c r="Y679">
        <v>0</v>
      </c>
      <c r="Z679">
        <f t="shared" si="60"/>
        <v>47</v>
      </c>
      <c r="AA679">
        <f t="shared" si="61"/>
        <v>0.48333333333333334</v>
      </c>
      <c r="AB679">
        <f t="shared" si="62"/>
        <v>0</v>
      </c>
      <c r="AC679" t="str">
        <f t="shared" si="63"/>
        <v>Low</v>
      </c>
      <c r="AD679" t="str">
        <f t="shared" si="64"/>
        <v>Upsell premium bundle</v>
      </c>
      <c r="AE679">
        <f t="shared" si="65"/>
        <v>53</v>
      </c>
    </row>
    <row r="680" spans="1:31" x14ac:dyDescent="0.35">
      <c r="A680" t="s">
        <v>738</v>
      </c>
      <c r="B680" s="4">
        <v>45634</v>
      </c>
      <c r="C680" s="4">
        <v>46143</v>
      </c>
      <c r="D680" t="s">
        <v>60</v>
      </c>
      <c r="E680">
        <v>38</v>
      </c>
      <c r="F680" t="s">
        <v>77</v>
      </c>
      <c r="G680" t="s">
        <v>40</v>
      </c>
      <c r="H680" t="s">
        <v>35</v>
      </c>
      <c r="I680" t="s">
        <v>36</v>
      </c>
      <c r="J680">
        <v>16</v>
      </c>
      <c r="K680" s="5">
        <v>14465.92</v>
      </c>
      <c r="L680" s="5">
        <v>3950.95</v>
      </c>
      <c r="M680">
        <v>39</v>
      </c>
      <c r="N680">
        <v>17</v>
      </c>
      <c r="O680">
        <v>6</v>
      </c>
      <c r="P680">
        <v>0</v>
      </c>
      <c r="Q680">
        <v>28</v>
      </c>
      <c r="R680">
        <v>1</v>
      </c>
      <c r="S680">
        <v>0</v>
      </c>
      <c r="T680">
        <v>0</v>
      </c>
      <c r="U680">
        <v>1</v>
      </c>
      <c r="V680">
        <v>1</v>
      </c>
      <c r="W680" t="s">
        <v>37</v>
      </c>
      <c r="X680">
        <v>38</v>
      </c>
      <c r="Y680">
        <v>0</v>
      </c>
      <c r="Z680">
        <f t="shared" si="60"/>
        <v>100</v>
      </c>
      <c r="AA680">
        <f t="shared" si="61"/>
        <v>1.4565217391304348</v>
      </c>
      <c r="AB680">
        <f t="shared" si="62"/>
        <v>0</v>
      </c>
      <c r="AC680" t="str">
        <f t="shared" si="63"/>
        <v>Low</v>
      </c>
      <c r="AD680" t="str">
        <f t="shared" si="64"/>
        <v>Upsell premium bundle</v>
      </c>
      <c r="AE680">
        <f t="shared" si="65"/>
        <v>0</v>
      </c>
    </row>
    <row r="681" spans="1:31" x14ac:dyDescent="0.35">
      <c r="A681" t="s">
        <v>739</v>
      </c>
      <c r="B681" s="4">
        <v>46087</v>
      </c>
      <c r="C681" s="4">
        <v>46143</v>
      </c>
      <c r="D681" t="s">
        <v>47</v>
      </c>
      <c r="E681">
        <v>32</v>
      </c>
      <c r="F681" t="s">
        <v>33</v>
      </c>
      <c r="G681" t="s">
        <v>63</v>
      </c>
      <c r="H681" t="s">
        <v>41</v>
      </c>
      <c r="I681" t="s">
        <v>36</v>
      </c>
      <c r="J681">
        <v>1</v>
      </c>
      <c r="K681" s="5">
        <v>537.96</v>
      </c>
      <c r="L681" s="5">
        <v>574.51</v>
      </c>
      <c r="M681">
        <v>18</v>
      </c>
      <c r="N681">
        <v>7</v>
      </c>
      <c r="O681">
        <v>4</v>
      </c>
      <c r="P681">
        <v>3</v>
      </c>
      <c r="Q681">
        <v>7</v>
      </c>
      <c r="R681">
        <v>1</v>
      </c>
      <c r="S681">
        <v>1</v>
      </c>
      <c r="T681">
        <v>1</v>
      </c>
      <c r="U681">
        <v>1</v>
      </c>
      <c r="V681">
        <v>0</v>
      </c>
      <c r="W681" t="s">
        <v>37</v>
      </c>
      <c r="X681">
        <v>-2</v>
      </c>
      <c r="Y681">
        <v>1</v>
      </c>
      <c r="Z681">
        <f t="shared" si="60"/>
        <v>48</v>
      </c>
      <c r="AA681">
        <f t="shared" si="61"/>
        <v>0.80645161290322576</v>
      </c>
      <c r="AB681">
        <f t="shared" si="62"/>
        <v>46</v>
      </c>
      <c r="AC681" t="str">
        <f t="shared" si="63"/>
        <v>Medium</v>
      </c>
      <c r="AD681" t="str">
        <f t="shared" si="64"/>
        <v>Nudge core feature adoption</v>
      </c>
      <c r="AE681">
        <f t="shared" si="65"/>
        <v>52</v>
      </c>
    </row>
    <row r="682" spans="1:31" x14ac:dyDescent="0.35">
      <c r="A682" t="s">
        <v>740</v>
      </c>
      <c r="B682" s="4">
        <v>44784</v>
      </c>
      <c r="C682" s="4">
        <v>46143</v>
      </c>
      <c r="D682" t="s">
        <v>60</v>
      </c>
      <c r="E682">
        <v>41</v>
      </c>
      <c r="F682" t="s">
        <v>33</v>
      </c>
      <c r="G682" t="s">
        <v>48</v>
      </c>
      <c r="H682" t="s">
        <v>58</v>
      </c>
      <c r="I682" t="s">
        <v>49</v>
      </c>
      <c r="J682">
        <v>45</v>
      </c>
      <c r="K682" s="5">
        <v>382.79</v>
      </c>
      <c r="L682" s="5">
        <v>418.36</v>
      </c>
      <c r="M682">
        <v>31</v>
      </c>
      <c r="N682">
        <v>12</v>
      </c>
      <c r="O682">
        <v>2</v>
      </c>
      <c r="P682">
        <v>6</v>
      </c>
      <c r="Q682">
        <v>28</v>
      </c>
      <c r="R682">
        <v>1</v>
      </c>
      <c r="S682">
        <v>1</v>
      </c>
      <c r="T682">
        <v>0</v>
      </c>
      <c r="U682">
        <v>1</v>
      </c>
      <c r="V682">
        <v>0</v>
      </c>
      <c r="W682" t="s">
        <v>45</v>
      </c>
      <c r="X682">
        <v>34</v>
      </c>
      <c r="Y682">
        <v>0</v>
      </c>
      <c r="Z682">
        <f t="shared" si="60"/>
        <v>87</v>
      </c>
      <c r="AA682">
        <f t="shared" si="61"/>
        <v>0.78666666666666663</v>
      </c>
      <c r="AB682">
        <f t="shared" si="62"/>
        <v>19</v>
      </c>
      <c r="AC682" t="str">
        <f t="shared" si="63"/>
        <v>Low</v>
      </c>
      <c r="AD682" t="str">
        <f t="shared" si="64"/>
        <v>Upsell premium bundle</v>
      </c>
      <c r="AE682">
        <f t="shared" si="65"/>
        <v>13</v>
      </c>
    </row>
    <row r="683" spans="1:31" x14ac:dyDescent="0.35">
      <c r="A683" t="s">
        <v>741</v>
      </c>
      <c r="B683" s="4">
        <v>45567</v>
      </c>
      <c r="C683" s="4">
        <v>46143</v>
      </c>
      <c r="D683" t="s">
        <v>72</v>
      </c>
      <c r="E683">
        <v>20</v>
      </c>
      <c r="F683" t="s">
        <v>33</v>
      </c>
      <c r="G683" t="s">
        <v>63</v>
      </c>
      <c r="H683" t="s">
        <v>41</v>
      </c>
      <c r="I683" t="s">
        <v>36</v>
      </c>
      <c r="J683">
        <v>19</v>
      </c>
      <c r="K683" s="5">
        <v>0</v>
      </c>
      <c r="L683" s="5">
        <v>357.97</v>
      </c>
      <c r="M683">
        <v>22</v>
      </c>
      <c r="N683">
        <v>5</v>
      </c>
      <c r="O683">
        <v>6</v>
      </c>
      <c r="P683">
        <v>3</v>
      </c>
      <c r="Q683">
        <v>26</v>
      </c>
      <c r="R683">
        <v>2</v>
      </c>
      <c r="S683">
        <v>0</v>
      </c>
      <c r="T683">
        <v>1</v>
      </c>
      <c r="U683">
        <v>0</v>
      </c>
      <c r="V683">
        <v>1</v>
      </c>
      <c r="W683" t="s">
        <v>50</v>
      </c>
      <c r="X683">
        <v>-4</v>
      </c>
      <c r="Y683">
        <v>1</v>
      </c>
      <c r="Z683">
        <f t="shared" si="60"/>
        <v>70</v>
      </c>
      <c r="AA683">
        <f t="shared" si="61"/>
        <v>0.97959183673469385</v>
      </c>
      <c r="AB683">
        <f t="shared" si="62"/>
        <v>29</v>
      </c>
      <c r="AC683" t="str">
        <f t="shared" si="63"/>
        <v>Low</v>
      </c>
      <c r="AD683" t="str">
        <f t="shared" si="64"/>
        <v>Upsell premium bundle</v>
      </c>
      <c r="AE683">
        <f t="shared" si="65"/>
        <v>30</v>
      </c>
    </row>
    <row r="684" spans="1:31" x14ac:dyDescent="0.35">
      <c r="A684" t="s">
        <v>742</v>
      </c>
      <c r="B684" s="4">
        <v>44815</v>
      </c>
      <c r="C684" s="4">
        <v>46143</v>
      </c>
      <c r="D684" t="s">
        <v>32</v>
      </c>
      <c r="E684">
        <v>61</v>
      </c>
      <c r="F684" t="s">
        <v>57</v>
      </c>
      <c r="G684" t="s">
        <v>67</v>
      </c>
      <c r="H684" t="s">
        <v>41</v>
      </c>
      <c r="I684" t="s">
        <v>49</v>
      </c>
      <c r="J684">
        <v>44</v>
      </c>
      <c r="K684" s="5">
        <v>1159.69</v>
      </c>
      <c r="L684" s="5">
        <v>332.46</v>
      </c>
      <c r="M684">
        <v>19</v>
      </c>
      <c r="N684">
        <v>10</v>
      </c>
      <c r="O684">
        <v>3</v>
      </c>
      <c r="P684">
        <v>0</v>
      </c>
      <c r="Q684">
        <v>11</v>
      </c>
      <c r="R684">
        <v>0</v>
      </c>
      <c r="S684">
        <v>0</v>
      </c>
      <c r="T684">
        <v>1</v>
      </c>
      <c r="U684">
        <v>0</v>
      </c>
      <c r="V684">
        <v>0</v>
      </c>
      <c r="W684" t="s">
        <v>50</v>
      </c>
      <c r="X684">
        <v>29</v>
      </c>
      <c r="Y684">
        <v>1</v>
      </c>
      <c r="Z684">
        <f t="shared" si="60"/>
        <v>41</v>
      </c>
      <c r="AA684">
        <f t="shared" si="61"/>
        <v>0.40540540540540543</v>
      </c>
      <c r="AB684">
        <f t="shared" si="62"/>
        <v>43</v>
      </c>
      <c r="AC684" t="str">
        <f t="shared" si="63"/>
        <v>Medium</v>
      </c>
      <c r="AD684" t="str">
        <f t="shared" si="64"/>
        <v>Nudge core feature adoption</v>
      </c>
      <c r="AE684">
        <f t="shared" si="65"/>
        <v>59</v>
      </c>
    </row>
    <row r="685" spans="1:31" x14ac:dyDescent="0.35">
      <c r="A685" t="s">
        <v>743</v>
      </c>
      <c r="B685" s="4">
        <v>45037</v>
      </c>
      <c r="C685" s="4">
        <v>46143</v>
      </c>
      <c r="D685" t="s">
        <v>32</v>
      </c>
      <c r="E685">
        <v>26</v>
      </c>
      <c r="F685" t="s">
        <v>57</v>
      </c>
      <c r="G685" t="s">
        <v>85</v>
      </c>
      <c r="H685" t="s">
        <v>44</v>
      </c>
      <c r="I685" t="s">
        <v>36</v>
      </c>
      <c r="J685">
        <v>36</v>
      </c>
      <c r="K685" s="5">
        <v>76.36</v>
      </c>
      <c r="L685" s="5">
        <v>1295.3</v>
      </c>
      <c r="M685">
        <v>18</v>
      </c>
      <c r="N685">
        <v>10</v>
      </c>
      <c r="O685">
        <v>4</v>
      </c>
      <c r="P685">
        <v>3</v>
      </c>
      <c r="Q685">
        <v>19</v>
      </c>
      <c r="R685">
        <v>1</v>
      </c>
      <c r="S685">
        <v>1</v>
      </c>
      <c r="T685">
        <v>1</v>
      </c>
      <c r="U685">
        <v>1</v>
      </c>
      <c r="V685">
        <v>0</v>
      </c>
      <c r="W685" t="s">
        <v>45</v>
      </c>
      <c r="X685">
        <v>26</v>
      </c>
      <c r="Y685">
        <v>0</v>
      </c>
      <c r="Z685">
        <f t="shared" si="60"/>
        <v>61</v>
      </c>
      <c r="AA685">
        <f t="shared" si="61"/>
        <v>0.56060606060606055</v>
      </c>
      <c r="AB685">
        <f t="shared" si="62"/>
        <v>17</v>
      </c>
      <c r="AC685" t="str">
        <f t="shared" si="63"/>
        <v>Low</v>
      </c>
      <c r="AD685" t="str">
        <f t="shared" si="64"/>
        <v>Upsell premium bundle</v>
      </c>
      <c r="AE685">
        <f t="shared" si="65"/>
        <v>39</v>
      </c>
    </row>
    <row r="686" spans="1:31" x14ac:dyDescent="0.35">
      <c r="A686" t="s">
        <v>744</v>
      </c>
      <c r="B686" s="4">
        <v>45773</v>
      </c>
      <c r="C686" s="4">
        <v>46143</v>
      </c>
      <c r="D686" t="s">
        <v>32</v>
      </c>
      <c r="E686">
        <v>68</v>
      </c>
      <c r="F686" t="s">
        <v>77</v>
      </c>
      <c r="G686" t="s">
        <v>40</v>
      </c>
      <c r="H686" t="s">
        <v>58</v>
      </c>
      <c r="I686" t="s">
        <v>36</v>
      </c>
      <c r="J686">
        <v>12</v>
      </c>
      <c r="K686" s="5">
        <v>3404.23</v>
      </c>
      <c r="L686" s="5">
        <v>4008.14</v>
      </c>
      <c r="M686">
        <v>20</v>
      </c>
      <c r="N686">
        <v>6</v>
      </c>
      <c r="O686">
        <v>5</v>
      </c>
      <c r="P686">
        <v>3</v>
      </c>
      <c r="Q686">
        <v>11</v>
      </c>
      <c r="R686">
        <v>0</v>
      </c>
      <c r="S686">
        <v>1</v>
      </c>
      <c r="T686">
        <v>1</v>
      </c>
      <c r="U686">
        <v>1</v>
      </c>
      <c r="V686">
        <v>0</v>
      </c>
      <c r="W686" t="s">
        <v>50</v>
      </c>
      <c r="X686">
        <v>29</v>
      </c>
      <c r="Y686">
        <v>0</v>
      </c>
      <c r="Z686">
        <f t="shared" si="60"/>
        <v>54</v>
      </c>
      <c r="AA686">
        <f t="shared" si="61"/>
        <v>0.73809523809523814</v>
      </c>
      <c r="AB686">
        <f t="shared" si="62"/>
        <v>10</v>
      </c>
      <c r="AC686" t="str">
        <f t="shared" si="63"/>
        <v>Low</v>
      </c>
      <c r="AD686" t="str">
        <f t="shared" si="64"/>
        <v>Upsell premium bundle</v>
      </c>
      <c r="AE686">
        <f t="shared" si="65"/>
        <v>46</v>
      </c>
    </row>
    <row r="687" spans="1:31" x14ac:dyDescent="0.35">
      <c r="A687" t="s">
        <v>745</v>
      </c>
      <c r="B687" s="4">
        <v>45567</v>
      </c>
      <c r="C687" s="4">
        <v>46143</v>
      </c>
      <c r="D687" t="s">
        <v>47</v>
      </c>
      <c r="E687">
        <v>22</v>
      </c>
      <c r="F687" t="s">
        <v>33</v>
      </c>
      <c r="G687" t="s">
        <v>48</v>
      </c>
      <c r="H687" t="s">
        <v>41</v>
      </c>
      <c r="I687" t="s">
        <v>36</v>
      </c>
      <c r="J687">
        <v>19</v>
      </c>
      <c r="K687" s="5">
        <v>405.24</v>
      </c>
      <c r="L687" s="5">
        <v>250.9</v>
      </c>
      <c r="M687">
        <v>34</v>
      </c>
      <c r="N687">
        <v>13</v>
      </c>
      <c r="O687">
        <v>5</v>
      </c>
      <c r="P687">
        <v>6</v>
      </c>
      <c r="Q687">
        <v>19</v>
      </c>
      <c r="R687">
        <v>5</v>
      </c>
      <c r="S687">
        <v>2</v>
      </c>
      <c r="T687">
        <v>1</v>
      </c>
      <c r="U687">
        <v>1</v>
      </c>
      <c r="V687">
        <v>0</v>
      </c>
      <c r="W687" t="s">
        <v>45</v>
      </c>
      <c r="X687">
        <v>9</v>
      </c>
      <c r="Y687">
        <v>1</v>
      </c>
      <c r="Z687">
        <f t="shared" si="60"/>
        <v>86</v>
      </c>
      <c r="AA687">
        <f t="shared" si="61"/>
        <v>1.0816326530612246</v>
      </c>
      <c r="AB687">
        <f t="shared" si="62"/>
        <v>28</v>
      </c>
      <c r="AC687" t="str">
        <f t="shared" si="63"/>
        <v>Low</v>
      </c>
      <c r="AD687" t="str">
        <f t="shared" si="64"/>
        <v>Upsell premium bundle</v>
      </c>
      <c r="AE687">
        <f t="shared" si="65"/>
        <v>14</v>
      </c>
    </row>
    <row r="688" spans="1:31" x14ac:dyDescent="0.35">
      <c r="A688" t="s">
        <v>746</v>
      </c>
      <c r="B688" s="4">
        <v>44853</v>
      </c>
      <c r="C688" s="4">
        <v>46143</v>
      </c>
      <c r="D688" t="s">
        <v>60</v>
      </c>
      <c r="E688">
        <v>55</v>
      </c>
      <c r="F688" t="s">
        <v>77</v>
      </c>
      <c r="G688" t="s">
        <v>85</v>
      </c>
      <c r="H688" t="s">
        <v>41</v>
      </c>
      <c r="I688" t="s">
        <v>36</v>
      </c>
      <c r="J688">
        <v>43</v>
      </c>
      <c r="K688" s="5">
        <v>3619.02</v>
      </c>
      <c r="L688" s="5">
        <v>7940.71</v>
      </c>
      <c r="M688">
        <v>0</v>
      </c>
      <c r="N688">
        <v>0</v>
      </c>
      <c r="O688">
        <v>0</v>
      </c>
      <c r="P688">
        <v>0</v>
      </c>
      <c r="Q688">
        <v>2</v>
      </c>
      <c r="R688">
        <v>2</v>
      </c>
      <c r="S688">
        <v>1</v>
      </c>
      <c r="T688">
        <v>1</v>
      </c>
      <c r="U688">
        <v>0</v>
      </c>
      <c r="V688">
        <v>1</v>
      </c>
      <c r="W688" t="s">
        <v>45</v>
      </c>
      <c r="X688">
        <v>48</v>
      </c>
      <c r="Y688">
        <v>1</v>
      </c>
      <c r="Z688">
        <f t="shared" si="60"/>
        <v>9</v>
      </c>
      <c r="AA688">
        <f t="shared" si="61"/>
        <v>2.7397260273972601E-2</v>
      </c>
      <c r="AB688">
        <f t="shared" si="62"/>
        <v>25</v>
      </c>
      <c r="AC688" t="str">
        <f t="shared" si="63"/>
        <v>Low</v>
      </c>
      <c r="AD688" t="str">
        <f t="shared" si="64"/>
        <v>Upsell premium bundle</v>
      </c>
      <c r="AE688">
        <f t="shared" si="65"/>
        <v>91</v>
      </c>
    </row>
    <row r="689" spans="1:31" x14ac:dyDescent="0.35">
      <c r="A689" t="s">
        <v>747</v>
      </c>
      <c r="B689" s="4">
        <v>45004</v>
      </c>
      <c r="C689" s="4">
        <v>46143</v>
      </c>
      <c r="D689" t="s">
        <v>60</v>
      </c>
      <c r="E689">
        <v>28</v>
      </c>
      <c r="F689" t="s">
        <v>33</v>
      </c>
      <c r="G689" t="s">
        <v>67</v>
      </c>
      <c r="H689" t="s">
        <v>58</v>
      </c>
      <c r="I689" t="s">
        <v>36</v>
      </c>
      <c r="J689">
        <v>37</v>
      </c>
      <c r="K689" s="5">
        <v>390.18</v>
      </c>
      <c r="L689" s="5">
        <v>266.36</v>
      </c>
      <c r="M689">
        <v>24</v>
      </c>
      <c r="N689">
        <v>11</v>
      </c>
      <c r="O689">
        <v>2</v>
      </c>
      <c r="P689">
        <v>2</v>
      </c>
      <c r="Q689">
        <v>18</v>
      </c>
      <c r="R689">
        <v>0</v>
      </c>
      <c r="S689">
        <v>1</v>
      </c>
      <c r="T689">
        <v>1</v>
      </c>
      <c r="U689">
        <v>0</v>
      </c>
      <c r="V689">
        <v>1</v>
      </c>
      <c r="W689" t="s">
        <v>45</v>
      </c>
      <c r="X689">
        <v>26</v>
      </c>
      <c r="Y689">
        <v>0</v>
      </c>
      <c r="Z689">
        <f t="shared" si="60"/>
        <v>63</v>
      </c>
      <c r="AA689">
        <f t="shared" si="61"/>
        <v>0.62686567164179108</v>
      </c>
      <c r="AB689">
        <f t="shared" si="62"/>
        <v>18</v>
      </c>
      <c r="AC689" t="str">
        <f t="shared" si="63"/>
        <v>Low</v>
      </c>
      <c r="AD689" t="str">
        <f t="shared" si="64"/>
        <v>Upsell premium bundle</v>
      </c>
      <c r="AE689">
        <f t="shared" si="65"/>
        <v>37</v>
      </c>
    </row>
    <row r="690" spans="1:31" x14ac:dyDescent="0.35">
      <c r="A690" t="s">
        <v>748</v>
      </c>
      <c r="B690" s="4">
        <v>44831</v>
      </c>
      <c r="C690" s="4">
        <v>46143</v>
      </c>
      <c r="D690" t="s">
        <v>60</v>
      </c>
      <c r="E690">
        <v>44</v>
      </c>
      <c r="F690" t="s">
        <v>43</v>
      </c>
      <c r="G690" t="s">
        <v>40</v>
      </c>
      <c r="H690" t="s">
        <v>41</v>
      </c>
      <c r="I690" t="s">
        <v>36</v>
      </c>
      <c r="J690">
        <v>43</v>
      </c>
      <c r="K690" s="5">
        <v>9.73</v>
      </c>
      <c r="L690" s="5">
        <v>62.46</v>
      </c>
      <c r="M690">
        <v>35</v>
      </c>
      <c r="N690">
        <v>23</v>
      </c>
      <c r="O690">
        <v>1</v>
      </c>
      <c r="P690">
        <v>1</v>
      </c>
      <c r="Q690">
        <v>37</v>
      </c>
      <c r="R690">
        <v>1</v>
      </c>
      <c r="S690">
        <v>0</v>
      </c>
      <c r="T690">
        <v>0</v>
      </c>
      <c r="U690">
        <v>1</v>
      </c>
      <c r="V690">
        <v>0</v>
      </c>
      <c r="W690" t="s">
        <v>50</v>
      </c>
      <c r="X690">
        <v>46</v>
      </c>
      <c r="Y690">
        <v>0</v>
      </c>
      <c r="Z690">
        <f t="shared" si="60"/>
        <v>99</v>
      </c>
      <c r="AA690">
        <f t="shared" si="61"/>
        <v>0.98630136986301364</v>
      </c>
      <c r="AB690">
        <f t="shared" si="62"/>
        <v>0</v>
      </c>
      <c r="AC690" t="str">
        <f t="shared" si="63"/>
        <v>Low</v>
      </c>
      <c r="AD690" t="str">
        <f t="shared" si="64"/>
        <v>Upsell premium bundle</v>
      </c>
      <c r="AE690">
        <f t="shared" si="65"/>
        <v>1</v>
      </c>
    </row>
    <row r="691" spans="1:31" x14ac:dyDescent="0.35">
      <c r="A691" t="s">
        <v>749</v>
      </c>
      <c r="B691" s="4">
        <v>45691</v>
      </c>
      <c r="C691" s="4">
        <v>46143</v>
      </c>
      <c r="D691" t="s">
        <v>32</v>
      </c>
      <c r="E691">
        <v>45</v>
      </c>
      <c r="F691" t="s">
        <v>61</v>
      </c>
      <c r="G691" t="s">
        <v>40</v>
      </c>
      <c r="H691" t="s">
        <v>41</v>
      </c>
      <c r="I691" t="s">
        <v>36</v>
      </c>
      <c r="J691">
        <v>15</v>
      </c>
      <c r="K691" s="5">
        <v>5987.13</v>
      </c>
      <c r="L691" s="5">
        <v>3450.65</v>
      </c>
      <c r="M691">
        <v>13</v>
      </c>
      <c r="N691">
        <v>9</v>
      </c>
      <c r="O691">
        <v>3</v>
      </c>
      <c r="P691">
        <v>2</v>
      </c>
      <c r="Q691">
        <v>9</v>
      </c>
      <c r="R691">
        <v>3</v>
      </c>
      <c r="S691">
        <v>2</v>
      </c>
      <c r="T691">
        <v>1</v>
      </c>
      <c r="U691">
        <v>0</v>
      </c>
      <c r="V691">
        <v>0</v>
      </c>
      <c r="W691" t="s">
        <v>37</v>
      </c>
      <c r="X691">
        <v>-31</v>
      </c>
      <c r="Y691">
        <v>1</v>
      </c>
      <c r="Z691">
        <f t="shared" si="60"/>
        <v>35</v>
      </c>
      <c r="AA691">
        <f t="shared" si="61"/>
        <v>0.48888888888888887</v>
      </c>
      <c r="AB691">
        <f t="shared" si="62"/>
        <v>61</v>
      </c>
      <c r="AC691" t="str">
        <f t="shared" si="63"/>
        <v>Medium</v>
      </c>
      <c r="AD691" t="str">
        <f t="shared" si="64"/>
        <v>Nudge core feature adoption</v>
      </c>
      <c r="AE691">
        <f t="shared" si="65"/>
        <v>65</v>
      </c>
    </row>
    <row r="692" spans="1:31" x14ac:dyDescent="0.35">
      <c r="A692" t="s">
        <v>750</v>
      </c>
      <c r="B692" s="4">
        <v>45862</v>
      </c>
      <c r="C692" s="4">
        <v>46143</v>
      </c>
      <c r="D692" t="s">
        <v>39</v>
      </c>
      <c r="E692">
        <v>21</v>
      </c>
      <c r="F692" t="s">
        <v>33</v>
      </c>
      <c r="G692" t="s">
        <v>40</v>
      </c>
      <c r="H692" t="s">
        <v>58</v>
      </c>
      <c r="I692" t="s">
        <v>49</v>
      </c>
      <c r="J692">
        <v>9</v>
      </c>
      <c r="K692" s="5">
        <v>635.54</v>
      </c>
      <c r="L692" s="5">
        <v>220.92</v>
      </c>
      <c r="M692">
        <v>33</v>
      </c>
      <c r="N692">
        <v>21</v>
      </c>
      <c r="O692">
        <v>4</v>
      </c>
      <c r="P692">
        <v>1</v>
      </c>
      <c r="Q692">
        <v>32</v>
      </c>
      <c r="R692">
        <v>0</v>
      </c>
      <c r="S692">
        <v>0</v>
      </c>
      <c r="T692">
        <v>0</v>
      </c>
      <c r="U692">
        <v>0</v>
      </c>
      <c r="V692">
        <v>1</v>
      </c>
      <c r="W692" t="s">
        <v>45</v>
      </c>
      <c r="X692">
        <v>36</v>
      </c>
      <c r="Y692">
        <v>0</v>
      </c>
      <c r="Z692">
        <f t="shared" si="60"/>
        <v>93</v>
      </c>
      <c r="AA692">
        <f t="shared" si="61"/>
        <v>1.6666666666666667</v>
      </c>
      <c r="AB692">
        <f t="shared" si="62"/>
        <v>9</v>
      </c>
      <c r="AC692" t="str">
        <f t="shared" si="63"/>
        <v>Low</v>
      </c>
      <c r="AD692" t="str">
        <f t="shared" si="64"/>
        <v>Upsell premium bundle</v>
      </c>
      <c r="AE692">
        <f t="shared" si="65"/>
        <v>7</v>
      </c>
    </row>
    <row r="693" spans="1:31" x14ac:dyDescent="0.35">
      <c r="A693" t="s">
        <v>751</v>
      </c>
      <c r="B693" s="4">
        <v>45082</v>
      </c>
      <c r="C693" s="4">
        <v>46143</v>
      </c>
      <c r="D693" t="s">
        <v>66</v>
      </c>
      <c r="E693">
        <v>42</v>
      </c>
      <c r="F693" t="s">
        <v>77</v>
      </c>
      <c r="G693" t="s">
        <v>48</v>
      </c>
      <c r="H693" t="s">
        <v>41</v>
      </c>
      <c r="I693" t="s">
        <v>54</v>
      </c>
      <c r="J693">
        <v>35</v>
      </c>
      <c r="K693" s="5">
        <v>21909.48</v>
      </c>
      <c r="L693" s="5">
        <v>2881.69</v>
      </c>
      <c r="M693">
        <v>40</v>
      </c>
      <c r="N693">
        <v>16</v>
      </c>
      <c r="O693">
        <v>10</v>
      </c>
      <c r="P693">
        <v>2</v>
      </c>
      <c r="Q693">
        <v>33</v>
      </c>
      <c r="R693">
        <v>0</v>
      </c>
      <c r="S693">
        <v>0</v>
      </c>
      <c r="T693">
        <v>1</v>
      </c>
      <c r="U693">
        <v>1</v>
      </c>
      <c r="V693">
        <v>0</v>
      </c>
      <c r="W693" t="s">
        <v>45</v>
      </c>
      <c r="X693">
        <v>11</v>
      </c>
      <c r="Y693">
        <v>0</v>
      </c>
      <c r="Z693">
        <f t="shared" si="60"/>
        <v>100</v>
      </c>
      <c r="AA693">
        <f t="shared" si="61"/>
        <v>1.1230769230769231</v>
      </c>
      <c r="AB693">
        <f t="shared" si="62"/>
        <v>19</v>
      </c>
      <c r="AC693" t="str">
        <f t="shared" si="63"/>
        <v>Low</v>
      </c>
      <c r="AD693" t="str">
        <f t="shared" si="64"/>
        <v>Upsell premium bundle</v>
      </c>
      <c r="AE693">
        <f t="shared" si="65"/>
        <v>0</v>
      </c>
    </row>
    <row r="694" spans="1:31" x14ac:dyDescent="0.35">
      <c r="A694" t="s">
        <v>752</v>
      </c>
      <c r="B694" s="4">
        <v>45557</v>
      </c>
      <c r="C694" s="4">
        <v>46143</v>
      </c>
      <c r="D694" t="s">
        <v>47</v>
      </c>
      <c r="E694">
        <v>46</v>
      </c>
      <c r="F694" t="s">
        <v>57</v>
      </c>
      <c r="G694" t="s">
        <v>40</v>
      </c>
      <c r="H694" t="s">
        <v>44</v>
      </c>
      <c r="I694" t="s">
        <v>36</v>
      </c>
      <c r="J694">
        <v>19</v>
      </c>
      <c r="K694" s="5">
        <v>1481.32</v>
      </c>
      <c r="L694" s="5">
        <v>1129.9100000000001</v>
      </c>
      <c r="M694">
        <v>40</v>
      </c>
      <c r="N694">
        <v>23</v>
      </c>
      <c r="O694">
        <v>3</v>
      </c>
      <c r="P694">
        <v>2</v>
      </c>
      <c r="Q694">
        <v>28</v>
      </c>
      <c r="R694">
        <v>0</v>
      </c>
      <c r="S694">
        <v>0</v>
      </c>
      <c r="T694">
        <v>0</v>
      </c>
      <c r="U694">
        <v>1</v>
      </c>
      <c r="V694">
        <v>1</v>
      </c>
      <c r="W694" t="s">
        <v>50</v>
      </c>
      <c r="X694">
        <v>74</v>
      </c>
      <c r="Y694">
        <v>0</v>
      </c>
      <c r="Z694">
        <f t="shared" si="60"/>
        <v>100</v>
      </c>
      <c r="AA694">
        <f t="shared" si="61"/>
        <v>1.3877551020408163</v>
      </c>
      <c r="AB694">
        <f t="shared" si="62"/>
        <v>0</v>
      </c>
      <c r="AC694" t="str">
        <f t="shared" si="63"/>
        <v>Low</v>
      </c>
      <c r="AD694" t="str">
        <f t="shared" si="64"/>
        <v>Upsell premium bundle</v>
      </c>
      <c r="AE694">
        <f t="shared" si="65"/>
        <v>0</v>
      </c>
    </row>
    <row r="695" spans="1:31" x14ac:dyDescent="0.35">
      <c r="A695" t="s">
        <v>753</v>
      </c>
      <c r="B695" s="4">
        <v>45060</v>
      </c>
      <c r="C695" s="4">
        <v>46143</v>
      </c>
      <c r="D695" t="s">
        <v>60</v>
      </c>
      <c r="E695">
        <v>63</v>
      </c>
      <c r="F695" t="s">
        <v>33</v>
      </c>
      <c r="G695" t="s">
        <v>40</v>
      </c>
      <c r="H695" t="s">
        <v>41</v>
      </c>
      <c r="I695" t="s">
        <v>36</v>
      </c>
      <c r="J695">
        <v>36</v>
      </c>
      <c r="K695" s="5">
        <v>609.97</v>
      </c>
      <c r="L695" s="5">
        <v>404.83</v>
      </c>
      <c r="M695">
        <v>27</v>
      </c>
      <c r="N695">
        <v>17</v>
      </c>
      <c r="O695">
        <v>7</v>
      </c>
      <c r="P695">
        <v>2</v>
      </c>
      <c r="Q695">
        <v>13</v>
      </c>
      <c r="R695">
        <v>0</v>
      </c>
      <c r="S695">
        <v>0</v>
      </c>
      <c r="T695">
        <v>1</v>
      </c>
      <c r="U695">
        <v>1</v>
      </c>
      <c r="V695">
        <v>1</v>
      </c>
      <c r="W695" t="s">
        <v>55</v>
      </c>
      <c r="X695">
        <v>42</v>
      </c>
      <c r="Y695">
        <v>0</v>
      </c>
      <c r="Z695">
        <f t="shared" si="60"/>
        <v>80</v>
      </c>
      <c r="AA695">
        <f t="shared" si="61"/>
        <v>0.60606060606060608</v>
      </c>
      <c r="AB695">
        <f t="shared" si="62"/>
        <v>5</v>
      </c>
      <c r="AC695" t="str">
        <f t="shared" si="63"/>
        <v>Low</v>
      </c>
      <c r="AD695" t="str">
        <f t="shared" si="64"/>
        <v>Upsell premium bundle</v>
      </c>
      <c r="AE695">
        <f t="shared" si="65"/>
        <v>20</v>
      </c>
    </row>
    <row r="696" spans="1:31" x14ac:dyDescent="0.35">
      <c r="A696" t="s">
        <v>754</v>
      </c>
      <c r="B696" s="4">
        <v>45604</v>
      </c>
      <c r="C696" s="4">
        <v>46143</v>
      </c>
      <c r="D696" t="s">
        <v>32</v>
      </c>
      <c r="E696">
        <v>22</v>
      </c>
      <c r="F696" t="s">
        <v>43</v>
      </c>
      <c r="G696" t="s">
        <v>40</v>
      </c>
      <c r="H696" t="s">
        <v>41</v>
      </c>
      <c r="I696" t="s">
        <v>36</v>
      </c>
      <c r="J696">
        <v>17</v>
      </c>
      <c r="K696" s="5">
        <v>0</v>
      </c>
      <c r="L696" s="5">
        <v>0</v>
      </c>
      <c r="M696">
        <v>22</v>
      </c>
      <c r="N696">
        <v>5</v>
      </c>
      <c r="O696">
        <v>1</v>
      </c>
      <c r="P696">
        <v>1</v>
      </c>
      <c r="Q696">
        <v>15</v>
      </c>
      <c r="R696">
        <v>0</v>
      </c>
      <c r="S696">
        <v>1</v>
      </c>
      <c r="T696">
        <v>1</v>
      </c>
      <c r="U696">
        <v>0</v>
      </c>
      <c r="V696">
        <v>0</v>
      </c>
      <c r="W696" t="s">
        <v>45</v>
      </c>
      <c r="X696">
        <v>47</v>
      </c>
      <c r="Y696">
        <v>0</v>
      </c>
      <c r="Z696">
        <f t="shared" si="60"/>
        <v>44</v>
      </c>
      <c r="AA696">
        <f t="shared" si="61"/>
        <v>0.78723404255319152</v>
      </c>
      <c r="AB696">
        <f t="shared" si="62"/>
        <v>25</v>
      </c>
      <c r="AC696" t="str">
        <f t="shared" si="63"/>
        <v>Low</v>
      </c>
      <c r="AD696" t="str">
        <f t="shared" si="64"/>
        <v>Upsell premium bundle</v>
      </c>
      <c r="AE696">
        <f t="shared" si="65"/>
        <v>56</v>
      </c>
    </row>
    <row r="697" spans="1:31" x14ac:dyDescent="0.35">
      <c r="A697" t="s">
        <v>755</v>
      </c>
      <c r="B697" s="4">
        <v>45931</v>
      </c>
      <c r="C697" s="4">
        <v>46143</v>
      </c>
      <c r="D697" t="s">
        <v>66</v>
      </c>
      <c r="E697">
        <v>20</v>
      </c>
      <c r="F697" t="s">
        <v>33</v>
      </c>
      <c r="G697" t="s">
        <v>67</v>
      </c>
      <c r="H697" t="s">
        <v>41</v>
      </c>
      <c r="I697" t="s">
        <v>36</v>
      </c>
      <c r="J697">
        <v>7</v>
      </c>
      <c r="K697" s="5">
        <v>542.08000000000004</v>
      </c>
      <c r="L697" s="5">
        <v>227.26</v>
      </c>
      <c r="M697">
        <v>19</v>
      </c>
      <c r="N697">
        <v>10</v>
      </c>
      <c r="O697">
        <v>2</v>
      </c>
      <c r="P697">
        <v>2</v>
      </c>
      <c r="Q697">
        <v>9</v>
      </c>
      <c r="R697">
        <v>0</v>
      </c>
      <c r="S697">
        <v>0</v>
      </c>
      <c r="T697">
        <v>1</v>
      </c>
      <c r="U697">
        <v>1</v>
      </c>
      <c r="V697">
        <v>1</v>
      </c>
      <c r="W697" t="s">
        <v>50</v>
      </c>
      <c r="X697">
        <v>52</v>
      </c>
      <c r="Y697">
        <v>0</v>
      </c>
      <c r="Z697">
        <f t="shared" si="60"/>
        <v>56</v>
      </c>
      <c r="AA697">
        <f t="shared" si="61"/>
        <v>0.7567567567567568</v>
      </c>
      <c r="AB697">
        <f t="shared" si="62"/>
        <v>10</v>
      </c>
      <c r="AC697" t="str">
        <f t="shared" si="63"/>
        <v>Low</v>
      </c>
      <c r="AD697" t="str">
        <f t="shared" si="64"/>
        <v>Upsell premium bundle</v>
      </c>
      <c r="AE697">
        <f t="shared" si="65"/>
        <v>44</v>
      </c>
    </row>
    <row r="698" spans="1:31" x14ac:dyDescent="0.35">
      <c r="A698" t="s">
        <v>756</v>
      </c>
      <c r="B698" s="4">
        <v>45128</v>
      </c>
      <c r="C698" s="4">
        <v>46143</v>
      </c>
      <c r="D698" t="s">
        <v>66</v>
      </c>
      <c r="E698">
        <v>55</v>
      </c>
      <c r="F698" t="s">
        <v>61</v>
      </c>
      <c r="G698" t="s">
        <v>67</v>
      </c>
      <c r="H698" t="s">
        <v>41</v>
      </c>
      <c r="I698" t="s">
        <v>36</v>
      </c>
      <c r="J698">
        <v>33</v>
      </c>
      <c r="K698" s="5">
        <v>4498.95</v>
      </c>
      <c r="L698" s="5">
        <v>2276.17</v>
      </c>
      <c r="M698">
        <v>30</v>
      </c>
      <c r="N698">
        <v>21</v>
      </c>
      <c r="O698">
        <v>3</v>
      </c>
      <c r="P698">
        <v>0</v>
      </c>
      <c r="Q698">
        <v>19</v>
      </c>
      <c r="R698">
        <v>3</v>
      </c>
      <c r="S698">
        <v>1</v>
      </c>
      <c r="T698">
        <v>1</v>
      </c>
      <c r="U698">
        <v>1</v>
      </c>
      <c r="V698">
        <v>0</v>
      </c>
      <c r="W698" t="s">
        <v>52</v>
      </c>
      <c r="X698">
        <v>7</v>
      </c>
      <c r="Y698">
        <v>1</v>
      </c>
      <c r="Z698">
        <f t="shared" si="60"/>
        <v>76</v>
      </c>
      <c r="AA698">
        <f t="shared" si="61"/>
        <v>0.77777777777777779</v>
      </c>
      <c r="AB698">
        <f t="shared" si="62"/>
        <v>18</v>
      </c>
      <c r="AC698" t="str">
        <f t="shared" si="63"/>
        <v>Low</v>
      </c>
      <c r="AD698" t="str">
        <f t="shared" si="64"/>
        <v>Upsell premium bundle</v>
      </c>
      <c r="AE698">
        <f t="shared" si="65"/>
        <v>24</v>
      </c>
    </row>
    <row r="699" spans="1:31" x14ac:dyDescent="0.35">
      <c r="A699" t="s">
        <v>757</v>
      </c>
      <c r="B699" s="4">
        <v>46062</v>
      </c>
      <c r="C699" s="4">
        <v>46143</v>
      </c>
      <c r="D699" t="s">
        <v>47</v>
      </c>
      <c r="E699">
        <v>53</v>
      </c>
      <c r="F699" t="s">
        <v>33</v>
      </c>
      <c r="G699" t="s">
        <v>40</v>
      </c>
      <c r="H699" t="s">
        <v>41</v>
      </c>
      <c r="I699" t="s">
        <v>36</v>
      </c>
      <c r="J699">
        <v>2</v>
      </c>
      <c r="K699" s="5">
        <v>216.51</v>
      </c>
      <c r="L699" s="5">
        <v>8.66</v>
      </c>
      <c r="M699">
        <v>31</v>
      </c>
      <c r="N699">
        <v>15</v>
      </c>
      <c r="O699">
        <v>5</v>
      </c>
      <c r="P699">
        <v>6</v>
      </c>
      <c r="Q699">
        <v>16</v>
      </c>
      <c r="R699">
        <v>0</v>
      </c>
      <c r="S699">
        <v>1</v>
      </c>
      <c r="T699">
        <v>1</v>
      </c>
      <c r="U699">
        <v>1</v>
      </c>
      <c r="V699">
        <v>0</v>
      </c>
      <c r="W699" t="s">
        <v>50</v>
      </c>
      <c r="X699">
        <v>4</v>
      </c>
      <c r="Y699">
        <v>1</v>
      </c>
      <c r="Z699">
        <f t="shared" si="60"/>
        <v>81</v>
      </c>
      <c r="AA699">
        <f t="shared" si="61"/>
        <v>1.46875</v>
      </c>
      <c r="AB699">
        <f t="shared" si="62"/>
        <v>32</v>
      </c>
      <c r="AC699" t="str">
        <f t="shared" si="63"/>
        <v>Low</v>
      </c>
      <c r="AD699" t="str">
        <f t="shared" si="64"/>
        <v>Upsell premium bundle</v>
      </c>
      <c r="AE699">
        <f t="shared" si="65"/>
        <v>19</v>
      </c>
    </row>
    <row r="700" spans="1:31" x14ac:dyDescent="0.35">
      <c r="A700" t="s">
        <v>758</v>
      </c>
      <c r="B700" s="4">
        <v>45330</v>
      </c>
      <c r="C700" s="4">
        <v>46143</v>
      </c>
      <c r="D700" t="s">
        <v>60</v>
      </c>
      <c r="E700">
        <v>49</v>
      </c>
      <c r="F700" t="s">
        <v>33</v>
      </c>
      <c r="G700" t="s">
        <v>85</v>
      </c>
      <c r="H700" t="s">
        <v>41</v>
      </c>
      <c r="I700" t="s">
        <v>36</v>
      </c>
      <c r="J700">
        <v>27</v>
      </c>
      <c r="K700" s="5">
        <v>412.98</v>
      </c>
      <c r="L700" s="5">
        <v>286.77999999999997</v>
      </c>
      <c r="M700">
        <v>31</v>
      </c>
      <c r="N700">
        <v>19</v>
      </c>
      <c r="O700">
        <v>3</v>
      </c>
      <c r="P700">
        <v>3</v>
      </c>
      <c r="Q700">
        <v>10</v>
      </c>
      <c r="R700">
        <v>1</v>
      </c>
      <c r="S700">
        <v>0</v>
      </c>
      <c r="T700">
        <v>1</v>
      </c>
      <c r="U700">
        <v>0</v>
      </c>
      <c r="V700">
        <v>1</v>
      </c>
      <c r="W700" t="s">
        <v>37</v>
      </c>
      <c r="X700">
        <v>17</v>
      </c>
      <c r="Y700">
        <v>0</v>
      </c>
      <c r="Z700">
        <f t="shared" si="60"/>
        <v>71</v>
      </c>
      <c r="AA700">
        <f t="shared" si="61"/>
        <v>0.7192982456140351</v>
      </c>
      <c r="AB700">
        <f t="shared" si="62"/>
        <v>20</v>
      </c>
      <c r="AC700" t="str">
        <f t="shared" si="63"/>
        <v>Low</v>
      </c>
      <c r="AD700" t="str">
        <f t="shared" si="64"/>
        <v>Upsell premium bundle</v>
      </c>
      <c r="AE700">
        <f t="shared" si="65"/>
        <v>29</v>
      </c>
    </row>
    <row r="701" spans="1:31" x14ac:dyDescent="0.35">
      <c r="A701" t="s">
        <v>759</v>
      </c>
      <c r="B701" s="4">
        <v>44897</v>
      </c>
      <c r="C701" s="4">
        <v>46143</v>
      </c>
      <c r="D701" t="s">
        <v>39</v>
      </c>
      <c r="E701">
        <v>18</v>
      </c>
      <c r="F701" t="s">
        <v>57</v>
      </c>
      <c r="G701" t="s">
        <v>85</v>
      </c>
      <c r="H701" t="s">
        <v>35</v>
      </c>
      <c r="I701" t="s">
        <v>49</v>
      </c>
      <c r="J701">
        <v>41</v>
      </c>
      <c r="K701" s="5">
        <v>1083.6600000000001</v>
      </c>
      <c r="L701" s="5">
        <v>689.3</v>
      </c>
      <c r="M701">
        <v>37</v>
      </c>
      <c r="N701">
        <v>13</v>
      </c>
      <c r="O701">
        <v>4</v>
      </c>
      <c r="P701">
        <v>5</v>
      </c>
      <c r="Q701">
        <v>30</v>
      </c>
      <c r="R701">
        <v>2</v>
      </c>
      <c r="S701">
        <v>2</v>
      </c>
      <c r="T701">
        <v>1</v>
      </c>
      <c r="U701">
        <v>1</v>
      </c>
      <c r="V701">
        <v>0</v>
      </c>
      <c r="W701" t="s">
        <v>37</v>
      </c>
      <c r="X701">
        <v>18</v>
      </c>
      <c r="Y701">
        <v>1</v>
      </c>
      <c r="Z701">
        <f t="shared" si="60"/>
        <v>97</v>
      </c>
      <c r="AA701">
        <f t="shared" si="61"/>
        <v>0.94366197183098588</v>
      </c>
      <c r="AB701">
        <f t="shared" si="62"/>
        <v>29</v>
      </c>
      <c r="AC701" t="str">
        <f t="shared" si="63"/>
        <v>Low</v>
      </c>
      <c r="AD701" t="str">
        <f t="shared" si="64"/>
        <v>Upsell premium bundle</v>
      </c>
      <c r="AE701">
        <f t="shared" si="65"/>
        <v>3</v>
      </c>
    </row>
    <row r="702" spans="1:31" x14ac:dyDescent="0.35">
      <c r="A702" t="s">
        <v>760</v>
      </c>
      <c r="B702" s="4">
        <v>45164</v>
      </c>
      <c r="C702" s="4">
        <v>46143</v>
      </c>
      <c r="D702" t="s">
        <v>72</v>
      </c>
      <c r="E702">
        <v>18</v>
      </c>
      <c r="F702" t="s">
        <v>43</v>
      </c>
      <c r="G702" t="s">
        <v>40</v>
      </c>
      <c r="H702" t="s">
        <v>41</v>
      </c>
      <c r="I702" t="s">
        <v>36</v>
      </c>
      <c r="J702">
        <v>32</v>
      </c>
      <c r="K702" s="5">
        <v>0</v>
      </c>
      <c r="L702" s="5">
        <v>0</v>
      </c>
      <c r="M702">
        <v>19</v>
      </c>
      <c r="N702">
        <v>9</v>
      </c>
      <c r="O702">
        <v>2</v>
      </c>
      <c r="P702">
        <v>3</v>
      </c>
      <c r="Q702">
        <v>4</v>
      </c>
      <c r="R702">
        <v>2</v>
      </c>
      <c r="S702">
        <v>1</v>
      </c>
      <c r="T702">
        <v>1</v>
      </c>
      <c r="U702">
        <v>1</v>
      </c>
      <c r="V702">
        <v>0</v>
      </c>
      <c r="W702" t="s">
        <v>52</v>
      </c>
      <c r="X702">
        <v>18</v>
      </c>
      <c r="Y702">
        <v>1</v>
      </c>
      <c r="Z702">
        <f t="shared" si="60"/>
        <v>45</v>
      </c>
      <c r="AA702">
        <f t="shared" si="61"/>
        <v>0.37096774193548387</v>
      </c>
      <c r="AB702">
        <f t="shared" si="62"/>
        <v>36</v>
      </c>
      <c r="AC702" t="str">
        <f t="shared" si="63"/>
        <v>Low</v>
      </c>
      <c r="AD702" t="str">
        <f t="shared" si="64"/>
        <v>Upsell premium bundle</v>
      </c>
      <c r="AE702">
        <f t="shared" si="65"/>
        <v>55</v>
      </c>
    </row>
    <row r="703" spans="1:31" x14ac:dyDescent="0.35">
      <c r="A703" t="s">
        <v>761</v>
      </c>
      <c r="B703" s="4">
        <v>45308</v>
      </c>
      <c r="C703" s="4">
        <v>46143</v>
      </c>
      <c r="D703" t="s">
        <v>39</v>
      </c>
      <c r="E703">
        <v>25</v>
      </c>
      <c r="F703" t="s">
        <v>33</v>
      </c>
      <c r="G703" t="s">
        <v>40</v>
      </c>
      <c r="H703" t="s">
        <v>41</v>
      </c>
      <c r="I703" t="s">
        <v>36</v>
      </c>
      <c r="J703">
        <v>27</v>
      </c>
      <c r="K703" s="5">
        <v>100.79</v>
      </c>
      <c r="L703" s="5">
        <v>498.75</v>
      </c>
      <c r="M703">
        <v>15</v>
      </c>
      <c r="N703">
        <v>10</v>
      </c>
      <c r="O703">
        <v>3</v>
      </c>
      <c r="P703">
        <v>2</v>
      </c>
      <c r="Q703">
        <v>15</v>
      </c>
      <c r="R703">
        <v>1</v>
      </c>
      <c r="S703">
        <v>0</v>
      </c>
      <c r="T703">
        <v>0</v>
      </c>
      <c r="U703">
        <v>1</v>
      </c>
      <c r="V703">
        <v>0</v>
      </c>
      <c r="W703" t="s">
        <v>37</v>
      </c>
      <c r="X703">
        <v>39</v>
      </c>
      <c r="Y703">
        <v>1</v>
      </c>
      <c r="Z703">
        <f t="shared" si="60"/>
        <v>51</v>
      </c>
      <c r="AA703">
        <f t="shared" si="61"/>
        <v>0.52631578947368418</v>
      </c>
      <c r="AB703">
        <f t="shared" si="62"/>
        <v>17</v>
      </c>
      <c r="AC703" t="str">
        <f t="shared" si="63"/>
        <v>Low</v>
      </c>
      <c r="AD703" t="str">
        <f t="shared" si="64"/>
        <v>Upsell premium bundle</v>
      </c>
      <c r="AE703">
        <f t="shared" si="65"/>
        <v>49</v>
      </c>
    </row>
    <row r="704" spans="1:31" x14ac:dyDescent="0.35">
      <c r="A704" t="s">
        <v>762</v>
      </c>
      <c r="B704" s="4">
        <v>44787</v>
      </c>
      <c r="C704" s="4">
        <v>46143</v>
      </c>
      <c r="D704" t="s">
        <v>32</v>
      </c>
      <c r="E704">
        <v>46</v>
      </c>
      <c r="F704" t="s">
        <v>33</v>
      </c>
      <c r="G704" t="s">
        <v>48</v>
      </c>
      <c r="H704" t="s">
        <v>58</v>
      </c>
      <c r="I704" t="s">
        <v>36</v>
      </c>
      <c r="J704">
        <v>45</v>
      </c>
      <c r="K704" s="5">
        <v>711.85</v>
      </c>
      <c r="L704" s="5">
        <v>270.11</v>
      </c>
      <c r="M704">
        <v>36</v>
      </c>
      <c r="N704">
        <v>12</v>
      </c>
      <c r="O704">
        <v>4</v>
      </c>
      <c r="P704">
        <v>6</v>
      </c>
      <c r="Q704">
        <v>29</v>
      </c>
      <c r="R704">
        <v>0</v>
      </c>
      <c r="S704">
        <v>1</v>
      </c>
      <c r="T704">
        <v>0</v>
      </c>
      <c r="U704">
        <v>0</v>
      </c>
      <c r="V704">
        <v>1</v>
      </c>
      <c r="W704" t="s">
        <v>52</v>
      </c>
      <c r="X704">
        <v>62</v>
      </c>
      <c r="Y704">
        <v>0</v>
      </c>
      <c r="Z704">
        <f t="shared" si="60"/>
        <v>94</v>
      </c>
      <c r="AA704">
        <f t="shared" si="61"/>
        <v>0.8666666666666667</v>
      </c>
      <c r="AB704">
        <f t="shared" si="62"/>
        <v>0</v>
      </c>
      <c r="AC704" t="str">
        <f t="shared" si="63"/>
        <v>Low</v>
      </c>
      <c r="AD704" t="str">
        <f t="shared" si="64"/>
        <v>Upsell premium bundle</v>
      </c>
      <c r="AE704">
        <f t="shared" si="65"/>
        <v>6</v>
      </c>
    </row>
    <row r="705" spans="1:31" x14ac:dyDescent="0.35">
      <c r="A705" t="s">
        <v>763</v>
      </c>
      <c r="B705" s="4">
        <v>45507</v>
      </c>
      <c r="C705" s="4">
        <v>46143</v>
      </c>
      <c r="D705" t="s">
        <v>39</v>
      </c>
      <c r="E705">
        <v>47</v>
      </c>
      <c r="F705" t="s">
        <v>43</v>
      </c>
      <c r="G705" t="s">
        <v>34</v>
      </c>
      <c r="H705" t="s">
        <v>41</v>
      </c>
      <c r="I705" t="s">
        <v>49</v>
      </c>
      <c r="J705">
        <v>21</v>
      </c>
      <c r="K705" s="5">
        <v>90.11</v>
      </c>
      <c r="L705" s="5">
        <v>39.869999999999997</v>
      </c>
      <c r="M705">
        <v>19</v>
      </c>
      <c r="N705">
        <v>8</v>
      </c>
      <c r="O705">
        <v>1</v>
      </c>
      <c r="P705">
        <v>1</v>
      </c>
      <c r="Q705">
        <v>5</v>
      </c>
      <c r="R705">
        <v>2</v>
      </c>
      <c r="S705">
        <v>2</v>
      </c>
      <c r="T705">
        <v>1</v>
      </c>
      <c r="U705">
        <v>0</v>
      </c>
      <c r="V705">
        <v>0</v>
      </c>
      <c r="W705" t="s">
        <v>37</v>
      </c>
      <c r="X705">
        <v>21</v>
      </c>
      <c r="Y705">
        <v>1</v>
      </c>
      <c r="Z705">
        <f t="shared" si="60"/>
        <v>34</v>
      </c>
      <c r="AA705">
        <f t="shared" si="61"/>
        <v>0.47058823529411764</v>
      </c>
      <c r="AB705">
        <f t="shared" si="62"/>
        <v>63</v>
      </c>
      <c r="AC705" t="str">
        <f t="shared" si="63"/>
        <v>Medium</v>
      </c>
      <c r="AD705" t="str">
        <f t="shared" si="64"/>
        <v>Nudge core feature adoption</v>
      </c>
      <c r="AE705">
        <f t="shared" si="65"/>
        <v>66</v>
      </c>
    </row>
    <row r="706" spans="1:31" x14ac:dyDescent="0.35">
      <c r="A706" t="s">
        <v>764</v>
      </c>
      <c r="B706" s="4">
        <v>45075</v>
      </c>
      <c r="C706" s="4">
        <v>46143</v>
      </c>
      <c r="D706" t="s">
        <v>32</v>
      </c>
      <c r="E706">
        <v>50</v>
      </c>
      <c r="F706" t="s">
        <v>57</v>
      </c>
      <c r="G706" t="s">
        <v>40</v>
      </c>
      <c r="H706" t="s">
        <v>41</v>
      </c>
      <c r="I706" t="s">
        <v>36</v>
      </c>
      <c r="J706">
        <v>35</v>
      </c>
      <c r="K706" s="5">
        <v>1064.21</v>
      </c>
      <c r="L706" s="5">
        <v>758.91</v>
      </c>
      <c r="M706">
        <v>22</v>
      </c>
      <c r="N706">
        <v>13</v>
      </c>
      <c r="O706">
        <v>5</v>
      </c>
      <c r="P706">
        <v>4</v>
      </c>
      <c r="Q706">
        <v>23</v>
      </c>
      <c r="R706">
        <v>4</v>
      </c>
      <c r="S706">
        <v>1</v>
      </c>
      <c r="T706">
        <v>1</v>
      </c>
      <c r="U706">
        <v>0</v>
      </c>
      <c r="V706">
        <v>0</v>
      </c>
      <c r="W706" t="s">
        <v>37</v>
      </c>
      <c r="X706">
        <v>43</v>
      </c>
      <c r="Y706">
        <v>1</v>
      </c>
      <c r="Z706">
        <f t="shared" ref="Z706:Z769" si="66">MIN(100,ROUND((M706*1.1+N706*0.7+O706*1.2+P706*1.4+Q706*0.9+U706*8+V706*7),0))</f>
        <v>66</v>
      </c>
      <c r="AA706">
        <f t="shared" ref="AA706:AA769" si="67">IFERROR((M706+Q706)/(30+J706),0)</f>
        <v>0.69230769230769229</v>
      </c>
      <c r="AB706">
        <f t="shared" ref="AB706:AB769" si="68">ROUND(MIN(100,MAX(0,60-Z706*0.4-R706*1.5+S706*8-IF(L706&gt;1500,10,0)-X706*0.5+IF(I706="Completed",-8,8)+IF(H706="Free",6,-4))),0)</f>
        <v>12</v>
      </c>
      <c r="AC706" t="str">
        <f t="shared" ref="AC706:AC769" si="69">IF(AB706&gt;=70,"High",IF(AB706&gt;=40,"Medium","Low"))</f>
        <v>Low</v>
      </c>
      <c r="AD706" t="str">
        <f t="shared" ref="AD706:AD769" si="70">IF(AC706="High",IF(Q706&lt;5,"Re-engage with app usage offer",IF(K706&lt;100,"Deposit incentive","Retention call")),IF(AC706="Medium","Nudge core feature adoption","Upsell premium bundle"))</f>
        <v>Upsell premium bundle</v>
      </c>
      <c r="AE706">
        <f t="shared" ref="AE706:AE769" si="71">100-Z706</f>
        <v>34</v>
      </c>
    </row>
    <row r="707" spans="1:31" x14ac:dyDescent="0.35">
      <c r="A707" t="s">
        <v>765</v>
      </c>
      <c r="B707" s="4">
        <v>44777</v>
      </c>
      <c r="C707" s="4">
        <v>46143</v>
      </c>
      <c r="D707" t="s">
        <v>66</v>
      </c>
      <c r="E707">
        <v>72</v>
      </c>
      <c r="F707" t="s">
        <v>33</v>
      </c>
      <c r="G707" t="s">
        <v>67</v>
      </c>
      <c r="H707" t="s">
        <v>41</v>
      </c>
      <c r="I707" t="s">
        <v>36</v>
      </c>
      <c r="J707">
        <v>45</v>
      </c>
      <c r="K707" s="5">
        <v>371.18</v>
      </c>
      <c r="L707" s="5">
        <v>222.04</v>
      </c>
      <c r="M707">
        <v>30</v>
      </c>
      <c r="N707">
        <v>22</v>
      </c>
      <c r="O707">
        <v>4</v>
      </c>
      <c r="P707">
        <v>5</v>
      </c>
      <c r="Q707">
        <v>20</v>
      </c>
      <c r="R707">
        <v>3</v>
      </c>
      <c r="S707">
        <v>0</v>
      </c>
      <c r="T707">
        <v>0</v>
      </c>
      <c r="U707">
        <v>0</v>
      </c>
      <c r="V707">
        <v>1</v>
      </c>
      <c r="W707" t="s">
        <v>52</v>
      </c>
      <c r="X707">
        <v>16</v>
      </c>
      <c r="Y707">
        <v>0</v>
      </c>
      <c r="Z707">
        <f t="shared" si="66"/>
        <v>85</v>
      </c>
      <c r="AA707">
        <f t="shared" si="67"/>
        <v>0.66666666666666663</v>
      </c>
      <c r="AB707">
        <f t="shared" si="68"/>
        <v>12</v>
      </c>
      <c r="AC707" t="str">
        <f t="shared" si="69"/>
        <v>Low</v>
      </c>
      <c r="AD707" t="str">
        <f t="shared" si="70"/>
        <v>Upsell premium bundle</v>
      </c>
      <c r="AE707">
        <f t="shared" si="71"/>
        <v>15</v>
      </c>
    </row>
    <row r="708" spans="1:31" x14ac:dyDescent="0.35">
      <c r="A708" t="s">
        <v>766</v>
      </c>
      <c r="B708" s="4">
        <v>45101</v>
      </c>
      <c r="C708" s="4">
        <v>46143</v>
      </c>
      <c r="D708" t="s">
        <v>32</v>
      </c>
      <c r="E708">
        <v>52</v>
      </c>
      <c r="F708" t="s">
        <v>43</v>
      </c>
      <c r="G708" t="s">
        <v>85</v>
      </c>
      <c r="H708" t="s">
        <v>41</v>
      </c>
      <c r="I708" t="s">
        <v>36</v>
      </c>
      <c r="J708">
        <v>34</v>
      </c>
      <c r="K708" s="5">
        <v>47.41</v>
      </c>
      <c r="L708" s="5">
        <v>36.369999999999997</v>
      </c>
      <c r="M708">
        <v>34</v>
      </c>
      <c r="N708">
        <v>19</v>
      </c>
      <c r="O708">
        <v>4</v>
      </c>
      <c r="P708">
        <v>6</v>
      </c>
      <c r="Q708">
        <v>17</v>
      </c>
      <c r="R708">
        <v>2</v>
      </c>
      <c r="S708">
        <v>0</v>
      </c>
      <c r="T708">
        <v>1</v>
      </c>
      <c r="U708">
        <v>0</v>
      </c>
      <c r="V708">
        <v>1</v>
      </c>
      <c r="W708" t="s">
        <v>50</v>
      </c>
      <c r="X708">
        <v>5</v>
      </c>
      <c r="Y708">
        <v>1</v>
      </c>
      <c r="Z708">
        <f t="shared" si="66"/>
        <v>86</v>
      </c>
      <c r="AA708">
        <f t="shared" si="67"/>
        <v>0.796875</v>
      </c>
      <c r="AB708">
        <f t="shared" si="68"/>
        <v>18</v>
      </c>
      <c r="AC708" t="str">
        <f t="shared" si="69"/>
        <v>Low</v>
      </c>
      <c r="AD708" t="str">
        <f t="shared" si="70"/>
        <v>Upsell premium bundle</v>
      </c>
      <c r="AE708">
        <f t="shared" si="71"/>
        <v>14</v>
      </c>
    </row>
    <row r="709" spans="1:31" x14ac:dyDescent="0.35">
      <c r="A709" t="s">
        <v>767</v>
      </c>
      <c r="B709" s="4">
        <v>45516</v>
      </c>
      <c r="C709" s="4">
        <v>46143</v>
      </c>
      <c r="D709" t="s">
        <v>66</v>
      </c>
      <c r="E709">
        <v>44</v>
      </c>
      <c r="F709" t="s">
        <v>43</v>
      </c>
      <c r="G709" t="s">
        <v>40</v>
      </c>
      <c r="H709" t="s">
        <v>41</v>
      </c>
      <c r="I709" t="s">
        <v>36</v>
      </c>
      <c r="J709">
        <v>20</v>
      </c>
      <c r="K709" s="5">
        <v>0.25</v>
      </c>
      <c r="L709" s="5">
        <v>33.86</v>
      </c>
      <c r="M709">
        <v>16</v>
      </c>
      <c r="N709">
        <v>11</v>
      </c>
      <c r="O709">
        <v>1</v>
      </c>
      <c r="P709">
        <v>1</v>
      </c>
      <c r="Q709">
        <v>10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45</v>
      </c>
      <c r="X709">
        <v>47</v>
      </c>
      <c r="Y709">
        <v>0</v>
      </c>
      <c r="Z709">
        <f t="shared" si="66"/>
        <v>37</v>
      </c>
      <c r="AA709">
        <f t="shared" si="67"/>
        <v>0.52</v>
      </c>
      <c r="AB709">
        <f t="shared" si="68"/>
        <v>20</v>
      </c>
      <c r="AC709" t="str">
        <f t="shared" si="69"/>
        <v>Low</v>
      </c>
      <c r="AD709" t="str">
        <f t="shared" si="70"/>
        <v>Upsell premium bundle</v>
      </c>
      <c r="AE709">
        <f t="shared" si="71"/>
        <v>63</v>
      </c>
    </row>
    <row r="710" spans="1:31" x14ac:dyDescent="0.35">
      <c r="A710" t="s">
        <v>768</v>
      </c>
      <c r="B710" s="4">
        <v>45940</v>
      </c>
      <c r="C710" s="4">
        <v>46143</v>
      </c>
      <c r="D710" t="s">
        <v>60</v>
      </c>
      <c r="E710">
        <v>62</v>
      </c>
      <c r="F710" t="s">
        <v>57</v>
      </c>
      <c r="G710" t="s">
        <v>85</v>
      </c>
      <c r="H710" t="s">
        <v>41</v>
      </c>
      <c r="I710" t="s">
        <v>36</v>
      </c>
      <c r="J710">
        <v>6</v>
      </c>
      <c r="K710" s="5">
        <v>109.66</v>
      </c>
      <c r="L710" s="5">
        <v>308.67</v>
      </c>
      <c r="M710">
        <v>8</v>
      </c>
      <c r="N710">
        <v>2</v>
      </c>
      <c r="O710">
        <v>1</v>
      </c>
      <c r="P710">
        <v>1</v>
      </c>
      <c r="Q710">
        <v>11</v>
      </c>
      <c r="R710">
        <v>1</v>
      </c>
      <c r="S710">
        <v>2</v>
      </c>
      <c r="T710">
        <v>0</v>
      </c>
      <c r="U710">
        <v>0</v>
      </c>
      <c r="V710">
        <v>1</v>
      </c>
      <c r="W710" t="s">
        <v>50</v>
      </c>
      <c r="X710">
        <v>1</v>
      </c>
      <c r="Y710">
        <v>1</v>
      </c>
      <c r="Z710">
        <f t="shared" si="66"/>
        <v>30</v>
      </c>
      <c r="AA710">
        <f t="shared" si="67"/>
        <v>0.52777777777777779</v>
      </c>
      <c r="AB710">
        <f t="shared" si="68"/>
        <v>60</v>
      </c>
      <c r="AC710" t="str">
        <f t="shared" si="69"/>
        <v>Medium</v>
      </c>
      <c r="AD710" t="str">
        <f t="shared" si="70"/>
        <v>Nudge core feature adoption</v>
      </c>
      <c r="AE710">
        <f t="shared" si="71"/>
        <v>70</v>
      </c>
    </row>
    <row r="711" spans="1:31" x14ac:dyDescent="0.35">
      <c r="A711" t="s">
        <v>769</v>
      </c>
      <c r="B711" s="4">
        <v>46062</v>
      </c>
      <c r="C711" s="4">
        <v>46143</v>
      </c>
      <c r="D711" t="s">
        <v>47</v>
      </c>
      <c r="E711">
        <v>64</v>
      </c>
      <c r="F711" t="s">
        <v>61</v>
      </c>
      <c r="G711" t="s">
        <v>63</v>
      </c>
      <c r="H711" t="s">
        <v>41</v>
      </c>
      <c r="I711" t="s">
        <v>49</v>
      </c>
      <c r="J711">
        <v>2</v>
      </c>
      <c r="K711" s="5">
        <v>4150.2</v>
      </c>
      <c r="L711" s="5">
        <v>338.1</v>
      </c>
      <c r="M711">
        <v>10</v>
      </c>
      <c r="N711">
        <v>4</v>
      </c>
      <c r="O711">
        <v>2</v>
      </c>
      <c r="P711">
        <v>1</v>
      </c>
      <c r="Q711">
        <v>6</v>
      </c>
      <c r="R711">
        <v>0</v>
      </c>
      <c r="S711">
        <v>0</v>
      </c>
      <c r="T711">
        <v>0</v>
      </c>
      <c r="U711">
        <v>1</v>
      </c>
      <c r="V711">
        <v>0</v>
      </c>
      <c r="W711" t="s">
        <v>37</v>
      </c>
      <c r="X711">
        <v>-45</v>
      </c>
      <c r="Y711">
        <v>1</v>
      </c>
      <c r="Z711">
        <f t="shared" si="66"/>
        <v>31</v>
      </c>
      <c r="AA711">
        <f t="shared" si="67"/>
        <v>0.5</v>
      </c>
      <c r="AB711">
        <f t="shared" si="68"/>
        <v>84</v>
      </c>
      <c r="AC711" t="str">
        <f t="shared" si="69"/>
        <v>High</v>
      </c>
      <c r="AD711" t="str">
        <f t="shared" si="70"/>
        <v>Retention call</v>
      </c>
      <c r="AE711">
        <f t="shared" si="71"/>
        <v>69</v>
      </c>
    </row>
    <row r="712" spans="1:31" x14ac:dyDescent="0.35">
      <c r="A712" t="s">
        <v>770</v>
      </c>
      <c r="B712" s="4">
        <v>45651</v>
      </c>
      <c r="C712" s="4">
        <v>46143</v>
      </c>
      <c r="D712" t="s">
        <v>39</v>
      </c>
      <c r="E712">
        <v>32</v>
      </c>
      <c r="F712" t="s">
        <v>77</v>
      </c>
      <c r="G712" t="s">
        <v>67</v>
      </c>
      <c r="H712" t="s">
        <v>35</v>
      </c>
      <c r="I712" t="s">
        <v>36</v>
      </c>
      <c r="J712">
        <v>16</v>
      </c>
      <c r="K712" s="5">
        <v>13003</v>
      </c>
      <c r="L712" s="5">
        <v>8393.08</v>
      </c>
      <c r="M712">
        <v>39</v>
      </c>
      <c r="N712">
        <v>18</v>
      </c>
      <c r="O712">
        <v>11</v>
      </c>
      <c r="P712">
        <v>6</v>
      </c>
      <c r="Q712">
        <v>33</v>
      </c>
      <c r="R712">
        <v>2</v>
      </c>
      <c r="S712">
        <v>1</v>
      </c>
      <c r="T712">
        <v>1</v>
      </c>
      <c r="U712">
        <v>0</v>
      </c>
      <c r="V712">
        <v>1</v>
      </c>
      <c r="W712" t="s">
        <v>37</v>
      </c>
      <c r="X712">
        <v>-2</v>
      </c>
      <c r="Y712">
        <v>0</v>
      </c>
      <c r="Z712">
        <f t="shared" si="66"/>
        <v>100</v>
      </c>
      <c r="AA712">
        <f t="shared" si="67"/>
        <v>1.5652173913043479</v>
      </c>
      <c r="AB712">
        <f t="shared" si="68"/>
        <v>4</v>
      </c>
      <c r="AC712" t="str">
        <f t="shared" si="69"/>
        <v>Low</v>
      </c>
      <c r="AD712" t="str">
        <f t="shared" si="70"/>
        <v>Upsell premium bundle</v>
      </c>
      <c r="AE712">
        <f t="shared" si="71"/>
        <v>0</v>
      </c>
    </row>
    <row r="713" spans="1:31" x14ac:dyDescent="0.35">
      <c r="A713" t="s">
        <v>771</v>
      </c>
      <c r="B713" s="4">
        <v>44788</v>
      </c>
      <c r="C713" s="4">
        <v>46143</v>
      </c>
      <c r="D713" t="s">
        <v>60</v>
      </c>
      <c r="E713">
        <v>70</v>
      </c>
      <c r="F713" t="s">
        <v>33</v>
      </c>
      <c r="G713" t="s">
        <v>63</v>
      </c>
      <c r="H713" t="s">
        <v>58</v>
      </c>
      <c r="I713" t="s">
        <v>36</v>
      </c>
      <c r="J713">
        <v>45</v>
      </c>
      <c r="K713" s="5">
        <v>26.06</v>
      </c>
      <c r="L713" s="5">
        <v>66.64</v>
      </c>
      <c r="M713">
        <v>30</v>
      </c>
      <c r="N713">
        <v>13</v>
      </c>
      <c r="O713">
        <v>6</v>
      </c>
      <c r="P713">
        <v>4</v>
      </c>
      <c r="Q713">
        <v>31</v>
      </c>
      <c r="R713">
        <v>0</v>
      </c>
      <c r="S713">
        <v>0</v>
      </c>
      <c r="T713">
        <v>0</v>
      </c>
      <c r="U713">
        <v>1</v>
      </c>
      <c r="V713">
        <v>0</v>
      </c>
      <c r="W713" t="s">
        <v>52</v>
      </c>
      <c r="X713">
        <v>53</v>
      </c>
      <c r="Y713">
        <v>0</v>
      </c>
      <c r="Z713">
        <f t="shared" si="66"/>
        <v>91</v>
      </c>
      <c r="AA713">
        <f t="shared" si="67"/>
        <v>0.81333333333333335</v>
      </c>
      <c r="AB713">
        <f t="shared" si="68"/>
        <v>0</v>
      </c>
      <c r="AC713" t="str">
        <f t="shared" si="69"/>
        <v>Low</v>
      </c>
      <c r="AD713" t="str">
        <f t="shared" si="70"/>
        <v>Upsell premium bundle</v>
      </c>
      <c r="AE713">
        <f t="shared" si="71"/>
        <v>9</v>
      </c>
    </row>
    <row r="714" spans="1:31" x14ac:dyDescent="0.35">
      <c r="A714" t="s">
        <v>772</v>
      </c>
      <c r="B714" s="4">
        <v>44923</v>
      </c>
      <c r="C714" s="4">
        <v>46143</v>
      </c>
      <c r="D714" t="s">
        <v>66</v>
      </c>
      <c r="E714">
        <v>19</v>
      </c>
      <c r="F714" t="s">
        <v>57</v>
      </c>
      <c r="G714" t="s">
        <v>67</v>
      </c>
      <c r="H714" t="s">
        <v>41</v>
      </c>
      <c r="I714" t="s">
        <v>36</v>
      </c>
      <c r="J714">
        <v>40</v>
      </c>
      <c r="K714" s="5">
        <v>692.75</v>
      </c>
      <c r="L714" s="5">
        <v>905.96</v>
      </c>
      <c r="M714">
        <v>23</v>
      </c>
      <c r="N714">
        <v>9</v>
      </c>
      <c r="O714">
        <v>2</v>
      </c>
      <c r="P714">
        <v>2</v>
      </c>
      <c r="Q714">
        <v>17</v>
      </c>
      <c r="R714">
        <v>1</v>
      </c>
      <c r="S714">
        <v>2</v>
      </c>
      <c r="T714">
        <v>1</v>
      </c>
      <c r="U714">
        <v>1</v>
      </c>
      <c r="V714">
        <v>0</v>
      </c>
      <c r="W714" t="s">
        <v>50</v>
      </c>
      <c r="X714">
        <v>23</v>
      </c>
      <c r="Y714">
        <v>0</v>
      </c>
      <c r="Z714">
        <f t="shared" si="66"/>
        <v>60</v>
      </c>
      <c r="AA714">
        <f t="shared" si="67"/>
        <v>0.5714285714285714</v>
      </c>
      <c r="AB714">
        <f t="shared" si="68"/>
        <v>37</v>
      </c>
      <c r="AC714" t="str">
        <f t="shared" si="69"/>
        <v>Low</v>
      </c>
      <c r="AD714" t="str">
        <f t="shared" si="70"/>
        <v>Upsell premium bundle</v>
      </c>
      <c r="AE714">
        <f t="shared" si="71"/>
        <v>40</v>
      </c>
    </row>
    <row r="715" spans="1:31" x14ac:dyDescent="0.35">
      <c r="A715" t="s">
        <v>773</v>
      </c>
      <c r="B715" s="4">
        <v>45897</v>
      </c>
      <c r="C715" s="4">
        <v>46143</v>
      </c>
      <c r="D715" t="s">
        <v>72</v>
      </c>
      <c r="E715">
        <v>46</v>
      </c>
      <c r="F715" t="s">
        <v>57</v>
      </c>
      <c r="G715" t="s">
        <v>48</v>
      </c>
      <c r="H715" t="s">
        <v>58</v>
      </c>
      <c r="I715" t="s">
        <v>36</v>
      </c>
      <c r="J715">
        <v>8</v>
      </c>
      <c r="K715" s="5">
        <v>1576.03</v>
      </c>
      <c r="L715" s="5">
        <v>238.28</v>
      </c>
      <c r="M715">
        <v>31</v>
      </c>
      <c r="N715">
        <v>14</v>
      </c>
      <c r="O715">
        <v>7</v>
      </c>
      <c r="P715">
        <v>4</v>
      </c>
      <c r="Q715">
        <v>15</v>
      </c>
      <c r="R715">
        <v>0</v>
      </c>
      <c r="S715">
        <v>0</v>
      </c>
      <c r="T715">
        <v>1</v>
      </c>
      <c r="U715">
        <v>0</v>
      </c>
      <c r="V715">
        <v>1</v>
      </c>
      <c r="W715" t="s">
        <v>50</v>
      </c>
      <c r="X715">
        <v>69</v>
      </c>
      <c r="Y715">
        <v>0</v>
      </c>
      <c r="Z715">
        <f t="shared" si="66"/>
        <v>78</v>
      </c>
      <c r="AA715">
        <f t="shared" si="67"/>
        <v>1.2105263157894737</v>
      </c>
      <c r="AB715">
        <f t="shared" si="68"/>
        <v>0</v>
      </c>
      <c r="AC715" t="str">
        <f t="shared" si="69"/>
        <v>Low</v>
      </c>
      <c r="AD715" t="str">
        <f t="shared" si="70"/>
        <v>Upsell premium bundle</v>
      </c>
      <c r="AE715">
        <f t="shared" si="71"/>
        <v>22</v>
      </c>
    </row>
    <row r="716" spans="1:31" x14ac:dyDescent="0.35">
      <c r="A716" t="s">
        <v>774</v>
      </c>
      <c r="B716" s="4">
        <v>45366</v>
      </c>
      <c r="C716" s="4">
        <v>46143</v>
      </c>
      <c r="D716" t="s">
        <v>60</v>
      </c>
      <c r="E716">
        <v>41</v>
      </c>
      <c r="F716" t="s">
        <v>57</v>
      </c>
      <c r="G716" t="s">
        <v>40</v>
      </c>
      <c r="H716" t="s">
        <v>58</v>
      </c>
      <c r="I716" t="s">
        <v>36</v>
      </c>
      <c r="J716">
        <v>25</v>
      </c>
      <c r="K716" s="5">
        <v>571.69000000000005</v>
      </c>
      <c r="L716" s="5">
        <v>262.91000000000003</v>
      </c>
      <c r="M716">
        <v>11</v>
      </c>
      <c r="N716">
        <v>2</v>
      </c>
      <c r="O716">
        <v>2</v>
      </c>
      <c r="P716">
        <v>1</v>
      </c>
      <c r="Q716">
        <v>4</v>
      </c>
      <c r="R716">
        <v>0</v>
      </c>
      <c r="S716">
        <v>0</v>
      </c>
      <c r="T716">
        <v>0</v>
      </c>
      <c r="U716">
        <v>1</v>
      </c>
      <c r="V716">
        <v>0</v>
      </c>
      <c r="W716" t="s">
        <v>52</v>
      </c>
      <c r="X716">
        <v>6</v>
      </c>
      <c r="Y716">
        <v>0</v>
      </c>
      <c r="Z716">
        <f t="shared" si="66"/>
        <v>29</v>
      </c>
      <c r="AA716">
        <f t="shared" si="67"/>
        <v>0.27272727272727271</v>
      </c>
      <c r="AB716">
        <f t="shared" si="68"/>
        <v>33</v>
      </c>
      <c r="AC716" t="str">
        <f t="shared" si="69"/>
        <v>Low</v>
      </c>
      <c r="AD716" t="str">
        <f t="shared" si="70"/>
        <v>Upsell premium bundle</v>
      </c>
      <c r="AE716">
        <f t="shared" si="71"/>
        <v>71</v>
      </c>
    </row>
    <row r="717" spans="1:31" x14ac:dyDescent="0.35">
      <c r="A717" t="s">
        <v>775</v>
      </c>
      <c r="B717" s="4">
        <v>44710</v>
      </c>
      <c r="C717" s="4">
        <v>46143</v>
      </c>
      <c r="D717" t="s">
        <v>66</v>
      </c>
      <c r="E717">
        <v>68</v>
      </c>
      <c r="F717" t="s">
        <v>33</v>
      </c>
      <c r="G717" t="s">
        <v>40</v>
      </c>
      <c r="H717" t="s">
        <v>41</v>
      </c>
      <c r="I717" t="s">
        <v>36</v>
      </c>
      <c r="J717">
        <v>47</v>
      </c>
      <c r="K717" s="5">
        <v>391.1</v>
      </c>
      <c r="L717" s="5">
        <v>282.24</v>
      </c>
      <c r="M717">
        <v>20</v>
      </c>
      <c r="N717">
        <v>11</v>
      </c>
      <c r="O717">
        <v>2</v>
      </c>
      <c r="P717">
        <v>3</v>
      </c>
      <c r="Q717">
        <v>17</v>
      </c>
      <c r="R717">
        <v>3</v>
      </c>
      <c r="S717">
        <v>3</v>
      </c>
      <c r="T717">
        <v>0</v>
      </c>
      <c r="U717">
        <v>0</v>
      </c>
      <c r="V717">
        <v>1</v>
      </c>
      <c r="W717" t="s">
        <v>52</v>
      </c>
      <c r="X717">
        <v>10</v>
      </c>
      <c r="Y717">
        <v>1</v>
      </c>
      <c r="Z717">
        <f t="shared" si="66"/>
        <v>59</v>
      </c>
      <c r="AA717">
        <f t="shared" si="67"/>
        <v>0.48051948051948051</v>
      </c>
      <c r="AB717">
        <f t="shared" si="68"/>
        <v>49</v>
      </c>
      <c r="AC717" t="str">
        <f t="shared" si="69"/>
        <v>Medium</v>
      </c>
      <c r="AD717" t="str">
        <f t="shared" si="70"/>
        <v>Nudge core feature adoption</v>
      </c>
      <c r="AE717">
        <f t="shared" si="71"/>
        <v>41</v>
      </c>
    </row>
    <row r="718" spans="1:31" x14ac:dyDescent="0.35">
      <c r="A718" t="s">
        <v>776</v>
      </c>
      <c r="B718" s="4">
        <v>44885</v>
      </c>
      <c r="C718" s="4">
        <v>46143</v>
      </c>
      <c r="D718" t="s">
        <v>60</v>
      </c>
      <c r="E718">
        <v>33</v>
      </c>
      <c r="F718" t="s">
        <v>61</v>
      </c>
      <c r="G718" t="s">
        <v>85</v>
      </c>
      <c r="H718" t="s">
        <v>41</v>
      </c>
      <c r="I718" t="s">
        <v>36</v>
      </c>
      <c r="J718">
        <v>41</v>
      </c>
      <c r="K718" s="5">
        <v>6374.26</v>
      </c>
      <c r="L718" s="5">
        <v>118.83</v>
      </c>
      <c r="M718">
        <v>23</v>
      </c>
      <c r="N718">
        <v>6</v>
      </c>
      <c r="O718">
        <v>3</v>
      </c>
      <c r="P718">
        <v>0</v>
      </c>
      <c r="Q718">
        <v>22</v>
      </c>
      <c r="R718">
        <v>1</v>
      </c>
      <c r="S718">
        <v>0</v>
      </c>
      <c r="T718">
        <v>1</v>
      </c>
      <c r="U718">
        <v>0</v>
      </c>
      <c r="V718">
        <v>0</v>
      </c>
      <c r="W718" t="s">
        <v>52</v>
      </c>
      <c r="X718">
        <v>-22</v>
      </c>
      <c r="Y718">
        <v>1</v>
      </c>
      <c r="Z718">
        <f t="shared" si="66"/>
        <v>53</v>
      </c>
      <c r="AA718">
        <f t="shared" si="67"/>
        <v>0.63380281690140849</v>
      </c>
      <c r="AB718">
        <f t="shared" si="68"/>
        <v>46</v>
      </c>
      <c r="AC718" t="str">
        <f t="shared" si="69"/>
        <v>Medium</v>
      </c>
      <c r="AD718" t="str">
        <f t="shared" si="70"/>
        <v>Nudge core feature adoption</v>
      </c>
      <c r="AE718">
        <f t="shared" si="71"/>
        <v>47</v>
      </c>
    </row>
    <row r="719" spans="1:31" x14ac:dyDescent="0.35">
      <c r="A719" t="s">
        <v>777</v>
      </c>
      <c r="B719" s="4">
        <v>45088</v>
      </c>
      <c r="C719" s="4">
        <v>46143</v>
      </c>
      <c r="D719" t="s">
        <v>72</v>
      </c>
      <c r="E719">
        <v>59</v>
      </c>
      <c r="F719" t="s">
        <v>57</v>
      </c>
      <c r="G719" t="s">
        <v>34</v>
      </c>
      <c r="H719" t="s">
        <v>35</v>
      </c>
      <c r="I719" t="s">
        <v>49</v>
      </c>
      <c r="J719">
        <v>35</v>
      </c>
      <c r="K719" s="5">
        <v>669.32</v>
      </c>
      <c r="L719" s="5">
        <v>858.64</v>
      </c>
      <c r="M719">
        <v>33</v>
      </c>
      <c r="N719">
        <v>20</v>
      </c>
      <c r="O719">
        <v>7</v>
      </c>
      <c r="P719">
        <v>5</v>
      </c>
      <c r="Q719">
        <v>28</v>
      </c>
      <c r="R719">
        <v>2</v>
      </c>
      <c r="S719">
        <v>2</v>
      </c>
      <c r="T719">
        <v>1</v>
      </c>
      <c r="U719">
        <v>0</v>
      </c>
      <c r="V719">
        <v>1</v>
      </c>
      <c r="W719" t="s">
        <v>37</v>
      </c>
      <c r="X719">
        <v>36</v>
      </c>
      <c r="Y719">
        <v>1</v>
      </c>
      <c r="Z719">
        <f t="shared" si="66"/>
        <v>98</v>
      </c>
      <c r="AA719">
        <f t="shared" si="67"/>
        <v>0.93846153846153846</v>
      </c>
      <c r="AB719">
        <f t="shared" si="68"/>
        <v>20</v>
      </c>
      <c r="AC719" t="str">
        <f t="shared" si="69"/>
        <v>Low</v>
      </c>
      <c r="AD719" t="str">
        <f t="shared" si="70"/>
        <v>Upsell premium bundle</v>
      </c>
      <c r="AE719">
        <f t="shared" si="71"/>
        <v>2</v>
      </c>
    </row>
    <row r="720" spans="1:31" x14ac:dyDescent="0.35">
      <c r="A720" t="s">
        <v>778</v>
      </c>
      <c r="B720" s="4">
        <v>45825</v>
      </c>
      <c r="C720" s="4">
        <v>46143</v>
      </c>
      <c r="D720" t="s">
        <v>66</v>
      </c>
      <c r="E720">
        <v>36</v>
      </c>
      <c r="F720" t="s">
        <v>57</v>
      </c>
      <c r="G720" t="s">
        <v>67</v>
      </c>
      <c r="H720" t="s">
        <v>58</v>
      </c>
      <c r="I720" t="s">
        <v>36</v>
      </c>
      <c r="J720">
        <v>10</v>
      </c>
      <c r="K720" s="5">
        <v>1736.65</v>
      </c>
      <c r="L720" s="5">
        <v>667.78</v>
      </c>
      <c r="M720">
        <v>34</v>
      </c>
      <c r="N720">
        <v>11</v>
      </c>
      <c r="O720">
        <v>9</v>
      </c>
      <c r="P720">
        <v>1</v>
      </c>
      <c r="Q720">
        <v>34</v>
      </c>
      <c r="R720">
        <v>3</v>
      </c>
      <c r="S720">
        <v>0</v>
      </c>
      <c r="T720">
        <v>0</v>
      </c>
      <c r="U720">
        <v>0</v>
      </c>
      <c r="V720">
        <v>1</v>
      </c>
      <c r="W720" t="s">
        <v>37</v>
      </c>
      <c r="X720">
        <v>36</v>
      </c>
      <c r="Y720">
        <v>0</v>
      </c>
      <c r="Z720">
        <f t="shared" si="66"/>
        <v>95</v>
      </c>
      <c r="AA720">
        <f t="shared" si="67"/>
        <v>1.7</v>
      </c>
      <c r="AB720">
        <f t="shared" si="68"/>
        <v>0</v>
      </c>
      <c r="AC720" t="str">
        <f t="shared" si="69"/>
        <v>Low</v>
      </c>
      <c r="AD720" t="str">
        <f t="shared" si="70"/>
        <v>Upsell premium bundle</v>
      </c>
      <c r="AE720">
        <f t="shared" si="71"/>
        <v>5</v>
      </c>
    </row>
    <row r="721" spans="1:31" x14ac:dyDescent="0.35">
      <c r="A721" t="s">
        <v>779</v>
      </c>
      <c r="B721" s="4">
        <v>45655</v>
      </c>
      <c r="C721" s="4">
        <v>46143</v>
      </c>
      <c r="D721" t="s">
        <v>47</v>
      </c>
      <c r="E721">
        <v>37</v>
      </c>
      <c r="F721" t="s">
        <v>43</v>
      </c>
      <c r="G721" t="s">
        <v>85</v>
      </c>
      <c r="H721" t="s">
        <v>58</v>
      </c>
      <c r="I721" t="s">
        <v>36</v>
      </c>
      <c r="J721">
        <v>16</v>
      </c>
      <c r="K721" s="5">
        <v>34.19</v>
      </c>
      <c r="L721" s="5">
        <v>43.78</v>
      </c>
      <c r="M721">
        <v>12</v>
      </c>
      <c r="N721">
        <v>4</v>
      </c>
      <c r="O721">
        <v>3</v>
      </c>
      <c r="P721">
        <v>0</v>
      </c>
      <c r="Q721">
        <v>19</v>
      </c>
      <c r="R721">
        <v>4</v>
      </c>
      <c r="S721">
        <v>1</v>
      </c>
      <c r="T721">
        <v>0</v>
      </c>
      <c r="U721">
        <v>0</v>
      </c>
      <c r="V721">
        <v>0</v>
      </c>
      <c r="W721" t="s">
        <v>37</v>
      </c>
      <c r="X721">
        <v>-31</v>
      </c>
      <c r="Y721">
        <v>1</v>
      </c>
      <c r="Z721">
        <f t="shared" si="66"/>
        <v>37</v>
      </c>
      <c r="AA721">
        <f t="shared" si="67"/>
        <v>0.67391304347826086</v>
      </c>
      <c r="AB721">
        <f t="shared" si="68"/>
        <v>51</v>
      </c>
      <c r="AC721" t="str">
        <f t="shared" si="69"/>
        <v>Medium</v>
      </c>
      <c r="AD721" t="str">
        <f t="shared" si="70"/>
        <v>Nudge core feature adoption</v>
      </c>
      <c r="AE721">
        <f t="shared" si="71"/>
        <v>63</v>
      </c>
    </row>
    <row r="722" spans="1:31" x14ac:dyDescent="0.35">
      <c r="A722" t="s">
        <v>780</v>
      </c>
      <c r="B722" s="4">
        <v>45453</v>
      </c>
      <c r="C722" s="4">
        <v>46143</v>
      </c>
      <c r="D722" t="s">
        <v>47</v>
      </c>
      <c r="E722">
        <v>42</v>
      </c>
      <c r="F722" t="s">
        <v>57</v>
      </c>
      <c r="G722" t="s">
        <v>63</v>
      </c>
      <c r="H722" t="s">
        <v>41</v>
      </c>
      <c r="I722" t="s">
        <v>36</v>
      </c>
      <c r="J722">
        <v>23</v>
      </c>
      <c r="K722" s="5">
        <v>3419.61</v>
      </c>
      <c r="L722" s="5">
        <v>446.64</v>
      </c>
      <c r="M722">
        <v>11</v>
      </c>
      <c r="N722">
        <v>7</v>
      </c>
      <c r="O722">
        <v>1</v>
      </c>
      <c r="P722">
        <v>2</v>
      </c>
      <c r="Q722">
        <v>16</v>
      </c>
      <c r="R722">
        <v>3</v>
      </c>
      <c r="S722">
        <v>0</v>
      </c>
      <c r="T722">
        <v>1</v>
      </c>
      <c r="U722">
        <v>0</v>
      </c>
      <c r="V722">
        <v>1</v>
      </c>
      <c r="W722" t="s">
        <v>50</v>
      </c>
      <c r="X722">
        <v>30</v>
      </c>
      <c r="Y722">
        <v>1</v>
      </c>
      <c r="Z722">
        <f t="shared" si="66"/>
        <v>42</v>
      </c>
      <c r="AA722">
        <f t="shared" si="67"/>
        <v>0.50943396226415094</v>
      </c>
      <c r="AB722">
        <f t="shared" si="68"/>
        <v>22</v>
      </c>
      <c r="AC722" t="str">
        <f t="shared" si="69"/>
        <v>Low</v>
      </c>
      <c r="AD722" t="str">
        <f t="shared" si="70"/>
        <v>Upsell premium bundle</v>
      </c>
      <c r="AE722">
        <f t="shared" si="71"/>
        <v>58</v>
      </c>
    </row>
    <row r="723" spans="1:31" x14ac:dyDescent="0.35">
      <c r="A723" t="s">
        <v>781</v>
      </c>
      <c r="B723" s="4">
        <v>44999</v>
      </c>
      <c r="C723" s="4">
        <v>46143</v>
      </c>
      <c r="D723" t="s">
        <v>47</v>
      </c>
      <c r="E723">
        <v>52</v>
      </c>
      <c r="F723" t="s">
        <v>61</v>
      </c>
      <c r="G723" t="s">
        <v>34</v>
      </c>
      <c r="H723" t="s">
        <v>41</v>
      </c>
      <c r="I723" t="s">
        <v>36</v>
      </c>
      <c r="J723">
        <v>38</v>
      </c>
      <c r="K723" s="5">
        <v>1444.96</v>
      </c>
      <c r="L723" s="5">
        <v>2105.16</v>
      </c>
      <c r="M723">
        <v>13</v>
      </c>
      <c r="N723">
        <v>4</v>
      </c>
      <c r="O723">
        <v>2</v>
      </c>
      <c r="P723">
        <v>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 t="s">
        <v>37</v>
      </c>
      <c r="X723">
        <v>18</v>
      </c>
      <c r="Y723">
        <v>1</v>
      </c>
      <c r="Z723">
        <f t="shared" si="66"/>
        <v>29</v>
      </c>
      <c r="AA723">
        <f t="shared" si="67"/>
        <v>0.19117647058823528</v>
      </c>
      <c r="AB723">
        <f t="shared" si="68"/>
        <v>27</v>
      </c>
      <c r="AC723" t="str">
        <f t="shared" si="69"/>
        <v>Low</v>
      </c>
      <c r="AD723" t="str">
        <f t="shared" si="70"/>
        <v>Upsell premium bundle</v>
      </c>
      <c r="AE723">
        <f t="shared" si="71"/>
        <v>71</v>
      </c>
    </row>
    <row r="724" spans="1:31" x14ac:dyDescent="0.35">
      <c r="A724" t="s">
        <v>782</v>
      </c>
      <c r="B724" s="4">
        <v>44889</v>
      </c>
      <c r="C724" s="4">
        <v>46143</v>
      </c>
      <c r="D724" t="s">
        <v>32</v>
      </c>
      <c r="E724">
        <v>29</v>
      </c>
      <c r="F724" t="s">
        <v>61</v>
      </c>
      <c r="G724" t="s">
        <v>63</v>
      </c>
      <c r="H724" t="s">
        <v>41</v>
      </c>
      <c r="I724" t="s">
        <v>36</v>
      </c>
      <c r="J724">
        <v>41</v>
      </c>
      <c r="K724" s="5">
        <v>1200.02</v>
      </c>
      <c r="L724" s="5">
        <v>1160.57</v>
      </c>
      <c r="M724">
        <v>16</v>
      </c>
      <c r="N724">
        <v>9</v>
      </c>
      <c r="O724">
        <v>1</v>
      </c>
      <c r="P724">
        <v>2</v>
      </c>
      <c r="Q724">
        <v>24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45</v>
      </c>
      <c r="X724">
        <v>72</v>
      </c>
      <c r="Y724">
        <v>0</v>
      </c>
      <c r="Z724">
        <f t="shared" si="66"/>
        <v>50</v>
      </c>
      <c r="AA724">
        <f t="shared" si="67"/>
        <v>0.56338028169014087</v>
      </c>
      <c r="AB724">
        <f t="shared" si="68"/>
        <v>2</v>
      </c>
      <c r="AC724" t="str">
        <f t="shared" si="69"/>
        <v>Low</v>
      </c>
      <c r="AD724" t="str">
        <f t="shared" si="70"/>
        <v>Upsell premium bundle</v>
      </c>
      <c r="AE724">
        <f t="shared" si="71"/>
        <v>50</v>
      </c>
    </row>
    <row r="725" spans="1:31" x14ac:dyDescent="0.35">
      <c r="A725" t="s">
        <v>783</v>
      </c>
      <c r="B725" s="4">
        <v>45830</v>
      </c>
      <c r="C725" s="4">
        <v>46143</v>
      </c>
      <c r="D725" t="s">
        <v>66</v>
      </c>
      <c r="E725">
        <v>57</v>
      </c>
      <c r="F725" t="s">
        <v>33</v>
      </c>
      <c r="G725" t="s">
        <v>85</v>
      </c>
      <c r="H725" t="s">
        <v>41</v>
      </c>
      <c r="I725" t="s">
        <v>36</v>
      </c>
      <c r="J725">
        <v>10</v>
      </c>
      <c r="K725" s="5">
        <v>664.39</v>
      </c>
      <c r="L725" s="5">
        <v>325.57</v>
      </c>
      <c r="M725">
        <v>18</v>
      </c>
      <c r="N725">
        <v>12</v>
      </c>
      <c r="O725">
        <v>2</v>
      </c>
      <c r="P725">
        <v>1</v>
      </c>
      <c r="Q725">
        <v>6</v>
      </c>
      <c r="R725">
        <v>1</v>
      </c>
      <c r="S725">
        <v>0</v>
      </c>
      <c r="T725">
        <v>0</v>
      </c>
      <c r="U725">
        <v>0</v>
      </c>
      <c r="V725">
        <v>0</v>
      </c>
      <c r="W725" t="s">
        <v>37</v>
      </c>
      <c r="X725">
        <v>28</v>
      </c>
      <c r="Y725">
        <v>1</v>
      </c>
      <c r="Z725">
        <f t="shared" si="66"/>
        <v>37</v>
      </c>
      <c r="AA725">
        <f t="shared" si="67"/>
        <v>0.6</v>
      </c>
      <c r="AB725">
        <f t="shared" si="68"/>
        <v>28</v>
      </c>
      <c r="AC725" t="str">
        <f t="shared" si="69"/>
        <v>Low</v>
      </c>
      <c r="AD725" t="str">
        <f t="shared" si="70"/>
        <v>Upsell premium bundle</v>
      </c>
      <c r="AE725">
        <f t="shared" si="71"/>
        <v>63</v>
      </c>
    </row>
    <row r="726" spans="1:31" x14ac:dyDescent="0.35">
      <c r="A726" t="s">
        <v>784</v>
      </c>
      <c r="B726" s="4">
        <v>45989</v>
      </c>
      <c r="C726" s="4">
        <v>46143</v>
      </c>
      <c r="D726" t="s">
        <v>47</v>
      </c>
      <c r="E726">
        <v>61</v>
      </c>
      <c r="F726" t="s">
        <v>43</v>
      </c>
      <c r="G726" t="s">
        <v>34</v>
      </c>
      <c r="H726" t="s">
        <v>41</v>
      </c>
      <c r="I726" t="s">
        <v>36</v>
      </c>
      <c r="J726">
        <v>5</v>
      </c>
      <c r="K726" s="5">
        <v>203.1</v>
      </c>
      <c r="L726" s="5">
        <v>31.25</v>
      </c>
      <c r="M726">
        <v>21</v>
      </c>
      <c r="N726">
        <v>13</v>
      </c>
      <c r="O726">
        <v>1</v>
      </c>
      <c r="P726">
        <v>4</v>
      </c>
      <c r="Q726">
        <v>9</v>
      </c>
      <c r="R726">
        <v>0</v>
      </c>
      <c r="S726">
        <v>2</v>
      </c>
      <c r="T726">
        <v>0</v>
      </c>
      <c r="U726">
        <v>1</v>
      </c>
      <c r="V726">
        <v>0</v>
      </c>
      <c r="W726" t="s">
        <v>45</v>
      </c>
      <c r="X726">
        <v>-11</v>
      </c>
      <c r="Y726">
        <v>0</v>
      </c>
      <c r="Z726">
        <f t="shared" si="66"/>
        <v>55</v>
      </c>
      <c r="AA726">
        <f t="shared" si="67"/>
        <v>0.8571428571428571</v>
      </c>
      <c r="AB726">
        <f t="shared" si="68"/>
        <v>58</v>
      </c>
      <c r="AC726" t="str">
        <f t="shared" si="69"/>
        <v>Medium</v>
      </c>
      <c r="AD726" t="str">
        <f t="shared" si="70"/>
        <v>Nudge core feature adoption</v>
      </c>
      <c r="AE726">
        <f t="shared" si="71"/>
        <v>45</v>
      </c>
    </row>
    <row r="727" spans="1:31" x14ac:dyDescent="0.35">
      <c r="A727" t="s">
        <v>785</v>
      </c>
      <c r="B727" s="4">
        <v>45955</v>
      </c>
      <c r="C727" s="4">
        <v>46143</v>
      </c>
      <c r="D727" t="s">
        <v>47</v>
      </c>
      <c r="E727">
        <v>66</v>
      </c>
      <c r="F727" t="s">
        <v>33</v>
      </c>
      <c r="G727" t="s">
        <v>67</v>
      </c>
      <c r="H727" t="s">
        <v>41</v>
      </c>
      <c r="I727" t="s">
        <v>36</v>
      </c>
      <c r="J727">
        <v>6</v>
      </c>
      <c r="K727" s="5">
        <v>451.94</v>
      </c>
      <c r="L727" s="5">
        <v>0</v>
      </c>
      <c r="M727">
        <v>8</v>
      </c>
      <c r="N727">
        <v>5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1</v>
      </c>
      <c r="W727" t="s">
        <v>52</v>
      </c>
      <c r="X727">
        <v>33</v>
      </c>
      <c r="Y727">
        <v>1</v>
      </c>
      <c r="Z727">
        <f t="shared" si="66"/>
        <v>21</v>
      </c>
      <c r="AA727">
        <f t="shared" si="67"/>
        <v>0.22222222222222221</v>
      </c>
      <c r="AB727">
        <f t="shared" si="68"/>
        <v>33</v>
      </c>
      <c r="AC727" t="str">
        <f t="shared" si="69"/>
        <v>Low</v>
      </c>
      <c r="AD727" t="str">
        <f t="shared" si="70"/>
        <v>Upsell premium bundle</v>
      </c>
      <c r="AE727">
        <f t="shared" si="71"/>
        <v>79</v>
      </c>
    </row>
    <row r="728" spans="1:31" x14ac:dyDescent="0.35">
      <c r="A728" t="s">
        <v>786</v>
      </c>
      <c r="B728" s="4">
        <v>45358</v>
      </c>
      <c r="C728" s="4">
        <v>46143</v>
      </c>
      <c r="D728" t="s">
        <v>72</v>
      </c>
      <c r="E728">
        <v>62</v>
      </c>
      <c r="F728" t="s">
        <v>33</v>
      </c>
      <c r="G728" t="s">
        <v>85</v>
      </c>
      <c r="H728" t="s">
        <v>41</v>
      </c>
      <c r="I728" t="s">
        <v>36</v>
      </c>
      <c r="J728">
        <v>26</v>
      </c>
      <c r="K728" s="5">
        <v>512.45000000000005</v>
      </c>
      <c r="L728" s="5">
        <v>578.03</v>
      </c>
      <c r="M728">
        <v>17</v>
      </c>
      <c r="N728">
        <v>12</v>
      </c>
      <c r="O728">
        <v>2</v>
      </c>
      <c r="P728">
        <v>2</v>
      </c>
      <c r="Q728">
        <v>26</v>
      </c>
      <c r="R728">
        <v>0</v>
      </c>
      <c r="S728">
        <v>1</v>
      </c>
      <c r="T728">
        <v>0</v>
      </c>
      <c r="U728">
        <v>0</v>
      </c>
      <c r="V728">
        <v>0</v>
      </c>
      <c r="W728" t="s">
        <v>52</v>
      </c>
      <c r="X728">
        <v>43</v>
      </c>
      <c r="Y728">
        <v>0</v>
      </c>
      <c r="Z728">
        <f t="shared" si="66"/>
        <v>56</v>
      </c>
      <c r="AA728">
        <f t="shared" si="67"/>
        <v>0.7678571428571429</v>
      </c>
      <c r="AB728">
        <f t="shared" si="68"/>
        <v>22</v>
      </c>
      <c r="AC728" t="str">
        <f t="shared" si="69"/>
        <v>Low</v>
      </c>
      <c r="AD728" t="str">
        <f t="shared" si="70"/>
        <v>Upsell premium bundle</v>
      </c>
      <c r="AE728">
        <f t="shared" si="71"/>
        <v>44</v>
      </c>
    </row>
    <row r="729" spans="1:31" x14ac:dyDescent="0.35">
      <c r="A729" t="s">
        <v>787</v>
      </c>
      <c r="B729" s="4">
        <v>46036</v>
      </c>
      <c r="C729" s="4">
        <v>46143</v>
      </c>
      <c r="D729" t="s">
        <v>47</v>
      </c>
      <c r="E729">
        <v>26</v>
      </c>
      <c r="F729" t="s">
        <v>33</v>
      </c>
      <c r="G729" t="s">
        <v>85</v>
      </c>
      <c r="H729" t="s">
        <v>41</v>
      </c>
      <c r="I729" t="s">
        <v>49</v>
      </c>
      <c r="J729">
        <v>3</v>
      </c>
      <c r="K729" s="5">
        <v>15.24</v>
      </c>
      <c r="L729" s="5">
        <v>38.479999999999997</v>
      </c>
      <c r="M729">
        <v>13</v>
      </c>
      <c r="N729">
        <v>8</v>
      </c>
      <c r="O729">
        <v>1</v>
      </c>
      <c r="P729">
        <v>2</v>
      </c>
      <c r="Q729">
        <v>14</v>
      </c>
      <c r="R729">
        <v>0</v>
      </c>
      <c r="S729">
        <v>0</v>
      </c>
      <c r="T729">
        <v>1</v>
      </c>
      <c r="U729">
        <v>1</v>
      </c>
      <c r="V729">
        <v>0</v>
      </c>
      <c r="W729" t="s">
        <v>37</v>
      </c>
      <c r="X729">
        <v>18</v>
      </c>
      <c r="Y729">
        <v>1</v>
      </c>
      <c r="Z729">
        <f t="shared" si="66"/>
        <v>45</v>
      </c>
      <c r="AA729">
        <f t="shared" si="67"/>
        <v>0.81818181818181823</v>
      </c>
      <c r="AB729">
        <f t="shared" si="68"/>
        <v>47</v>
      </c>
      <c r="AC729" t="str">
        <f t="shared" si="69"/>
        <v>Medium</v>
      </c>
      <c r="AD729" t="str">
        <f t="shared" si="70"/>
        <v>Nudge core feature adoption</v>
      </c>
      <c r="AE729">
        <f t="shared" si="71"/>
        <v>55</v>
      </c>
    </row>
    <row r="730" spans="1:31" x14ac:dyDescent="0.35">
      <c r="A730" t="s">
        <v>788</v>
      </c>
      <c r="B730" s="4">
        <v>45157</v>
      </c>
      <c r="C730" s="4">
        <v>46143</v>
      </c>
      <c r="D730" t="s">
        <v>32</v>
      </c>
      <c r="E730">
        <v>19</v>
      </c>
      <c r="F730" t="s">
        <v>77</v>
      </c>
      <c r="G730" t="s">
        <v>34</v>
      </c>
      <c r="H730" t="s">
        <v>41</v>
      </c>
      <c r="I730" t="s">
        <v>36</v>
      </c>
      <c r="J730">
        <v>32</v>
      </c>
      <c r="K730" s="5">
        <v>3622.44</v>
      </c>
      <c r="L730" s="5">
        <v>12802.24</v>
      </c>
      <c r="M730">
        <v>19</v>
      </c>
      <c r="N730">
        <v>4</v>
      </c>
      <c r="O730">
        <v>2</v>
      </c>
      <c r="P730">
        <v>0</v>
      </c>
      <c r="Q730">
        <v>5</v>
      </c>
      <c r="R730">
        <v>0</v>
      </c>
      <c r="S730">
        <v>0</v>
      </c>
      <c r="T730">
        <v>1</v>
      </c>
      <c r="U730">
        <v>0</v>
      </c>
      <c r="V730">
        <v>0</v>
      </c>
      <c r="W730" t="s">
        <v>55</v>
      </c>
      <c r="X730">
        <v>8</v>
      </c>
      <c r="Y730">
        <v>0</v>
      </c>
      <c r="Z730">
        <f t="shared" si="66"/>
        <v>31</v>
      </c>
      <c r="AA730">
        <f t="shared" si="67"/>
        <v>0.38709677419354838</v>
      </c>
      <c r="AB730">
        <f t="shared" si="68"/>
        <v>32</v>
      </c>
      <c r="AC730" t="str">
        <f t="shared" si="69"/>
        <v>Low</v>
      </c>
      <c r="AD730" t="str">
        <f t="shared" si="70"/>
        <v>Upsell premium bundle</v>
      </c>
      <c r="AE730">
        <f t="shared" si="71"/>
        <v>69</v>
      </c>
    </row>
    <row r="731" spans="1:31" x14ac:dyDescent="0.35">
      <c r="A731" t="s">
        <v>789</v>
      </c>
      <c r="B731" s="4">
        <v>45506</v>
      </c>
      <c r="C731" s="4">
        <v>46143</v>
      </c>
      <c r="D731" t="s">
        <v>32</v>
      </c>
      <c r="E731">
        <v>55</v>
      </c>
      <c r="F731" t="s">
        <v>33</v>
      </c>
      <c r="G731" t="s">
        <v>34</v>
      </c>
      <c r="H731" t="s">
        <v>35</v>
      </c>
      <c r="I731" t="s">
        <v>36</v>
      </c>
      <c r="J731">
        <v>21</v>
      </c>
      <c r="K731" s="5">
        <v>25.62</v>
      </c>
      <c r="L731" s="5">
        <v>384.72</v>
      </c>
      <c r="M731">
        <v>19</v>
      </c>
      <c r="N731">
        <v>8</v>
      </c>
      <c r="O731">
        <v>2</v>
      </c>
      <c r="P731">
        <v>2</v>
      </c>
      <c r="Q731">
        <v>18</v>
      </c>
      <c r="R731">
        <v>2</v>
      </c>
      <c r="S731">
        <v>0</v>
      </c>
      <c r="T731">
        <v>0</v>
      </c>
      <c r="U731">
        <v>1</v>
      </c>
      <c r="V731">
        <v>0</v>
      </c>
      <c r="W731" t="s">
        <v>37</v>
      </c>
      <c r="X731">
        <v>-8</v>
      </c>
      <c r="Y731">
        <v>1</v>
      </c>
      <c r="Z731">
        <f t="shared" si="66"/>
        <v>56</v>
      </c>
      <c r="AA731">
        <f t="shared" si="67"/>
        <v>0.72549019607843135</v>
      </c>
      <c r="AB731">
        <f t="shared" si="68"/>
        <v>27</v>
      </c>
      <c r="AC731" t="str">
        <f t="shared" si="69"/>
        <v>Low</v>
      </c>
      <c r="AD731" t="str">
        <f t="shared" si="70"/>
        <v>Upsell premium bundle</v>
      </c>
      <c r="AE731">
        <f t="shared" si="71"/>
        <v>44</v>
      </c>
    </row>
    <row r="732" spans="1:31" x14ac:dyDescent="0.35">
      <c r="A732" t="s">
        <v>790</v>
      </c>
      <c r="B732" s="4">
        <v>45883</v>
      </c>
      <c r="C732" s="4">
        <v>46143</v>
      </c>
      <c r="D732" t="s">
        <v>60</v>
      </c>
      <c r="E732">
        <v>38</v>
      </c>
      <c r="F732" t="s">
        <v>57</v>
      </c>
      <c r="G732" t="s">
        <v>85</v>
      </c>
      <c r="H732" t="s">
        <v>58</v>
      </c>
      <c r="I732" t="s">
        <v>36</v>
      </c>
      <c r="J732">
        <v>8</v>
      </c>
      <c r="K732" s="5">
        <v>2330.23</v>
      </c>
      <c r="L732" s="5">
        <v>0</v>
      </c>
      <c r="M732">
        <v>27</v>
      </c>
      <c r="N732">
        <v>7</v>
      </c>
      <c r="O732">
        <v>5</v>
      </c>
      <c r="P732">
        <v>1</v>
      </c>
      <c r="Q732">
        <v>20</v>
      </c>
      <c r="R732">
        <v>2</v>
      </c>
      <c r="S732">
        <v>1</v>
      </c>
      <c r="T732">
        <v>1</v>
      </c>
      <c r="U732">
        <v>0</v>
      </c>
      <c r="V732">
        <v>0</v>
      </c>
      <c r="W732" t="s">
        <v>45</v>
      </c>
      <c r="X732">
        <v>74</v>
      </c>
      <c r="Y732">
        <v>0</v>
      </c>
      <c r="Z732">
        <f t="shared" si="66"/>
        <v>60</v>
      </c>
      <c r="AA732">
        <f t="shared" si="67"/>
        <v>1.236842105263158</v>
      </c>
      <c r="AB732">
        <f t="shared" si="68"/>
        <v>0</v>
      </c>
      <c r="AC732" t="str">
        <f t="shared" si="69"/>
        <v>Low</v>
      </c>
      <c r="AD732" t="str">
        <f t="shared" si="70"/>
        <v>Upsell premium bundle</v>
      </c>
      <c r="AE732">
        <f t="shared" si="71"/>
        <v>40</v>
      </c>
    </row>
    <row r="733" spans="1:31" x14ac:dyDescent="0.35">
      <c r="A733" t="s">
        <v>791</v>
      </c>
      <c r="B733" s="4">
        <v>45070</v>
      </c>
      <c r="C733" s="4">
        <v>46143</v>
      </c>
      <c r="D733" t="s">
        <v>60</v>
      </c>
      <c r="E733">
        <v>28</v>
      </c>
      <c r="F733" t="s">
        <v>61</v>
      </c>
      <c r="G733" t="s">
        <v>67</v>
      </c>
      <c r="H733" t="s">
        <v>58</v>
      </c>
      <c r="I733" t="s">
        <v>36</v>
      </c>
      <c r="J733">
        <v>35</v>
      </c>
      <c r="K733" s="5">
        <v>180.47</v>
      </c>
      <c r="L733" s="5">
        <v>4374.55</v>
      </c>
      <c r="M733">
        <v>39</v>
      </c>
      <c r="N733">
        <v>12</v>
      </c>
      <c r="O733">
        <v>4</v>
      </c>
      <c r="P733">
        <v>3</v>
      </c>
      <c r="Q733">
        <v>35</v>
      </c>
      <c r="R733">
        <v>1</v>
      </c>
      <c r="S733">
        <v>1</v>
      </c>
      <c r="T733">
        <v>1</v>
      </c>
      <c r="U733">
        <v>0</v>
      </c>
      <c r="V733">
        <v>1</v>
      </c>
      <c r="W733" t="s">
        <v>45</v>
      </c>
      <c r="X733">
        <v>24</v>
      </c>
      <c r="Y733">
        <v>0</v>
      </c>
      <c r="Z733">
        <f t="shared" si="66"/>
        <v>99</v>
      </c>
      <c r="AA733">
        <f t="shared" si="67"/>
        <v>1.1384615384615384</v>
      </c>
      <c r="AB733">
        <f t="shared" si="68"/>
        <v>0</v>
      </c>
      <c r="AC733" t="str">
        <f t="shared" si="69"/>
        <v>Low</v>
      </c>
      <c r="AD733" t="str">
        <f t="shared" si="70"/>
        <v>Upsell premium bundle</v>
      </c>
      <c r="AE733">
        <f t="shared" si="71"/>
        <v>1</v>
      </c>
    </row>
    <row r="734" spans="1:31" x14ac:dyDescent="0.35">
      <c r="A734" t="s">
        <v>792</v>
      </c>
      <c r="B734" s="4">
        <v>45576</v>
      </c>
      <c r="C734" s="4">
        <v>46143</v>
      </c>
      <c r="D734" t="s">
        <v>60</v>
      </c>
      <c r="E734">
        <v>60</v>
      </c>
      <c r="F734" t="s">
        <v>43</v>
      </c>
      <c r="G734" t="s">
        <v>48</v>
      </c>
      <c r="H734" t="s">
        <v>35</v>
      </c>
      <c r="I734" t="s">
        <v>36</v>
      </c>
      <c r="J734">
        <v>18</v>
      </c>
      <c r="K734" s="5">
        <v>83.69</v>
      </c>
      <c r="L734" s="5">
        <v>115.76</v>
      </c>
      <c r="M734">
        <v>33</v>
      </c>
      <c r="N734">
        <v>18</v>
      </c>
      <c r="O734">
        <v>6</v>
      </c>
      <c r="P734">
        <v>0</v>
      </c>
      <c r="Q734">
        <v>23</v>
      </c>
      <c r="R734">
        <v>1</v>
      </c>
      <c r="S734">
        <v>1</v>
      </c>
      <c r="T734">
        <v>0</v>
      </c>
      <c r="U734">
        <v>0</v>
      </c>
      <c r="V734">
        <v>1</v>
      </c>
      <c r="W734" t="s">
        <v>50</v>
      </c>
      <c r="X734">
        <v>47</v>
      </c>
      <c r="Y734">
        <v>0</v>
      </c>
      <c r="Z734">
        <f t="shared" si="66"/>
        <v>84</v>
      </c>
      <c r="AA734">
        <f t="shared" si="67"/>
        <v>1.1666666666666667</v>
      </c>
      <c r="AB734">
        <f t="shared" si="68"/>
        <v>0</v>
      </c>
      <c r="AC734" t="str">
        <f t="shared" si="69"/>
        <v>Low</v>
      </c>
      <c r="AD734" t="str">
        <f t="shared" si="70"/>
        <v>Upsell premium bundle</v>
      </c>
      <c r="AE734">
        <f t="shared" si="71"/>
        <v>16</v>
      </c>
    </row>
    <row r="735" spans="1:31" x14ac:dyDescent="0.35">
      <c r="A735" t="s">
        <v>793</v>
      </c>
      <c r="B735" s="4">
        <v>44926</v>
      </c>
      <c r="C735" s="4">
        <v>46143</v>
      </c>
      <c r="D735" t="s">
        <v>66</v>
      </c>
      <c r="E735">
        <v>19</v>
      </c>
      <c r="F735" t="s">
        <v>33</v>
      </c>
      <c r="G735" t="s">
        <v>67</v>
      </c>
      <c r="H735" t="s">
        <v>41</v>
      </c>
      <c r="I735" t="s">
        <v>36</v>
      </c>
      <c r="J735">
        <v>40</v>
      </c>
      <c r="K735" s="5">
        <v>261.23</v>
      </c>
      <c r="L735" s="5">
        <v>0</v>
      </c>
      <c r="M735">
        <v>25</v>
      </c>
      <c r="N735">
        <v>6</v>
      </c>
      <c r="O735">
        <v>4</v>
      </c>
      <c r="P735">
        <v>1</v>
      </c>
      <c r="Q735">
        <v>8</v>
      </c>
      <c r="R735">
        <v>0</v>
      </c>
      <c r="S735">
        <v>1</v>
      </c>
      <c r="T735">
        <v>1</v>
      </c>
      <c r="U735">
        <v>1</v>
      </c>
      <c r="V735">
        <v>1</v>
      </c>
      <c r="W735" t="s">
        <v>50</v>
      </c>
      <c r="X735">
        <v>-12</v>
      </c>
      <c r="Y735">
        <v>1</v>
      </c>
      <c r="Z735">
        <f t="shared" si="66"/>
        <v>60</v>
      </c>
      <c r="AA735">
        <f t="shared" si="67"/>
        <v>0.47142857142857142</v>
      </c>
      <c r="AB735">
        <f t="shared" si="68"/>
        <v>48</v>
      </c>
      <c r="AC735" t="str">
        <f t="shared" si="69"/>
        <v>Medium</v>
      </c>
      <c r="AD735" t="str">
        <f t="shared" si="70"/>
        <v>Nudge core feature adoption</v>
      </c>
      <c r="AE735">
        <f t="shared" si="71"/>
        <v>40</v>
      </c>
    </row>
    <row r="736" spans="1:31" x14ac:dyDescent="0.35">
      <c r="A736" t="s">
        <v>794</v>
      </c>
      <c r="B736" s="4">
        <v>45777</v>
      </c>
      <c r="C736" s="4">
        <v>46143</v>
      </c>
      <c r="D736" t="s">
        <v>39</v>
      </c>
      <c r="E736">
        <v>65</v>
      </c>
      <c r="F736" t="s">
        <v>61</v>
      </c>
      <c r="G736" t="s">
        <v>48</v>
      </c>
      <c r="H736" t="s">
        <v>41</v>
      </c>
      <c r="I736" t="s">
        <v>54</v>
      </c>
      <c r="J736">
        <v>12</v>
      </c>
      <c r="K736" s="5">
        <v>3000.58</v>
      </c>
      <c r="L736" s="5">
        <v>3507.34</v>
      </c>
      <c r="M736">
        <v>20</v>
      </c>
      <c r="N736">
        <v>14</v>
      </c>
      <c r="O736">
        <v>1</v>
      </c>
      <c r="P736">
        <v>0</v>
      </c>
      <c r="Q736">
        <v>15</v>
      </c>
      <c r="R736">
        <v>1</v>
      </c>
      <c r="S736">
        <v>0</v>
      </c>
      <c r="T736">
        <v>0</v>
      </c>
      <c r="U736">
        <v>0</v>
      </c>
      <c r="V736">
        <v>1</v>
      </c>
      <c r="W736" t="s">
        <v>52</v>
      </c>
      <c r="X736">
        <v>19</v>
      </c>
      <c r="Y736">
        <v>1</v>
      </c>
      <c r="Z736">
        <f t="shared" si="66"/>
        <v>54</v>
      </c>
      <c r="AA736">
        <f t="shared" si="67"/>
        <v>0.83333333333333337</v>
      </c>
      <c r="AB736">
        <f t="shared" si="68"/>
        <v>31</v>
      </c>
      <c r="AC736" t="str">
        <f t="shared" si="69"/>
        <v>Low</v>
      </c>
      <c r="AD736" t="str">
        <f t="shared" si="70"/>
        <v>Upsell premium bundle</v>
      </c>
      <c r="AE736">
        <f t="shared" si="71"/>
        <v>46</v>
      </c>
    </row>
    <row r="737" spans="1:31" x14ac:dyDescent="0.35">
      <c r="A737" t="s">
        <v>795</v>
      </c>
      <c r="B737" s="4">
        <v>45528</v>
      </c>
      <c r="C737" s="4">
        <v>46143</v>
      </c>
      <c r="D737" t="s">
        <v>39</v>
      </c>
      <c r="E737">
        <v>42</v>
      </c>
      <c r="F737" t="s">
        <v>43</v>
      </c>
      <c r="G737" t="s">
        <v>63</v>
      </c>
      <c r="H737" t="s">
        <v>41</v>
      </c>
      <c r="I737" t="s">
        <v>36</v>
      </c>
      <c r="J737">
        <v>20</v>
      </c>
      <c r="K737" s="5">
        <v>43.47</v>
      </c>
      <c r="L737" s="5">
        <v>57.54</v>
      </c>
      <c r="M737">
        <v>19</v>
      </c>
      <c r="N737">
        <v>9</v>
      </c>
      <c r="O737">
        <v>1</v>
      </c>
      <c r="P737">
        <v>3</v>
      </c>
      <c r="Q737">
        <v>17</v>
      </c>
      <c r="R737">
        <v>4</v>
      </c>
      <c r="S737">
        <v>0</v>
      </c>
      <c r="T737">
        <v>0</v>
      </c>
      <c r="U737">
        <v>0</v>
      </c>
      <c r="V737">
        <v>1</v>
      </c>
      <c r="W737" t="s">
        <v>55</v>
      </c>
      <c r="X737">
        <v>-7</v>
      </c>
      <c r="Y737">
        <v>1</v>
      </c>
      <c r="Z737">
        <f t="shared" si="66"/>
        <v>55</v>
      </c>
      <c r="AA737">
        <f t="shared" si="67"/>
        <v>0.72</v>
      </c>
      <c r="AB737">
        <f t="shared" si="68"/>
        <v>34</v>
      </c>
      <c r="AC737" t="str">
        <f t="shared" si="69"/>
        <v>Low</v>
      </c>
      <c r="AD737" t="str">
        <f t="shared" si="70"/>
        <v>Upsell premium bundle</v>
      </c>
      <c r="AE737">
        <f t="shared" si="71"/>
        <v>45</v>
      </c>
    </row>
    <row r="738" spans="1:31" x14ac:dyDescent="0.35">
      <c r="A738" t="s">
        <v>796</v>
      </c>
      <c r="B738" s="4">
        <v>44702</v>
      </c>
      <c r="C738" s="4">
        <v>46143</v>
      </c>
      <c r="D738" t="s">
        <v>32</v>
      </c>
      <c r="E738">
        <v>37</v>
      </c>
      <c r="F738" t="s">
        <v>61</v>
      </c>
      <c r="G738" t="s">
        <v>67</v>
      </c>
      <c r="H738" t="s">
        <v>44</v>
      </c>
      <c r="I738" t="s">
        <v>36</v>
      </c>
      <c r="J738">
        <v>48</v>
      </c>
      <c r="K738" s="5">
        <v>665.12</v>
      </c>
      <c r="L738" s="5">
        <v>7419.29</v>
      </c>
      <c r="M738">
        <v>45</v>
      </c>
      <c r="N738">
        <v>28</v>
      </c>
      <c r="O738">
        <v>13</v>
      </c>
      <c r="P738">
        <v>6</v>
      </c>
      <c r="Q738">
        <v>30</v>
      </c>
      <c r="R738">
        <v>1</v>
      </c>
      <c r="S738">
        <v>0</v>
      </c>
      <c r="T738">
        <v>1</v>
      </c>
      <c r="U738">
        <v>0</v>
      </c>
      <c r="V738">
        <v>0</v>
      </c>
      <c r="W738" t="s">
        <v>50</v>
      </c>
      <c r="X738">
        <v>24</v>
      </c>
      <c r="Y738">
        <v>0</v>
      </c>
      <c r="Z738">
        <f t="shared" si="66"/>
        <v>100</v>
      </c>
      <c r="AA738">
        <f t="shared" si="67"/>
        <v>0.96153846153846156</v>
      </c>
      <c r="AB738">
        <f t="shared" si="68"/>
        <v>0</v>
      </c>
      <c r="AC738" t="str">
        <f t="shared" si="69"/>
        <v>Low</v>
      </c>
      <c r="AD738" t="str">
        <f t="shared" si="70"/>
        <v>Upsell premium bundle</v>
      </c>
      <c r="AE738">
        <f t="shared" si="71"/>
        <v>0</v>
      </c>
    </row>
    <row r="739" spans="1:31" x14ac:dyDescent="0.35">
      <c r="A739" t="s">
        <v>797</v>
      </c>
      <c r="B739" s="4">
        <v>45539</v>
      </c>
      <c r="C739" s="4">
        <v>46143</v>
      </c>
      <c r="D739" t="s">
        <v>32</v>
      </c>
      <c r="E739">
        <v>54</v>
      </c>
      <c r="F739" t="s">
        <v>61</v>
      </c>
      <c r="G739" t="s">
        <v>34</v>
      </c>
      <c r="H739" t="s">
        <v>44</v>
      </c>
      <c r="I739" t="s">
        <v>49</v>
      </c>
      <c r="J739">
        <v>20</v>
      </c>
      <c r="K739" s="5">
        <v>2528.21</v>
      </c>
      <c r="L739" s="5">
        <v>218.06</v>
      </c>
      <c r="M739">
        <v>22</v>
      </c>
      <c r="N739">
        <v>13</v>
      </c>
      <c r="O739">
        <v>3</v>
      </c>
      <c r="P739">
        <v>0</v>
      </c>
      <c r="Q739">
        <v>22</v>
      </c>
      <c r="R739">
        <v>0</v>
      </c>
      <c r="S739">
        <v>0</v>
      </c>
      <c r="T739">
        <v>1</v>
      </c>
      <c r="U739">
        <v>0</v>
      </c>
      <c r="V739">
        <v>1</v>
      </c>
      <c r="W739" t="s">
        <v>37</v>
      </c>
      <c r="X739">
        <v>-14</v>
      </c>
      <c r="Y739">
        <v>0</v>
      </c>
      <c r="Z739">
        <f t="shared" si="66"/>
        <v>64</v>
      </c>
      <c r="AA739">
        <f t="shared" si="67"/>
        <v>0.88</v>
      </c>
      <c r="AB739">
        <f t="shared" si="68"/>
        <v>45</v>
      </c>
      <c r="AC739" t="str">
        <f t="shared" si="69"/>
        <v>Medium</v>
      </c>
      <c r="AD739" t="str">
        <f t="shared" si="70"/>
        <v>Nudge core feature adoption</v>
      </c>
      <c r="AE739">
        <f t="shared" si="71"/>
        <v>36</v>
      </c>
    </row>
    <row r="740" spans="1:31" x14ac:dyDescent="0.35">
      <c r="A740" t="s">
        <v>798</v>
      </c>
      <c r="B740" s="4">
        <v>45000</v>
      </c>
      <c r="C740" s="4">
        <v>46143</v>
      </c>
      <c r="D740" t="s">
        <v>47</v>
      </c>
      <c r="E740">
        <v>33</v>
      </c>
      <c r="F740" t="s">
        <v>33</v>
      </c>
      <c r="G740" t="s">
        <v>85</v>
      </c>
      <c r="H740" t="s">
        <v>41</v>
      </c>
      <c r="I740" t="s">
        <v>36</v>
      </c>
      <c r="J740">
        <v>38</v>
      </c>
      <c r="K740" s="5">
        <v>370.97</v>
      </c>
      <c r="L740" s="5">
        <v>384.24</v>
      </c>
      <c r="M740">
        <v>25</v>
      </c>
      <c r="N740">
        <v>13</v>
      </c>
      <c r="O740">
        <v>7</v>
      </c>
      <c r="P740">
        <v>1</v>
      </c>
      <c r="Q740">
        <v>31</v>
      </c>
      <c r="R740">
        <v>1</v>
      </c>
      <c r="S740">
        <v>0</v>
      </c>
      <c r="T740">
        <v>1</v>
      </c>
      <c r="U740">
        <v>0</v>
      </c>
      <c r="V740">
        <v>1</v>
      </c>
      <c r="W740" t="s">
        <v>55</v>
      </c>
      <c r="X740">
        <v>5</v>
      </c>
      <c r="Y740">
        <v>0</v>
      </c>
      <c r="Z740">
        <f t="shared" si="66"/>
        <v>81</v>
      </c>
      <c r="AA740">
        <f t="shared" si="67"/>
        <v>0.82352941176470584</v>
      </c>
      <c r="AB740">
        <f t="shared" si="68"/>
        <v>22</v>
      </c>
      <c r="AC740" t="str">
        <f t="shared" si="69"/>
        <v>Low</v>
      </c>
      <c r="AD740" t="str">
        <f t="shared" si="70"/>
        <v>Upsell premium bundle</v>
      </c>
      <c r="AE740">
        <f t="shared" si="71"/>
        <v>19</v>
      </c>
    </row>
    <row r="741" spans="1:31" x14ac:dyDescent="0.35">
      <c r="A741" t="s">
        <v>799</v>
      </c>
      <c r="B741" s="4">
        <v>45038</v>
      </c>
      <c r="C741" s="4">
        <v>46143</v>
      </c>
      <c r="D741" t="s">
        <v>32</v>
      </c>
      <c r="E741">
        <v>66</v>
      </c>
      <c r="F741" t="s">
        <v>61</v>
      </c>
      <c r="G741" t="s">
        <v>34</v>
      </c>
      <c r="H741" t="s">
        <v>41</v>
      </c>
      <c r="I741" t="s">
        <v>49</v>
      </c>
      <c r="J741">
        <v>36</v>
      </c>
      <c r="K741" s="5">
        <v>2627.38</v>
      </c>
      <c r="L741" s="5">
        <v>4524.83</v>
      </c>
      <c r="M741">
        <v>13</v>
      </c>
      <c r="N741">
        <v>7</v>
      </c>
      <c r="O741">
        <v>3</v>
      </c>
      <c r="P741">
        <v>1</v>
      </c>
      <c r="Q741">
        <v>9</v>
      </c>
      <c r="R741">
        <v>0</v>
      </c>
      <c r="S741">
        <v>1</v>
      </c>
      <c r="T741">
        <v>1</v>
      </c>
      <c r="U741">
        <v>1</v>
      </c>
      <c r="V741">
        <v>1</v>
      </c>
      <c r="W741" t="s">
        <v>50</v>
      </c>
      <c r="X741">
        <v>10</v>
      </c>
      <c r="Y741">
        <v>1</v>
      </c>
      <c r="Z741">
        <f t="shared" si="66"/>
        <v>47</v>
      </c>
      <c r="AA741">
        <f t="shared" si="67"/>
        <v>0.33333333333333331</v>
      </c>
      <c r="AB741">
        <f t="shared" si="68"/>
        <v>48</v>
      </c>
      <c r="AC741" t="str">
        <f t="shared" si="69"/>
        <v>Medium</v>
      </c>
      <c r="AD741" t="str">
        <f t="shared" si="70"/>
        <v>Nudge core feature adoption</v>
      </c>
      <c r="AE741">
        <f t="shared" si="71"/>
        <v>53</v>
      </c>
    </row>
    <row r="742" spans="1:31" x14ac:dyDescent="0.35">
      <c r="A742" t="s">
        <v>800</v>
      </c>
      <c r="B742" s="4">
        <v>46031</v>
      </c>
      <c r="C742" s="4">
        <v>46143</v>
      </c>
      <c r="D742" t="s">
        <v>47</v>
      </c>
      <c r="E742">
        <v>58</v>
      </c>
      <c r="F742" t="s">
        <v>61</v>
      </c>
      <c r="G742" t="s">
        <v>67</v>
      </c>
      <c r="H742" t="s">
        <v>44</v>
      </c>
      <c r="I742" t="s">
        <v>36</v>
      </c>
      <c r="J742">
        <v>3</v>
      </c>
      <c r="K742" s="5">
        <v>5779.78</v>
      </c>
      <c r="L742" s="5">
        <v>3638.53</v>
      </c>
      <c r="M742">
        <v>55</v>
      </c>
      <c r="N742">
        <v>15</v>
      </c>
      <c r="O742">
        <v>9</v>
      </c>
      <c r="P742">
        <v>7</v>
      </c>
      <c r="Q742">
        <v>20</v>
      </c>
      <c r="R742">
        <v>1</v>
      </c>
      <c r="S742">
        <v>2</v>
      </c>
      <c r="T742">
        <v>1</v>
      </c>
      <c r="U742">
        <v>1</v>
      </c>
      <c r="V742">
        <v>0</v>
      </c>
      <c r="W742" t="s">
        <v>50</v>
      </c>
      <c r="X742">
        <v>-11</v>
      </c>
      <c r="Y742">
        <v>0</v>
      </c>
      <c r="Z742">
        <f t="shared" si="66"/>
        <v>100</v>
      </c>
      <c r="AA742">
        <f t="shared" si="67"/>
        <v>2.2727272727272729</v>
      </c>
      <c r="AB742">
        <f t="shared" si="68"/>
        <v>18</v>
      </c>
      <c r="AC742" t="str">
        <f t="shared" si="69"/>
        <v>Low</v>
      </c>
      <c r="AD742" t="str">
        <f t="shared" si="70"/>
        <v>Upsell premium bundle</v>
      </c>
      <c r="AE742">
        <f t="shared" si="71"/>
        <v>0</v>
      </c>
    </row>
    <row r="743" spans="1:31" x14ac:dyDescent="0.35">
      <c r="A743" t="s">
        <v>801</v>
      </c>
      <c r="B743" s="4">
        <v>45770</v>
      </c>
      <c r="C743" s="4">
        <v>46143</v>
      </c>
      <c r="D743" t="s">
        <v>47</v>
      </c>
      <c r="E743">
        <v>58</v>
      </c>
      <c r="F743" t="s">
        <v>33</v>
      </c>
      <c r="G743" t="s">
        <v>85</v>
      </c>
      <c r="H743" t="s">
        <v>44</v>
      </c>
      <c r="I743" t="s">
        <v>36</v>
      </c>
      <c r="J743">
        <v>12</v>
      </c>
      <c r="K743" s="5">
        <v>259.13</v>
      </c>
      <c r="L743" s="5">
        <v>92.2</v>
      </c>
      <c r="M743">
        <v>31</v>
      </c>
      <c r="N743">
        <v>15</v>
      </c>
      <c r="O743">
        <v>3</v>
      </c>
      <c r="P743">
        <v>6</v>
      </c>
      <c r="Q743">
        <v>23</v>
      </c>
      <c r="R743">
        <v>2</v>
      </c>
      <c r="S743">
        <v>0</v>
      </c>
      <c r="T743">
        <v>0</v>
      </c>
      <c r="U743">
        <v>0</v>
      </c>
      <c r="V743">
        <v>1</v>
      </c>
      <c r="W743" t="s">
        <v>50</v>
      </c>
      <c r="X743">
        <v>-19</v>
      </c>
      <c r="Y743">
        <v>0</v>
      </c>
      <c r="Z743">
        <f t="shared" si="66"/>
        <v>84</v>
      </c>
      <c r="AA743">
        <f t="shared" si="67"/>
        <v>1.2857142857142858</v>
      </c>
      <c r="AB743">
        <f t="shared" si="68"/>
        <v>21</v>
      </c>
      <c r="AC743" t="str">
        <f t="shared" si="69"/>
        <v>Low</v>
      </c>
      <c r="AD743" t="str">
        <f t="shared" si="70"/>
        <v>Upsell premium bundle</v>
      </c>
      <c r="AE743">
        <f t="shared" si="71"/>
        <v>16</v>
      </c>
    </row>
    <row r="744" spans="1:31" x14ac:dyDescent="0.35">
      <c r="A744" t="s">
        <v>802</v>
      </c>
      <c r="B744" s="4">
        <v>46007</v>
      </c>
      <c r="C744" s="4">
        <v>46143</v>
      </c>
      <c r="D744" t="s">
        <v>72</v>
      </c>
      <c r="E744">
        <v>61</v>
      </c>
      <c r="F744" t="s">
        <v>57</v>
      </c>
      <c r="G744" t="s">
        <v>63</v>
      </c>
      <c r="H744" t="s">
        <v>58</v>
      </c>
      <c r="I744" t="s">
        <v>54</v>
      </c>
      <c r="J744">
        <v>4</v>
      </c>
      <c r="K744" s="5">
        <v>0</v>
      </c>
      <c r="L744" s="5">
        <v>661.11</v>
      </c>
      <c r="M744">
        <v>23</v>
      </c>
      <c r="N744">
        <v>10</v>
      </c>
      <c r="O744">
        <v>5</v>
      </c>
      <c r="P744">
        <v>2</v>
      </c>
      <c r="Q744">
        <v>25</v>
      </c>
      <c r="R744">
        <v>1</v>
      </c>
      <c r="S744">
        <v>0</v>
      </c>
      <c r="T744">
        <v>0</v>
      </c>
      <c r="U744">
        <v>1</v>
      </c>
      <c r="V744">
        <v>0</v>
      </c>
      <c r="W744" t="s">
        <v>37</v>
      </c>
      <c r="X744">
        <v>-15</v>
      </c>
      <c r="Y744">
        <v>1</v>
      </c>
      <c r="Z744">
        <f t="shared" si="66"/>
        <v>72</v>
      </c>
      <c r="AA744">
        <f t="shared" si="67"/>
        <v>1.411764705882353</v>
      </c>
      <c r="AB744">
        <f t="shared" si="68"/>
        <v>41</v>
      </c>
      <c r="AC744" t="str">
        <f t="shared" si="69"/>
        <v>Medium</v>
      </c>
      <c r="AD744" t="str">
        <f t="shared" si="70"/>
        <v>Nudge core feature adoption</v>
      </c>
      <c r="AE744">
        <f t="shared" si="71"/>
        <v>28</v>
      </c>
    </row>
    <row r="745" spans="1:31" x14ac:dyDescent="0.35">
      <c r="A745" t="s">
        <v>803</v>
      </c>
      <c r="B745" s="4">
        <v>45797</v>
      </c>
      <c r="C745" s="4">
        <v>46143</v>
      </c>
      <c r="D745" t="s">
        <v>47</v>
      </c>
      <c r="E745">
        <v>68</v>
      </c>
      <c r="F745" t="s">
        <v>43</v>
      </c>
      <c r="G745" t="s">
        <v>40</v>
      </c>
      <c r="H745" t="s">
        <v>41</v>
      </c>
      <c r="I745" t="s">
        <v>49</v>
      </c>
      <c r="J745">
        <v>11</v>
      </c>
      <c r="K745" s="5">
        <v>52.71</v>
      </c>
      <c r="L745" s="5">
        <v>119.66</v>
      </c>
      <c r="M745">
        <v>19</v>
      </c>
      <c r="N745">
        <v>8</v>
      </c>
      <c r="O745">
        <v>3</v>
      </c>
      <c r="P745">
        <v>2</v>
      </c>
      <c r="Q745">
        <v>29</v>
      </c>
      <c r="R745">
        <v>0</v>
      </c>
      <c r="S745">
        <v>1</v>
      </c>
      <c r="T745">
        <v>0</v>
      </c>
      <c r="U745">
        <v>0</v>
      </c>
      <c r="V745">
        <v>0</v>
      </c>
      <c r="W745" t="s">
        <v>52</v>
      </c>
      <c r="X745">
        <v>32</v>
      </c>
      <c r="Y745">
        <v>0</v>
      </c>
      <c r="Z745">
        <f t="shared" si="66"/>
        <v>59</v>
      </c>
      <c r="AA745">
        <f t="shared" si="67"/>
        <v>1.1707317073170731</v>
      </c>
      <c r="AB745">
        <f t="shared" si="68"/>
        <v>42</v>
      </c>
      <c r="AC745" t="str">
        <f t="shared" si="69"/>
        <v>Medium</v>
      </c>
      <c r="AD745" t="str">
        <f t="shared" si="70"/>
        <v>Nudge core feature adoption</v>
      </c>
      <c r="AE745">
        <f t="shared" si="71"/>
        <v>41</v>
      </c>
    </row>
    <row r="746" spans="1:31" x14ac:dyDescent="0.35">
      <c r="A746" t="s">
        <v>804</v>
      </c>
      <c r="B746" s="4">
        <v>45391</v>
      </c>
      <c r="C746" s="4">
        <v>46143</v>
      </c>
      <c r="D746" t="s">
        <v>47</v>
      </c>
      <c r="E746">
        <v>50</v>
      </c>
      <c r="F746" t="s">
        <v>57</v>
      </c>
      <c r="G746" t="s">
        <v>85</v>
      </c>
      <c r="H746" t="s">
        <v>44</v>
      </c>
      <c r="I746" t="s">
        <v>36</v>
      </c>
      <c r="J746">
        <v>25</v>
      </c>
      <c r="K746" s="5">
        <v>3214.76</v>
      </c>
      <c r="L746" s="5">
        <v>1207.8399999999999</v>
      </c>
      <c r="M746">
        <v>54</v>
      </c>
      <c r="N746">
        <v>14</v>
      </c>
      <c r="O746">
        <v>14</v>
      </c>
      <c r="P746">
        <v>3</v>
      </c>
      <c r="Q746">
        <v>30</v>
      </c>
      <c r="R746">
        <v>0</v>
      </c>
      <c r="S746">
        <v>0</v>
      </c>
      <c r="T746">
        <v>0</v>
      </c>
      <c r="U746">
        <v>1</v>
      </c>
      <c r="V746">
        <v>1</v>
      </c>
      <c r="W746" t="s">
        <v>37</v>
      </c>
      <c r="X746">
        <v>67</v>
      </c>
      <c r="Y746">
        <v>0</v>
      </c>
      <c r="Z746">
        <f t="shared" si="66"/>
        <v>100</v>
      </c>
      <c r="AA746">
        <f t="shared" si="67"/>
        <v>1.5272727272727273</v>
      </c>
      <c r="AB746">
        <f t="shared" si="68"/>
        <v>0</v>
      </c>
      <c r="AC746" t="str">
        <f t="shared" si="69"/>
        <v>Low</v>
      </c>
      <c r="AD746" t="str">
        <f t="shared" si="70"/>
        <v>Upsell premium bundle</v>
      </c>
      <c r="AE746">
        <f t="shared" si="71"/>
        <v>0</v>
      </c>
    </row>
    <row r="747" spans="1:31" x14ac:dyDescent="0.35">
      <c r="A747" t="s">
        <v>805</v>
      </c>
      <c r="B747" s="4">
        <v>44705</v>
      </c>
      <c r="C747" s="4">
        <v>46143</v>
      </c>
      <c r="D747" t="s">
        <v>66</v>
      </c>
      <c r="E747">
        <v>32</v>
      </c>
      <c r="F747" t="s">
        <v>33</v>
      </c>
      <c r="G747" t="s">
        <v>48</v>
      </c>
      <c r="H747" t="s">
        <v>41</v>
      </c>
      <c r="I747" t="s">
        <v>36</v>
      </c>
      <c r="J747">
        <v>47</v>
      </c>
      <c r="K747" s="5">
        <v>239.25</v>
      </c>
      <c r="L747" s="5">
        <v>396.09</v>
      </c>
      <c r="M747">
        <v>24</v>
      </c>
      <c r="N747">
        <v>8</v>
      </c>
      <c r="O747">
        <v>5</v>
      </c>
      <c r="P747">
        <v>1</v>
      </c>
      <c r="Q747">
        <v>20</v>
      </c>
      <c r="R747">
        <v>1</v>
      </c>
      <c r="S747">
        <v>1</v>
      </c>
      <c r="T747">
        <v>1</v>
      </c>
      <c r="U747">
        <v>1</v>
      </c>
      <c r="V747">
        <v>1</v>
      </c>
      <c r="W747" t="s">
        <v>55</v>
      </c>
      <c r="X747">
        <v>6</v>
      </c>
      <c r="Y747">
        <v>0</v>
      </c>
      <c r="Z747">
        <f t="shared" si="66"/>
        <v>72</v>
      </c>
      <c r="AA747">
        <f t="shared" si="67"/>
        <v>0.5714285714285714</v>
      </c>
      <c r="AB747">
        <f t="shared" si="68"/>
        <v>33</v>
      </c>
      <c r="AC747" t="str">
        <f t="shared" si="69"/>
        <v>Low</v>
      </c>
      <c r="AD747" t="str">
        <f t="shared" si="70"/>
        <v>Upsell premium bundle</v>
      </c>
      <c r="AE747">
        <f t="shared" si="71"/>
        <v>28</v>
      </c>
    </row>
    <row r="748" spans="1:31" x14ac:dyDescent="0.35">
      <c r="A748" t="s">
        <v>806</v>
      </c>
      <c r="B748" s="4">
        <v>45393</v>
      </c>
      <c r="C748" s="4">
        <v>46143</v>
      </c>
      <c r="D748" t="s">
        <v>72</v>
      </c>
      <c r="E748">
        <v>70</v>
      </c>
      <c r="F748" t="s">
        <v>33</v>
      </c>
      <c r="G748" t="s">
        <v>67</v>
      </c>
      <c r="H748" t="s">
        <v>44</v>
      </c>
      <c r="I748" t="s">
        <v>36</v>
      </c>
      <c r="J748">
        <v>25</v>
      </c>
      <c r="K748" s="5">
        <v>187.41</v>
      </c>
      <c r="L748" s="5">
        <v>194.76</v>
      </c>
      <c r="M748">
        <v>47</v>
      </c>
      <c r="N748">
        <v>12</v>
      </c>
      <c r="O748">
        <v>8</v>
      </c>
      <c r="P748">
        <v>1</v>
      </c>
      <c r="Q748">
        <v>28</v>
      </c>
      <c r="R748">
        <v>0</v>
      </c>
      <c r="S748">
        <v>0</v>
      </c>
      <c r="T748">
        <v>0</v>
      </c>
      <c r="U748">
        <v>0</v>
      </c>
      <c r="V748">
        <v>1</v>
      </c>
      <c r="W748" t="s">
        <v>37</v>
      </c>
      <c r="X748">
        <v>-3</v>
      </c>
      <c r="Y748">
        <v>0</v>
      </c>
      <c r="Z748">
        <f t="shared" si="66"/>
        <v>100</v>
      </c>
      <c r="AA748">
        <f t="shared" si="67"/>
        <v>1.3636363636363635</v>
      </c>
      <c r="AB748">
        <f t="shared" si="68"/>
        <v>10</v>
      </c>
      <c r="AC748" t="str">
        <f t="shared" si="69"/>
        <v>Low</v>
      </c>
      <c r="AD748" t="str">
        <f t="shared" si="70"/>
        <v>Upsell premium bundle</v>
      </c>
      <c r="AE748">
        <f t="shared" si="71"/>
        <v>0</v>
      </c>
    </row>
    <row r="749" spans="1:31" x14ac:dyDescent="0.35">
      <c r="A749" t="s">
        <v>807</v>
      </c>
      <c r="B749" s="4">
        <v>44824</v>
      </c>
      <c r="C749" s="4">
        <v>46143</v>
      </c>
      <c r="D749" t="s">
        <v>39</v>
      </c>
      <c r="E749">
        <v>45</v>
      </c>
      <c r="F749" t="s">
        <v>43</v>
      </c>
      <c r="G749" t="s">
        <v>40</v>
      </c>
      <c r="H749" t="s">
        <v>58</v>
      </c>
      <c r="I749" t="s">
        <v>36</v>
      </c>
      <c r="J749">
        <v>43</v>
      </c>
      <c r="K749" s="5">
        <v>21</v>
      </c>
      <c r="L749" s="5">
        <v>28.27</v>
      </c>
      <c r="M749">
        <v>35</v>
      </c>
      <c r="N749">
        <v>11</v>
      </c>
      <c r="O749">
        <v>7</v>
      </c>
      <c r="P749">
        <v>1</v>
      </c>
      <c r="Q749">
        <v>18</v>
      </c>
      <c r="R749">
        <v>3</v>
      </c>
      <c r="S749">
        <v>0</v>
      </c>
      <c r="T749">
        <v>0</v>
      </c>
      <c r="U749">
        <v>0</v>
      </c>
      <c r="V749">
        <v>1</v>
      </c>
      <c r="W749" t="s">
        <v>55</v>
      </c>
      <c r="X749">
        <v>-11</v>
      </c>
      <c r="Y749">
        <v>0</v>
      </c>
      <c r="Z749">
        <f t="shared" si="66"/>
        <v>79</v>
      </c>
      <c r="AA749">
        <f t="shared" si="67"/>
        <v>0.72602739726027399</v>
      </c>
      <c r="AB749">
        <f t="shared" si="68"/>
        <v>17</v>
      </c>
      <c r="AC749" t="str">
        <f t="shared" si="69"/>
        <v>Low</v>
      </c>
      <c r="AD749" t="str">
        <f t="shared" si="70"/>
        <v>Upsell premium bundle</v>
      </c>
      <c r="AE749">
        <f t="shared" si="71"/>
        <v>21</v>
      </c>
    </row>
    <row r="750" spans="1:31" x14ac:dyDescent="0.35">
      <c r="A750" t="s">
        <v>808</v>
      </c>
      <c r="B750" s="4">
        <v>45715</v>
      </c>
      <c r="C750" s="4">
        <v>46143</v>
      </c>
      <c r="D750" t="s">
        <v>32</v>
      </c>
      <c r="E750">
        <v>72</v>
      </c>
      <c r="F750" t="s">
        <v>77</v>
      </c>
      <c r="G750" t="s">
        <v>63</v>
      </c>
      <c r="H750" t="s">
        <v>41</v>
      </c>
      <c r="I750" t="s">
        <v>36</v>
      </c>
      <c r="J750">
        <v>14</v>
      </c>
      <c r="K750" s="5">
        <v>14653.48</v>
      </c>
      <c r="L750" s="5">
        <v>15482.44</v>
      </c>
      <c r="M750">
        <v>27</v>
      </c>
      <c r="N750">
        <v>18</v>
      </c>
      <c r="O750">
        <v>5</v>
      </c>
      <c r="P750">
        <v>3</v>
      </c>
      <c r="Q750">
        <v>12</v>
      </c>
      <c r="R750">
        <v>0</v>
      </c>
      <c r="S750">
        <v>0</v>
      </c>
      <c r="T750">
        <v>1</v>
      </c>
      <c r="U750">
        <v>0</v>
      </c>
      <c r="V750">
        <v>0</v>
      </c>
      <c r="W750" t="s">
        <v>37</v>
      </c>
      <c r="X750">
        <v>56</v>
      </c>
      <c r="Y750">
        <v>0</v>
      </c>
      <c r="Z750">
        <f t="shared" si="66"/>
        <v>63</v>
      </c>
      <c r="AA750">
        <f t="shared" si="67"/>
        <v>0.88636363636363635</v>
      </c>
      <c r="AB750">
        <f t="shared" si="68"/>
        <v>0</v>
      </c>
      <c r="AC750" t="str">
        <f t="shared" si="69"/>
        <v>Low</v>
      </c>
      <c r="AD750" t="str">
        <f t="shared" si="70"/>
        <v>Upsell premium bundle</v>
      </c>
      <c r="AE750">
        <f t="shared" si="71"/>
        <v>37</v>
      </c>
    </row>
    <row r="751" spans="1:31" x14ac:dyDescent="0.35">
      <c r="A751" t="s">
        <v>809</v>
      </c>
      <c r="B751" s="4">
        <v>45969</v>
      </c>
      <c r="C751" s="4">
        <v>46143</v>
      </c>
      <c r="D751" t="s">
        <v>60</v>
      </c>
      <c r="E751">
        <v>69</v>
      </c>
      <c r="F751" t="s">
        <v>61</v>
      </c>
      <c r="G751" t="s">
        <v>67</v>
      </c>
      <c r="H751" t="s">
        <v>58</v>
      </c>
      <c r="I751" t="s">
        <v>36</v>
      </c>
      <c r="J751">
        <v>5</v>
      </c>
      <c r="K751" s="5">
        <v>0</v>
      </c>
      <c r="L751" s="5">
        <v>644.35</v>
      </c>
      <c r="M751">
        <v>16</v>
      </c>
      <c r="N751">
        <v>7</v>
      </c>
      <c r="O751">
        <v>3</v>
      </c>
      <c r="P751">
        <v>1</v>
      </c>
      <c r="Q751">
        <v>30</v>
      </c>
      <c r="R751">
        <v>1</v>
      </c>
      <c r="S751">
        <v>3</v>
      </c>
      <c r="T751">
        <v>1</v>
      </c>
      <c r="U751">
        <v>0</v>
      </c>
      <c r="V751">
        <v>1</v>
      </c>
      <c r="W751" t="s">
        <v>52</v>
      </c>
      <c r="X751">
        <v>17</v>
      </c>
      <c r="Y751">
        <v>0</v>
      </c>
      <c r="Z751">
        <f t="shared" si="66"/>
        <v>62</v>
      </c>
      <c r="AA751">
        <f t="shared" si="67"/>
        <v>1.3142857142857143</v>
      </c>
      <c r="AB751">
        <f t="shared" si="68"/>
        <v>37</v>
      </c>
      <c r="AC751" t="str">
        <f t="shared" si="69"/>
        <v>Low</v>
      </c>
      <c r="AD751" t="str">
        <f t="shared" si="70"/>
        <v>Upsell premium bundle</v>
      </c>
      <c r="AE751">
        <f t="shared" si="71"/>
        <v>38</v>
      </c>
    </row>
    <row r="752" spans="1:31" x14ac:dyDescent="0.35">
      <c r="A752" t="s">
        <v>810</v>
      </c>
      <c r="B752" s="4">
        <v>45292</v>
      </c>
      <c r="C752" s="4">
        <v>46143</v>
      </c>
      <c r="D752" t="s">
        <v>60</v>
      </c>
      <c r="E752">
        <v>72</v>
      </c>
      <c r="F752" t="s">
        <v>57</v>
      </c>
      <c r="G752" t="s">
        <v>85</v>
      </c>
      <c r="H752" t="s">
        <v>41</v>
      </c>
      <c r="I752" t="s">
        <v>36</v>
      </c>
      <c r="J752">
        <v>28</v>
      </c>
      <c r="K752" s="5">
        <v>1857.08</v>
      </c>
      <c r="L752" s="5">
        <v>0</v>
      </c>
      <c r="M752">
        <v>19</v>
      </c>
      <c r="N752">
        <v>9</v>
      </c>
      <c r="O752">
        <v>5</v>
      </c>
      <c r="P752">
        <v>2</v>
      </c>
      <c r="Q752">
        <v>8</v>
      </c>
      <c r="R752">
        <v>2</v>
      </c>
      <c r="S752">
        <v>1</v>
      </c>
      <c r="T752">
        <v>1</v>
      </c>
      <c r="U752">
        <v>0</v>
      </c>
      <c r="V752">
        <v>1</v>
      </c>
      <c r="W752" t="s">
        <v>45</v>
      </c>
      <c r="X752">
        <v>2</v>
      </c>
      <c r="Y752">
        <v>1</v>
      </c>
      <c r="Z752">
        <f t="shared" si="66"/>
        <v>50</v>
      </c>
      <c r="AA752">
        <f t="shared" si="67"/>
        <v>0.46551724137931033</v>
      </c>
      <c r="AB752">
        <f t="shared" si="68"/>
        <v>42</v>
      </c>
      <c r="AC752" t="str">
        <f t="shared" si="69"/>
        <v>Medium</v>
      </c>
      <c r="AD752" t="str">
        <f t="shared" si="70"/>
        <v>Nudge core feature adoption</v>
      </c>
      <c r="AE752">
        <f t="shared" si="71"/>
        <v>50</v>
      </c>
    </row>
    <row r="753" spans="1:31" x14ac:dyDescent="0.35">
      <c r="A753" t="s">
        <v>811</v>
      </c>
      <c r="B753" s="4">
        <v>45545</v>
      </c>
      <c r="C753" s="4">
        <v>46143</v>
      </c>
      <c r="D753" t="s">
        <v>32</v>
      </c>
      <c r="E753">
        <v>48</v>
      </c>
      <c r="F753" t="s">
        <v>61</v>
      </c>
      <c r="G753" t="s">
        <v>67</v>
      </c>
      <c r="H753" t="s">
        <v>41</v>
      </c>
      <c r="I753" t="s">
        <v>36</v>
      </c>
      <c r="J753">
        <v>19</v>
      </c>
      <c r="K753" s="5">
        <v>8476.26</v>
      </c>
      <c r="L753" s="5">
        <v>904.67</v>
      </c>
      <c r="M753">
        <v>22</v>
      </c>
      <c r="N753">
        <v>9</v>
      </c>
      <c r="O753">
        <v>5</v>
      </c>
      <c r="P753">
        <v>4</v>
      </c>
      <c r="Q753">
        <v>20</v>
      </c>
      <c r="R753">
        <v>0</v>
      </c>
      <c r="S753">
        <v>0</v>
      </c>
      <c r="T753">
        <v>1</v>
      </c>
      <c r="U753">
        <v>0</v>
      </c>
      <c r="V753">
        <v>0</v>
      </c>
      <c r="W753" t="s">
        <v>37</v>
      </c>
      <c r="X753">
        <v>15</v>
      </c>
      <c r="Y753">
        <v>0</v>
      </c>
      <c r="Z753">
        <f t="shared" si="66"/>
        <v>60</v>
      </c>
      <c r="AA753">
        <f t="shared" si="67"/>
        <v>0.8571428571428571</v>
      </c>
      <c r="AB753">
        <f t="shared" si="68"/>
        <v>27</v>
      </c>
      <c r="AC753" t="str">
        <f t="shared" si="69"/>
        <v>Low</v>
      </c>
      <c r="AD753" t="str">
        <f t="shared" si="70"/>
        <v>Upsell premium bundle</v>
      </c>
      <c r="AE753">
        <f t="shared" si="71"/>
        <v>40</v>
      </c>
    </row>
    <row r="754" spans="1:31" x14ac:dyDescent="0.35">
      <c r="A754" t="s">
        <v>812</v>
      </c>
      <c r="B754" s="4">
        <v>44842</v>
      </c>
      <c r="C754" s="4">
        <v>46143</v>
      </c>
      <c r="D754" t="s">
        <v>47</v>
      </c>
      <c r="E754">
        <v>22</v>
      </c>
      <c r="F754" t="s">
        <v>43</v>
      </c>
      <c r="G754" t="s">
        <v>63</v>
      </c>
      <c r="H754" t="s">
        <v>58</v>
      </c>
      <c r="I754" t="s">
        <v>36</v>
      </c>
      <c r="J754">
        <v>43</v>
      </c>
      <c r="K754" s="5">
        <v>34.51</v>
      </c>
      <c r="L754" s="5">
        <v>106.91</v>
      </c>
      <c r="M754">
        <v>27</v>
      </c>
      <c r="N754">
        <v>19</v>
      </c>
      <c r="O754">
        <v>5</v>
      </c>
      <c r="P754">
        <v>5</v>
      </c>
      <c r="Q754">
        <v>20</v>
      </c>
      <c r="R754">
        <v>0</v>
      </c>
      <c r="S754">
        <v>1</v>
      </c>
      <c r="T754">
        <v>1</v>
      </c>
      <c r="U754">
        <v>1</v>
      </c>
      <c r="V754">
        <v>0</v>
      </c>
      <c r="W754" t="s">
        <v>52</v>
      </c>
      <c r="X754">
        <v>54</v>
      </c>
      <c r="Y754">
        <v>0</v>
      </c>
      <c r="Z754">
        <f t="shared" si="66"/>
        <v>82</v>
      </c>
      <c r="AA754">
        <f t="shared" si="67"/>
        <v>0.64383561643835618</v>
      </c>
      <c r="AB754">
        <f t="shared" si="68"/>
        <v>0</v>
      </c>
      <c r="AC754" t="str">
        <f t="shared" si="69"/>
        <v>Low</v>
      </c>
      <c r="AD754" t="str">
        <f t="shared" si="70"/>
        <v>Upsell premium bundle</v>
      </c>
      <c r="AE754">
        <f t="shared" si="71"/>
        <v>18</v>
      </c>
    </row>
    <row r="755" spans="1:31" x14ac:dyDescent="0.35">
      <c r="A755" t="s">
        <v>813</v>
      </c>
      <c r="B755" s="4">
        <v>45905</v>
      </c>
      <c r="C755" s="4">
        <v>46143</v>
      </c>
      <c r="D755" t="s">
        <v>32</v>
      </c>
      <c r="E755">
        <v>68</v>
      </c>
      <c r="F755" t="s">
        <v>61</v>
      </c>
      <c r="G755" t="s">
        <v>63</v>
      </c>
      <c r="H755" t="s">
        <v>44</v>
      </c>
      <c r="I755" t="s">
        <v>49</v>
      </c>
      <c r="J755">
        <v>7</v>
      </c>
      <c r="K755" s="5">
        <v>2093.89</v>
      </c>
      <c r="L755" s="5">
        <v>1353.12</v>
      </c>
      <c r="M755">
        <v>25</v>
      </c>
      <c r="N755">
        <v>12</v>
      </c>
      <c r="O755">
        <v>6</v>
      </c>
      <c r="P755">
        <v>1</v>
      </c>
      <c r="Q755">
        <v>5</v>
      </c>
      <c r="R755">
        <v>2</v>
      </c>
      <c r="S755">
        <v>3</v>
      </c>
      <c r="T755">
        <v>1</v>
      </c>
      <c r="U755">
        <v>0</v>
      </c>
      <c r="V755">
        <v>0</v>
      </c>
      <c r="W755" t="s">
        <v>55</v>
      </c>
      <c r="X755">
        <v>-17</v>
      </c>
      <c r="Y755">
        <v>1</v>
      </c>
      <c r="Z755">
        <f t="shared" si="66"/>
        <v>49</v>
      </c>
      <c r="AA755">
        <f t="shared" si="67"/>
        <v>0.81081081081081086</v>
      </c>
      <c r="AB755">
        <f t="shared" si="68"/>
        <v>74</v>
      </c>
      <c r="AC755" t="str">
        <f t="shared" si="69"/>
        <v>High</v>
      </c>
      <c r="AD755" t="str">
        <f t="shared" si="70"/>
        <v>Retention call</v>
      </c>
      <c r="AE755">
        <f t="shared" si="71"/>
        <v>51</v>
      </c>
    </row>
    <row r="756" spans="1:31" x14ac:dyDescent="0.35">
      <c r="A756" t="s">
        <v>814</v>
      </c>
      <c r="B756" s="4">
        <v>44972</v>
      </c>
      <c r="C756" s="4">
        <v>46143</v>
      </c>
      <c r="D756" t="s">
        <v>39</v>
      </c>
      <c r="E756">
        <v>28</v>
      </c>
      <c r="F756" t="s">
        <v>33</v>
      </c>
      <c r="G756" t="s">
        <v>67</v>
      </c>
      <c r="H756" t="s">
        <v>58</v>
      </c>
      <c r="I756" t="s">
        <v>36</v>
      </c>
      <c r="J756">
        <v>39</v>
      </c>
      <c r="K756" s="5">
        <v>376.94</v>
      </c>
      <c r="L756" s="5">
        <v>302.39</v>
      </c>
      <c r="M756">
        <v>24</v>
      </c>
      <c r="N756">
        <v>8</v>
      </c>
      <c r="O756">
        <v>6</v>
      </c>
      <c r="P756">
        <v>2</v>
      </c>
      <c r="Q756">
        <v>26</v>
      </c>
      <c r="R756">
        <v>0</v>
      </c>
      <c r="S756">
        <v>3</v>
      </c>
      <c r="T756">
        <v>1</v>
      </c>
      <c r="U756">
        <v>1</v>
      </c>
      <c r="V756">
        <v>1</v>
      </c>
      <c r="W756" t="s">
        <v>55</v>
      </c>
      <c r="X756">
        <v>2</v>
      </c>
      <c r="Y756">
        <v>0</v>
      </c>
      <c r="Z756">
        <f t="shared" si="66"/>
        <v>80</v>
      </c>
      <c r="AA756">
        <f t="shared" si="67"/>
        <v>0.72463768115942029</v>
      </c>
      <c r="AB756">
        <f t="shared" si="68"/>
        <v>39</v>
      </c>
      <c r="AC756" t="str">
        <f t="shared" si="69"/>
        <v>Low</v>
      </c>
      <c r="AD756" t="str">
        <f t="shared" si="70"/>
        <v>Upsell premium bundle</v>
      </c>
      <c r="AE756">
        <f t="shared" si="71"/>
        <v>20</v>
      </c>
    </row>
    <row r="757" spans="1:31" x14ac:dyDescent="0.35">
      <c r="A757" t="s">
        <v>815</v>
      </c>
      <c r="B757" s="4">
        <v>45517</v>
      </c>
      <c r="C757" s="4">
        <v>46143</v>
      </c>
      <c r="D757" t="s">
        <v>39</v>
      </c>
      <c r="E757">
        <v>25</v>
      </c>
      <c r="F757" t="s">
        <v>57</v>
      </c>
      <c r="G757" t="s">
        <v>40</v>
      </c>
      <c r="H757" t="s">
        <v>41</v>
      </c>
      <c r="I757" t="s">
        <v>36</v>
      </c>
      <c r="J757">
        <v>20</v>
      </c>
      <c r="K757" s="5">
        <v>1809.5</v>
      </c>
      <c r="L757" s="5">
        <v>0</v>
      </c>
      <c r="M757">
        <v>20</v>
      </c>
      <c r="N757">
        <v>6</v>
      </c>
      <c r="O757">
        <v>2</v>
      </c>
      <c r="P757">
        <v>0</v>
      </c>
      <c r="Q757">
        <v>8</v>
      </c>
      <c r="R757">
        <v>0</v>
      </c>
      <c r="S757">
        <v>1</v>
      </c>
      <c r="T757">
        <v>1</v>
      </c>
      <c r="U757">
        <v>0</v>
      </c>
      <c r="V757">
        <v>1</v>
      </c>
      <c r="W757" t="s">
        <v>37</v>
      </c>
      <c r="X757">
        <v>16</v>
      </c>
      <c r="Y757">
        <v>0</v>
      </c>
      <c r="Z757">
        <f t="shared" si="66"/>
        <v>43</v>
      </c>
      <c r="AA757">
        <f t="shared" si="67"/>
        <v>0.56000000000000005</v>
      </c>
      <c r="AB757">
        <f t="shared" si="68"/>
        <v>41</v>
      </c>
      <c r="AC757" t="str">
        <f t="shared" si="69"/>
        <v>Medium</v>
      </c>
      <c r="AD757" t="str">
        <f t="shared" si="70"/>
        <v>Nudge core feature adoption</v>
      </c>
      <c r="AE757">
        <f t="shared" si="71"/>
        <v>57</v>
      </c>
    </row>
    <row r="758" spans="1:31" x14ac:dyDescent="0.35">
      <c r="A758" t="s">
        <v>816</v>
      </c>
      <c r="B758" s="4">
        <v>45599</v>
      </c>
      <c r="C758" s="4">
        <v>46143</v>
      </c>
      <c r="D758" t="s">
        <v>72</v>
      </c>
      <c r="E758">
        <v>21</v>
      </c>
      <c r="F758" t="s">
        <v>57</v>
      </c>
      <c r="G758" t="s">
        <v>63</v>
      </c>
      <c r="H758" t="s">
        <v>41</v>
      </c>
      <c r="I758" t="s">
        <v>36</v>
      </c>
      <c r="J758">
        <v>18</v>
      </c>
      <c r="K758" s="5">
        <v>0</v>
      </c>
      <c r="L758" s="5">
        <v>1276.19</v>
      </c>
      <c r="M758">
        <v>8</v>
      </c>
      <c r="N758">
        <v>3</v>
      </c>
      <c r="O758">
        <v>1</v>
      </c>
      <c r="P758">
        <v>0</v>
      </c>
      <c r="Q758">
        <v>14</v>
      </c>
      <c r="R758">
        <v>0</v>
      </c>
      <c r="S758">
        <v>0</v>
      </c>
      <c r="T758">
        <v>1</v>
      </c>
      <c r="U758">
        <v>0</v>
      </c>
      <c r="V758">
        <v>0</v>
      </c>
      <c r="W758" t="s">
        <v>50</v>
      </c>
      <c r="X758">
        <v>47</v>
      </c>
      <c r="Y758">
        <v>1</v>
      </c>
      <c r="Z758">
        <f t="shared" si="66"/>
        <v>25</v>
      </c>
      <c r="AA758">
        <f t="shared" si="67"/>
        <v>0.45833333333333331</v>
      </c>
      <c r="AB758">
        <f t="shared" si="68"/>
        <v>25</v>
      </c>
      <c r="AC758" t="str">
        <f t="shared" si="69"/>
        <v>Low</v>
      </c>
      <c r="AD758" t="str">
        <f t="shared" si="70"/>
        <v>Upsell premium bundle</v>
      </c>
      <c r="AE758">
        <f t="shared" si="71"/>
        <v>75</v>
      </c>
    </row>
    <row r="759" spans="1:31" x14ac:dyDescent="0.35">
      <c r="A759" t="s">
        <v>817</v>
      </c>
      <c r="B759" s="4">
        <v>44861</v>
      </c>
      <c r="C759" s="4">
        <v>46143</v>
      </c>
      <c r="D759" t="s">
        <v>72</v>
      </c>
      <c r="E759">
        <v>70</v>
      </c>
      <c r="F759" t="s">
        <v>33</v>
      </c>
      <c r="G759" t="s">
        <v>67</v>
      </c>
      <c r="H759" t="s">
        <v>58</v>
      </c>
      <c r="I759" t="s">
        <v>36</v>
      </c>
      <c r="J759">
        <v>42</v>
      </c>
      <c r="K759" s="5">
        <v>169.35</v>
      </c>
      <c r="L759" s="5">
        <v>59.42</v>
      </c>
      <c r="M759">
        <v>54</v>
      </c>
      <c r="N759">
        <v>13</v>
      </c>
      <c r="O759">
        <v>6</v>
      </c>
      <c r="P759">
        <v>11</v>
      </c>
      <c r="Q759">
        <v>34</v>
      </c>
      <c r="R759">
        <v>4</v>
      </c>
      <c r="S759">
        <v>2</v>
      </c>
      <c r="T759">
        <v>0</v>
      </c>
      <c r="U759">
        <v>1</v>
      </c>
      <c r="V759">
        <v>1</v>
      </c>
      <c r="W759" t="s">
        <v>50</v>
      </c>
      <c r="X759">
        <v>27</v>
      </c>
      <c r="Y759">
        <v>0</v>
      </c>
      <c r="Z759">
        <f t="shared" si="66"/>
        <v>100</v>
      </c>
      <c r="AA759">
        <f t="shared" si="67"/>
        <v>1.2222222222222223</v>
      </c>
      <c r="AB759">
        <f t="shared" si="68"/>
        <v>5</v>
      </c>
      <c r="AC759" t="str">
        <f t="shared" si="69"/>
        <v>Low</v>
      </c>
      <c r="AD759" t="str">
        <f t="shared" si="70"/>
        <v>Upsell premium bundle</v>
      </c>
      <c r="AE759">
        <f t="shared" si="71"/>
        <v>0</v>
      </c>
    </row>
    <row r="760" spans="1:31" x14ac:dyDescent="0.35">
      <c r="A760" t="s">
        <v>818</v>
      </c>
      <c r="B760" s="4">
        <v>45882</v>
      </c>
      <c r="C760" s="4">
        <v>46143</v>
      </c>
      <c r="D760" t="s">
        <v>47</v>
      </c>
      <c r="E760">
        <v>51</v>
      </c>
      <c r="F760" t="s">
        <v>57</v>
      </c>
      <c r="G760" t="s">
        <v>48</v>
      </c>
      <c r="H760" t="s">
        <v>44</v>
      </c>
      <c r="I760" t="s">
        <v>36</v>
      </c>
      <c r="J760">
        <v>8</v>
      </c>
      <c r="K760" s="5">
        <v>436.69</v>
      </c>
      <c r="L760" s="5">
        <v>428.68</v>
      </c>
      <c r="M760">
        <v>31</v>
      </c>
      <c r="N760">
        <v>10</v>
      </c>
      <c r="O760">
        <v>3</v>
      </c>
      <c r="P760">
        <v>0</v>
      </c>
      <c r="Q760">
        <v>25</v>
      </c>
      <c r="R760">
        <v>2</v>
      </c>
      <c r="S760">
        <v>0</v>
      </c>
      <c r="T760">
        <v>1</v>
      </c>
      <c r="U760">
        <v>1</v>
      </c>
      <c r="V760">
        <v>0</v>
      </c>
      <c r="W760" t="s">
        <v>50</v>
      </c>
      <c r="X760">
        <v>30</v>
      </c>
      <c r="Y760">
        <v>0</v>
      </c>
      <c r="Z760">
        <f t="shared" si="66"/>
        <v>75</v>
      </c>
      <c r="AA760">
        <f t="shared" si="67"/>
        <v>1.4736842105263157</v>
      </c>
      <c r="AB760">
        <f t="shared" si="68"/>
        <v>0</v>
      </c>
      <c r="AC760" t="str">
        <f t="shared" si="69"/>
        <v>Low</v>
      </c>
      <c r="AD760" t="str">
        <f t="shared" si="70"/>
        <v>Upsell premium bundle</v>
      </c>
      <c r="AE760">
        <f t="shared" si="71"/>
        <v>25</v>
      </c>
    </row>
    <row r="761" spans="1:31" x14ac:dyDescent="0.35">
      <c r="A761" t="s">
        <v>819</v>
      </c>
      <c r="B761" s="4">
        <v>45647</v>
      </c>
      <c r="C761" s="4">
        <v>46143</v>
      </c>
      <c r="D761" t="s">
        <v>39</v>
      </c>
      <c r="E761">
        <v>26</v>
      </c>
      <c r="F761" t="s">
        <v>57</v>
      </c>
      <c r="G761" t="s">
        <v>40</v>
      </c>
      <c r="H761" t="s">
        <v>41</v>
      </c>
      <c r="I761" t="s">
        <v>36</v>
      </c>
      <c r="J761">
        <v>16</v>
      </c>
      <c r="K761" s="5">
        <v>2002.82</v>
      </c>
      <c r="L761" s="5">
        <v>1611.62</v>
      </c>
      <c r="M761">
        <v>22</v>
      </c>
      <c r="N761">
        <v>12</v>
      </c>
      <c r="O761">
        <v>4</v>
      </c>
      <c r="P761">
        <v>3</v>
      </c>
      <c r="Q761">
        <v>23</v>
      </c>
      <c r="R761">
        <v>3</v>
      </c>
      <c r="S761">
        <v>1</v>
      </c>
      <c r="T761">
        <v>1</v>
      </c>
      <c r="U761">
        <v>0</v>
      </c>
      <c r="V761">
        <v>0</v>
      </c>
      <c r="W761" t="s">
        <v>50</v>
      </c>
      <c r="X761">
        <v>22</v>
      </c>
      <c r="Y761">
        <v>1</v>
      </c>
      <c r="Z761">
        <f t="shared" si="66"/>
        <v>62</v>
      </c>
      <c r="AA761">
        <f t="shared" si="67"/>
        <v>0.97826086956521741</v>
      </c>
      <c r="AB761">
        <f t="shared" si="68"/>
        <v>16</v>
      </c>
      <c r="AC761" t="str">
        <f t="shared" si="69"/>
        <v>Low</v>
      </c>
      <c r="AD761" t="str">
        <f t="shared" si="70"/>
        <v>Upsell premium bundle</v>
      </c>
      <c r="AE761">
        <f t="shared" si="71"/>
        <v>38</v>
      </c>
    </row>
    <row r="762" spans="1:31" x14ac:dyDescent="0.35">
      <c r="A762" t="s">
        <v>820</v>
      </c>
      <c r="B762" s="4">
        <v>45758</v>
      </c>
      <c r="C762" s="4">
        <v>46143</v>
      </c>
      <c r="D762" t="s">
        <v>72</v>
      </c>
      <c r="E762">
        <v>22</v>
      </c>
      <c r="F762" t="s">
        <v>57</v>
      </c>
      <c r="G762" t="s">
        <v>40</v>
      </c>
      <c r="H762" t="s">
        <v>41</v>
      </c>
      <c r="I762" t="s">
        <v>36</v>
      </c>
      <c r="J762">
        <v>12</v>
      </c>
      <c r="K762" s="5">
        <v>316.94</v>
      </c>
      <c r="L762" s="5">
        <v>37.58</v>
      </c>
      <c r="M762">
        <v>15</v>
      </c>
      <c r="N762">
        <v>5</v>
      </c>
      <c r="O762">
        <v>3</v>
      </c>
      <c r="P762">
        <v>3</v>
      </c>
      <c r="Q762">
        <v>12</v>
      </c>
      <c r="R762">
        <v>1</v>
      </c>
      <c r="S762">
        <v>0</v>
      </c>
      <c r="T762">
        <v>0</v>
      </c>
      <c r="U762">
        <v>1</v>
      </c>
      <c r="V762">
        <v>0</v>
      </c>
      <c r="W762" t="s">
        <v>55</v>
      </c>
      <c r="X762">
        <v>-5</v>
      </c>
      <c r="Y762">
        <v>0</v>
      </c>
      <c r="Z762">
        <f t="shared" si="66"/>
        <v>47</v>
      </c>
      <c r="AA762">
        <f t="shared" si="67"/>
        <v>0.6428571428571429</v>
      </c>
      <c r="AB762">
        <f t="shared" si="68"/>
        <v>40</v>
      </c>
      <c r="AC762" t="str">
        <f t="shared" si="69"/>
        <v>Medium</v>
      </c>
      <c r="AD762" t="str">
        <f t="shared" si="70"/>
        <v>Nudge core feature adoption</v>
      </c>
      <c r="AE762">
        <f t="shared" si="71"/>
        <v>53</v>
      </c>
    </row>
    <row r="763" spans="1:31" x14ac:dyDescent="0.35">
      <c r="A763" t="s">
        <v>821</v>
      </c>
      <c r="B763" s="4">
        <v>45550</v>
      </c>
      <c r="C763" s="4">
        <v>46143</v>
      </c>
      <c r="D763" t="s">
        <v>72</v>
      </c>
      <c r="E763">
        <v>24</v>
      </c>
      <c r="F763" t="s">
        <v>43</v>
      </c>
      <c r="G763" t="s">
        <v>85</v>
      </c>
      <c r="H763" t="s">
        <v>58</v>
      </c>
      <c r="I763" t="s">
        <v>36</v>
      </c>
      <c r="J763">
        <v>19</v>
      </c>
      <c r="K763" s="5">
        <v>45.47</v>
      </c>
      <c r="L763" s="5">
        <v>100.53</v>
      </c>
      <c r="M763">
        <v>38</v>
      </c>
      <c r="N763">
        <v>11</v>
      </c>
      <c r="O763">
        <v>9</v>
      </c>
      <c r="P763">
        <v>5</v>
      </c>
      <c r="Q763">
        <v>24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37</v>
      </c>
      <c r="X763">
        <v>43</v>
      </c>
      <c r="Y763">
        <v>0</v>
      </c>
      <c r="Z763">
        <f t="shared" si="66"/>
        <v>89</v>
      </c>
      <c r="AA763">
        <f t="shared" si="67"/>
        <v>1.2653061224489797</v>
      </c>
      <c r="AB763">
        <f t="shared" si="68"/>
        <v>0</v>
      </c>
      <c r="AC763" t="str">
        <f t="shared" si="69"/>
        <v>Low</v>
      </c>
      <c r="AD763" t="str">
        <f t="shared" si="70"/>
        <v>Upsell premium bundle</v>
      </c>
      <c r="AE763">
        <f t="shared" si="71"/>
        <v>11</v>
      </c>
    </row>
    <row r="764" spans="1:31" x14ac:dyDescent="0.35">
      <c r="A764" t="s">
        <v>822</v>
      </c>
      <c r="B764" s="4">
        <v>44818</v>
      </c>
      <c r="C764" s="4">
        <v>46143</v>
      </c>
      <c r="D764" t="s">
        <v>32</v>
      </c>
      <c r="E764">
        <v>56</v>
      </c>
      <c r="F764" t="s">
        <v>57</v>
      </c>
      <c r="G764" t="s">
        <v>67</v>
      </c>
      <c r="H764" t="s">
        <v>58</v>
      </c>
      <c r="I764" t="s">
        <v>36</v>
      </c>
      <c r="J764">
        <v>44</v>
      </c>
      <c r="K764" s="5">
        <v>1311.85</v>
      </c>
      <c r="L764" s="5">
        <v>680.5</v>
      </c>
      <c r="M764">
        <v>23</v>
      </c>
      <c r="N764">
        <v>8</v>
      </c>
      <c r="O764">
        <v>2</v>
      </c>
      <c r="P764">
        <v>0</v>
      </c>
      <c r="Q764">
        <v>21</v>
      </c>
      <c r="R764">
        <v>1</v>
      </c>
      <c r="S764">
        <v>1</v>
      </c>
      <c r="T764">
        <v>1</v>
      </c>
      <c r="U764">
        <v>0</v>
      </c>
      <c r="V764">
        <v>1</v>
      </c>
      <c r="W764" t="s">
        <v>37</v>
      </c>
      <c r="X764">
        <v>44</v>
      </c>
      <c r="Y764">
        <v>0</v>
      </c>
      <c r="Z764">
        <f t="shared" si="66"/>
        <v>59</v>
      </c>
      <c r="AA764">
        <f t="shared" si="67"/>
        <v>0.59459459459459463</v>
      </c>
      <c r="AB764">
        <f t="shared" si="68"/>
        <v>9</v>
      </c>
      <c r="AC764" t="str">
        <f t="shared" si="69"/>
        <v>Low</v>
      </c>
      <c r="AD764" t="str">
        <f t="shared" si="70"/>
        <v>Upsell premium bundle</v>
      </c>
      <c r="AE764">
        <f t="shared" si="71"/>
        <v>41</v>
      </c>
    </row>
    <row r="765" spans="1:31" x14ac:dyDescent="0.35">
      <c r="A765" t="s">
        <v>823</v>
      </c>
      <c r="B765" s="4">
        <v>45532</v>
      </c>
      <c r="C765" s="4">
        <v>46143</v>
      </c>
      <c r="D765" t="s">
        <v>66</v>
      </c>
      <c r="E765">
        <v>34</v>
      </c>
      <c r="F765" t="s">
        <v>61</v>
      </c>
      <c r="G765" t="s">
        <v>67</v>
      </c>
      <c r="H765" t="s">
        <v>44</v>
      </c>
      <c r="I765" t="s">
        <v>36</v>
      </c>
      <c r="J765">
        <v>20</v>
      </c>
      <c r="K765" s="5">
        <v>2172.88</v>
      </c>
      <c r="L765" s="5">
        <v>98.36</v>
      </c>
      <c r="M765">
        <v>37</v>
      </c>
      <c r="N765">
        <v>11</v>
      </c>
      <c r="O765">
        <v>2</v>
      </c>
      <c r="P765">
        <v>6</v>
      </c>
      <c r="Q765">
        <v>24</v>
      </c>
      <c r="R765">
        <v>1</v>
      </c>
      <c r="S765">
        <v>0</v>
      </c>
      <c r="T765">
        <v>1</v>
      </c>
      <c r="U765">
        <v>1</v>
      </c>
      <c r="V765">
        <v>1</v>
      </c>
      <c r="W765" t="s">
        <v>55</v>
      </c>
      <c r="X765">
        <v>62</v>
      </c>
      <c r="Y765">
        <v>0</v>
      </c>
      <c r="Z765">
        <f t="shared" si="66"/>
        <v>96</v>
      </c>
      <c r="AA765">
        <f t="shared" si="67"/>
        <v>1.22</v>
      </c>
      <c r="AB765">
        <f t="shared" si="68"/>
        <v>0</v>
      </c>
      <c r="AC765" t="str">
        <f t="shared" si="69"/>
        <v>Low</v>
      </c>
      <c r="AD765" t="str">
        <f t="shared" si="70"/>
        <v>Upsell premium bundle</v>
      </c>
      <c r="AE765">
        <f t="shared" si="71"/>
        <v>4</v>
      </c>
    </row>
    <row r="766" spans="1:31" x14ac:dyDescent="0.35">
      <c r="A766" t="s">
        <v>824</v>
      </c>
      <c r="B766" s="4">
        <v>45224</v>
      </c>
      <c r="C766" s="4">
        <v>46143</v>
      </c>
      <c r="D766" t="s">
        <v>72</v>
      </c>
      <c r="E766">
        <v>67</v>
      </c>
      <c r="F766" t="s">
        <v>57</v>
      </c>
      <c r="G766" t="s">
        <v>67</v>
      </c>
      <c r="H766" t="s">
        <v>41</v>
      </c>
      <c r="I766" t="s">
        <v>36</v>
      </c>
      <c r="J766">
        <v>30</v>
      </c>
      <c r="K766" s="5">
        <v>1821.52</v>
      </c>
      <c r="L766" s="5">
        <v>845.48</v>
      </c>
      <c r="M766">
        <v>17</v>
      </c>
      <c r="N766">
        <v>9</v>
      </c>
      <c r="O766">
        <v>3</v>
      </c>
      <c r="P766">
        <v>1</v>
      </c>
      <c r="Q766">
        <v>17</v>
      </c>
      <c r="R766">
        <v>0</v>
      </c>
      <c r="S766">
        <v>1</v>
      </c>
      <c r="T766">
        <v>1</v>
      </c>
      <c r="U766">
        <v>0</v>
      </c>
      <c r="V766">
        <v>0</v>
      </c>
      <c r="W766" t="s">
        <v>50</v>
      </c>
      <c r="X766">
        <v>64</v>
      </c>
      <c r="Y766">
        <v>1</v>
      </c>
      <c r="Z766">
        <f t="shared" si="66"/>
        <v>45</v>
      </c>
      <c r="AA766">
        <f t="shared" si="67"/>
        <v>0.56666666666666665</v>
      </c>
      <c r="AB766">
        <f t="shared" si="68"/>
        <v>16</v>
      </c>
      <c r="AC766" t="str">
        <f t="shared" si="69"/>
        <v>Low</v>
      </c>
      <c r="AD766" t="str">
        <f t="shared" si="70"/>
        <v>Upsell premium bundle</v>
      </c>
      <c r="AE766">
        <f t="shared" si="71"/>
        <v>55</v>
      </c>
    </row>
    <row r="767" spans="1:31" x14ac:dyDescent="0.35">
      <c r="A767" t="s">
        <v>825</v>
      </c>
      <c r="B767" s="4">
        <v>45025</v>
      </c>
      <c r="C767" s="4">
        <v>46143</v>
      </c>
      <c r="D767" t="s">
        <v>39</v>
      </c>
      <c r="E767">
        <v>51</v>
      </c>
      <c r="F767" t="s">
        <v>57</v>
      </c>
      <c r="G767" t="s">
        <v>85</v>
      </c>
      <c r="H767" t="s">
        <v>41</v>
      </c>
      <c r="I767" t="s">
        <v>36</v>
      </c>
      <c r="J767">
        <v>37</v>
      </c>
      <c r="K767" s="5">
        <v>0</v>
      </c>
      <c r="L767" s="5">
        <v>947.71</v>
      </c>
      <c r="M767">
        <v>38</v>
      </c>
      <c r="N767">
        <v>28</v>
      </c>
      <c r="O767">
        <v>7</v>
      </c>
      <c r="P767">
        <v>2</v>
      </c>
      <c r="Q767">
        <v>32</v>
      </c>
      <c r="R767">
        <v>0</v>
      </c>
      <c r="S767">
        <v>0</v>
      </c>
      <c r="T767">
        <v>1</v>
      </c>
      <c r="U767">
        <v>1</v>
      </c>
      <c r="V767">
        <v>0</v>
      </c>
      <c r="W767" t="s">
        <v>37</v>
      </c>
      <c r="X767">
        <v>91</v>
      </c>
      <c r="Y767">
        <v>0</v>
      </c>
      <c r="Z767">
        <f t="shared" si="66"/>
        <v>100</v>
      </c>
      <c r="AA767">
        <f t="shared" si="67"/>
        <v>1.044776119402985</v>
      </c>
      <c r="AB767">
        <f t="shared" si="68"/>
        <v>0</v>
      </c>
      <c r="AC767" t="str">
        <f t="shared" si="69"/>
        <v>Low</v>
      </c>
      <c r="AD767" t="str">
        <f t="shared" si="70"/>
        <v>Upsell premium bundle</v>
      </c>
      <c r="AE767">
        <f t="shared" si="71"/>
        <v>0</v>
      </c>
    </row>
    <row r="768" spans="1:31" x14ac:dyDescent="0.35">
      <c r="A768" t="s">
        <v>826</v>
      </c>
      <c r="B768" s="4">
        <v>44836</v>
      </c>
      <c r="C768" s="4">
        <v>46143</v>
      </c>
      <c r="D768" t="s">
        <v>39</v>
      </c>
      <c r="E768">
        <v>51</v>
      </c>
      <c r="F768" t="s">
        <v>33</v>
      </c>
      <c r="G768" t="s">
        <v>63</v>
      </c>
      <c r="H768" t="s">
        <v>44</v>
      </c>
      <c r="I768" t="s">
        <v>36</v>
      </c>
      <c r="J768">
        <v>43</v>
      </c>
      <c r="K768" s="5">
        <v>369.84</v>
      </c>
      <c r="L768" s="5">
        <v>258.39</v>
      </c>
      <c r="M768">
        <v>33</v>
      </c>
      <c r="N768">
        <v>10</v>
      </c>
      <c r="O768">
        <v>7</v>
      </c>
      <c r="P768">
        <v>1</v>
      </c>
      <c r="Q768">
        <v>30</v>
      </c>
      <c r="R768">
        <v>0</v>
      </c>
      <c r="S768">
        <v>0</v>
      </c>
      <c r="T768">
        <v>0</v>
      </c>
      <c r="U768">
        <v>1</v>
      </c>
      <c r="V768">
        <v>0</v>
      </c>
      <c r="W768" t="s">
        <v>52</v>
      </c>
      <c r="X768">
        <v>70</v>
      </c>
      <c r="Y768">
        <v>0</v>
      </c>
      <c r="Z768">
        <f t="shared" si="66"/>
        <v>88</v>
      </c>
      <c r="AA768">
        <f t="shared" si="67"/>
        <v>0.86301369863013699</v>
      </c>
      <c r="AB768">
        <f t="shared" si="68"/>
        <v>0</v>
      </c>
      <c r="AC768" t="str">
        <f t="shared" si="69"/>
        <v>Low</v>
      </c>
      <c r="AD768" t="str">
        <f t="shared" si="70"/>
        <v>Upsell premium bundle</v>
      </c>
      <c r="AE768">
        <f t="shared" si="71"/>
        <v>12</v>
      </c>
    </row>
    <row r="769" spans="1:31" x14ac:dyDescent="0.35">
      <c r="A769" t="s">
        <v>827</v>
      </c>
      <c r="B769" s="4">
        <v>44824</v>
      </c>
      <c r="C769" s="4">
        <v>46143</v>
      </c>
      <c r="D769" t="s">
        <v>72</v>
      </c>
      <c r="E769">
        <v>68</v>
      </c>
      <c r="F769" t="s">
        <v>33</v>
      </c>
      <c r="G769" t="s">
        <v>63</v>
      </c>
      <c r="H769" t="s">
        <v>44</v>
      </c>
      <c r="I769" t="s">
        <v>36</v>
      </c>
      <c r="J769">
        <v>43</v>
      </c>
      <c r="K769" s="5">
        <v>544.92999999999995</v>
      </c>
      <c r="L769" s="5">
        <v>299.55</v>
      </c>
      <c r="M769">
        <v>30</v>
      </c>
      <c r="N769">
        <v>8</v>
      </c>
      <c r="O769">
        <v>4</v>
      </c>
      <c r="P769">
        <v>2</v>
      </c>
      <c r="Q769">
        <v>12</v>
      </c>
      <c r="R769">
        <v>2</v>
      </c>
      <c r="S769">
        <v>2</v>
      </c>
      <c r="T769">
        <v>0</v>
      </c>
      <c r="U769">
        <v>1</v>
      </c>
      <c r="V769">
        <v>1</v>
      </c>
      <c r="W769" t="s">
        <v>37</v>
      </c>
      <c r="X769">
        <v>22</v>
      </c>
      <c r="Y769">
        <v>0</v>
      </c>
      <c r="Z769">
        <f t="shared" si="66"/>
        <v>72</v>
      </c>
      <c r="AA769">
        <f t="shared" si="67"/>
        <v>0.57534246575342463</v>
      </c>
      <c r="AB769">
        <f t="shared" si="68"/>
        <v>21</v>
      </c>
      <c r="AC769" t="str">
        <f t="shared" si="69"/>
        <v>Low</v>
      </c>
      <c r="AD769" t="str">
        <f t="shared" si="70"/>
        <v>Upsell premium bundle</v>
      </c>
      <c r="AE769">
        <f t="shared" si="71"/>
        <v>28</v>
      </c>
    </row>
    <row r="770" spans="1:31" x14ac:dyDescent="0.35">
      <c r="A770" t="s">
        <v>828</v>
      </c>
      <c r="B770" s="4">
        <v>45977</v>
      </c>
      <c r="C770" s="4">
        <v>46143</v>
      </c>
      <c r="D770" t="s">
        <v>72</v>
      </c>
      <c r="E770">
        <v>26</v>
      </c>
      <c r="F770" t="s">
        <v>57</v>
      </c>
      <c r="G770" t="s">
        <v>63</v>
      </c>
      <c r="H770" t="s">
        <v>35</v>
      </c>
      <c r="I770" t="s">
        <v>36</v>
      </c>
      <c r="J770">
        <v>5</v>
      </c>
      <c r="K770" s="5">
        <v>2343.67</v>
      </c>
      <c r="L770" s="5">
        <v>332.52</v>
      </c>
      <c r="M770">
        <v>35</v>
      </c>
      <c r="N770">
        <v>8</v>
      </c>
      <c r="O770">
        <v>8</v>
      </c>
      <c r="P770">
        <v>5</v>
      </c>
      <c r="Q770">
        <v>24</v>
      </c>
      <c r="R770">
        <v>0</v>
      </c>
      <c r="S770">
        <v>1</v>
      </c>
      <c r="T770">
        <v>1</v>
      </c>
      <c r="U770">
        <v>0</v>
      </c>
      <c r="V770">
        <v>0</v>
      </c>
      <c r="W770" t="s">
        <v>45</v>
      </c>
      <c r="X770">
        <v>46</v>
      </c>
      <c r="Y770">
        <v>0</v>
      </c>
      <c r="Z770">
        <f t="shared" ref="Z770:Z833" si="72">MIN(100,ROUND((M770*1.1+N770*0.7+O770*1.2+P770*1.4+Q770*0.9+U770*8+V770*7),0))</f>
        <v>82</v>
      </c>
      <c r="AA770">
        <f t="shared" ref="AA770:AA833" si="73">IFERROR((M770+Q770)/(30+J770),0)</f>
        <v>1.6857142857142857</v>
      </c>
      <c r="AB770">
        <f t="shared" ref="AB770:AB833" si="74">ROUND(MIN(100,MAX(0,60-Z770*0.4-R770*1.5+S770*8-IF(L770&gt;1500,10,0)-X770*0.5+IF(I770="Completed",-8,8)+IF(H770="Free",6,-4))),0)</f>
        <v>0</v>
      </c>
      <c r="AC770" t="str">
        <f t="shared" ref="AC770:AC833" si="75">IF(AB770&gt;=70,"High",IF(AB770&gt;=40,"Medium","Low"))</f>
        <v>Low</v>
      </c>
      <c r="AD770" t="str">
        <f t="shared" ref="AD770:AD833" si="76">IF(AC770="High",IF(Q770&lt;5,"Re-engage with app usage offer",IF(K770&lt;100,"Deposit incentive","Retention call")),IF(AC770="Medium","Nudge core feature adoption","Upsell premium bundle"))</f>
        <v>Upsell premium bundle</v>
      </c>
      <c r="AE770">
        <f t="shared" ref="AE770:AE833" si="77">100-Z770</f>
        <v>18</v>
      </c>
    </row>
    <row r="771" spans="1:31" x14ac:dyDescent="0.35">
      <c r="A771" t="s">
        <v>829</v>
      </c>
      <c r="B771" s="4">
        <v>45414</v>
      </c>
      <c r="C771" s="4">
        <v>46143</v>
      </c>
      <c r="D771" t="s">
        <v>60</v>
      </c>
      <c r="E771">
        <v>55</v>
      </c>
      <c r="F771" t="s">
        <v>61</v>
      </c>
      <c r="G771" t="s">
        <v>40</v>
      </c>
      <c r="H771" t="s">
        <v>58</v>
      </c>
      <c r="I771" t="s">
        <v>36</v>
      </c>
      <c r="J771">
        <v>24</v>
      </c>
      <c r="K771" s="5">
        <v>5085.49</v>
      </c>
      <c r="L771" s="5">
        <v>2543.44</v>
      </c>
      <c r="M771">
        <v>26</v>
      </c>
      <c r="N771">
        <v>9</v>
      </c>
      <c r="O771">
        <v>4</v>
      </c>
      <c r="P771">
        <v>0</v>
      </c>
      <c r="Q771">
        <v>19</v>
      </c>
      <c r="R771">
        <v>1</v>
      </c>
      <c r="S771">
        <v>0</v>
      </c>
      <c r="T771">
        <v>1</v>
      </c>
      <c r="U771">
        <v>1</v>
      </c>
      <c r="V771">
        <v>0</v>
      </c>
      <c r="W771" t="s">
        <v>55</v>
      </c>
      <c r="X771">
        <v>10</v>
      </c>
      <c r="Y771">
        <v>0</v>
      </c>
      <c r="Z771">
        <f t="shared" si="72"/>
        <v>65</v>
      </c>
      <c r="AA771">
        <f t="shared" si="73"/>
        <v>0.83333333333333337</v>
      </c>
      <c r="AB771">
        <f t="shared" si="74"/>
        <v>6</v>
      </c>
      <c r="AC771" t="str">
        <f t="shared" si="75"/>
        <v>Low</v>
      </c>
      <c r="AD771" t="str">
        <f t="shared" si="76"/>
        <v>Upsell premium bundle</v>
      </c>
      <c r="AE771">
        <f t="shared" si="77"/>
        <v>35</v>
      </c>
    </row>
    <row r="772" spans="1:31" x14ac:dyDescent="0.35">
      <c r="A772" t="s">
        <v>830</v>
      </c>
      <c r="B772" s="4">
        <v>45518</v>
      </c>
      <c r="C772" s="4">
        <v>46143</v>
      </c>
      <c r="D772" t="s">
        <v>47</v>
      </c>
      <c r="E772">
        <v>71</v>
      </c>
      <c r="F772" t="s">
        <v>43</v>
      </c>
      <c r="G772" t="s">
        <v>67</v>
      </c>
      <c r="H772" t="s">
        <v>58</v>
      </c>
      <c r="I772" t="s">
        <v>36</v>
      </c>
      <c r="J772">
        <v>20</v>
      </c>
      <c r="K772" s="5">
        <v>0</v>
      </c>
      <c r="L772" s="5">
        <v>45.08</v>
      </c>
      <c r="M772">
        <v>28</v>
      </c>
      <c r="N772">
        <v>19</v>
      </c>
      <c r="O772">
        <v>6</v>
      </c>
      <c r="P772">
        <v>1</v>
      </c>
      <c r="Q772">
        <v>26</v>
      </c>
      <c r="R772">
        <v>0</v>
      </c>
      <c r="S772">
        <v>0</v>
      </c>
      <c r="T772">
        <v>0</v>
      </c>
      <c r="U772">
        <v>1</v>
      </c>
      <c r="V772">
        <v>0</v>
      </c>
      <c r="W772" t="s">
        <v>50</v>
      </c>
      <c r="X772">
        <v>30</v>
      </c>
      <c r="Y772">
        <v>0</v>
      </c>
      <c r="Z772">
        <f t="shared" si="72"/>
        <v>84</v>
      </c>
      <c r="AA772">
        <f t="shared" si="73"/>
        <v>1.08</v>
      </c>
      <c r="AB772">
        <f t="shared" si="74"/>
        <v>0</v>
      </c>
      <c r="AC772" t="str">
        <f t="shared" si="75"/>
        <v>Low</v>
      </c>
      <c r="AD772" t="str">
        <f t="shared" si="76"/>
        <v>Upsell premium bundle</v>
      </c>
      <c r="AE772">
        <f t="shared" si="77"/>
        <v>16</v>
      </c>
    </row>
    <row r="773" spans="1:31" x14ac:dyDescent="0.35">
      <c r="A773" t="s">
        <v>831</v>
      </c>
      <c r="B773" s="4">
        <v>45987</v>
      </c>
      <c r="C773" s="4">
        <v>46143</v>
      </c>
      <c r="D773" t="s">
        <v>66</v>
      </c>
      <c r="E773">
        <v>36</v>
      </c>
      <c r="F773" t="s">
        <v>57</v>
      </c>
      <c r="G773" t="s">
        <v>63</v>
      </c>
      <c r="H773" t="s">
        <v>41</v>
      </c>
      <c r="I773" t="s">
        <v>36</v>
      </c>
      <c r="J773">
        <v>5</v>
      </c>
      <c r="K773" s="5">
        <v>0</v>
      </c>
      <c r="L773" s="5">
        <v>0</v>
      </c>
      <c r="M773">
        <v>20</v>
      </c>
      <c r="N773">
        <v>9</v>
      </c>
      <c r="O773">
        <v>1</v>
      </c>
      <c r="P773">
        <v>0</v>
      </c>
      <c r="Q773">
        <v>7</v>
      </c>
      <c r="R773">
        <v>3</v>
      </c>
      <c r="S773">
        <v>1</v>
      </c>
      <c r="T773">
        <v>0</v>
      </c>
      <c r="U773">
        <v>0</v>
      </c>
      <c r="V773">
        <v>1</v>
      </c>
      <c r="W773" t="s">
        <v>52</v>
      </c>
      <c r="X773">
        <v>39</v>
      </c>
      <c r="Y773">
        <v>1</v>
      </c>
      <c r="Z773">
        <f t="shared" si="72"/>
        <v>43</v>
      </c>
      <c r="AA773">
        <f t="shared" si="73"/>
        <v>0.77142857142857146</v>
      </c>
      <c r="AB773">
        <f t="shared" si="74"/>
        <v>25</v>
      </c>
      <c r="AC773" t="str">
        <f t="shared" si="75"/>
        <v>Low</v>
      </c>
      <c r="AD773" t="str">
        <f t="shared" si="76"/>
        <v>Upsell premium bundle</v>
      </c>
      <c r="AE773">
        <f t="shared" si="77"/>
        <v>57</v>
      </c>
    </row>
    <row r="774" spans="1:31" x14ac:dyDescent="0.35">
      <c r="A774" t="s">
        <v>832</v>
      </c>
      <c r="B774" s="4">
        <v>45526</v>
      </c>
      <c r="C774" s="4">
        <v>46143</v>
      </c>
      <c r="D774" t="s">
        <v>47</v>
      </c>
      <c r="E774">
        <v>72</v>
      </c>
      <c r="F774" t="s">
        <v>57</v>
      </c>
      <c r="G774" t="s">
        <v>85</v>
      </c>
      <c r="H774" t="s">
        <v>41</v>
      </c>
      <c r="I774" t="s">
        <v>36</v>
      </c>
      <c r="J774">
        <v>20</v>
      </c>
      <c r="K774" s="5">
        <v>1514.96</v>
      </c>
      <c r="L774" s="5">
        <v>436.33</v>
      </c>
      <c r="M774">
        <v>20</v>
      </c>
      <c r="N774">
        <v>13</v>
      </c>
      <c r="O774">
        <v>4</v>
      </c>
      <c r="P774">
        <v>4</v>
      </c>
      <c r="Q774">
        <v>9</v>
      </c>
      <c r="R774">
        <v>0</v>
      </c>
      <c r="S774">
        <v>0</v>
      </c>
      <c r="T774">
        <v>1</v>
      </c>
      <c r="U774">
        <v>1</v>
      </c>
      <c r="V774">
        <v>1</v>
      </c>
      <c r="W774" t="s">
        <v>37</v>
      </c>
      <c r="X774">
        <v>39</v>
      </c>
      <c r="Y774">
        <v>0</v>
      </c>
      <c r="Z774">
        <f t="shared" si="72"/>
        <v>65</v>
      </c>
      <c r="AA774">
        <f t="shared" si="73"/>
        <v>0.57999999999999996</v>
      </c>
      <c r="AB774">
        <f t="shared" si="74"/>
        <v>13</v>
      </c>
      <c r="AC774" t="str">
        <f t="shared" si="75"/>
        <v>Low</v>
      </c>
      <c r="AD774" t="str">
        <f t="shared" si="76"/>
        <v>Upsell premium bundle</v>
      </c>
      <c r="AE774">
        <f t="shared" si="77"/>
        <v>35</v>
      </c>
    </row>
    <row r="775" spans="1:31" x14ac:dyDescent="0.35">
      <c r="A775" t="s">
        <v>833</v>
      </c>
      <c r="B775" s="4">
        <v>45547</v>
      </c>
      <c r="C775" s="4">
        <v>46143</v>
      </c>
      <c r="D775" t="s">
        <v>32</v>
      </c>
      <c r="E775">
        <v>72</v>
      </c>
      <c r="F775" t="s">
        <v>33</v>
      </c>
      <c r="G775" t="s">
        <v>67</v>
      </c>
      <c r="H775" t="s">
        <v>58</v>
      </c>
      <c r="I775" t="s">
        <v>36</v>
      </c>
      <c r="J775">
        <v>19</v>
      </c>
      <c r="K775" s="5">
        <v>686.84</v>
      </c>
      <c r="L775" s="5">
        <v>352.85</v>
      </c>
      <c r="M775">
        <v>7</v>
      </c>
      <c r="N775">
        <v>5</v>
      </c>
      <c r="O775">
        <v>1</v>
      </c>
      <c r="P775">
        <v>1</v>
      </c>
      <c r="Q775">
        <v>19</v>
      </c>
      <c r="R775">
        <v>0</v>
      </c>
      <c r="S775">
        <v>1</v>
      </c>
      <c r="T775">
        <v>0</v>
      </c>
      <c r="U775">
        <v>0</v>
      </c>
      <c r="V775">
        <v>1</v>
      </c>
      <c r="W775" t="s">
        <v>45</v>
      </c>
      <c r="X775">
        <v>27</v>
      </c>
      <c r="Y775">
        <v>1</v>
      </c>
      <c r="Z775">
        <f t="shared" si="72"/>
        <v>38</v>
      </c>
      <c r="AA775">
        <f t="shared" si="73"/>
        <v>0.53061224489795922</v>
      </c>
      <c r="AB775">
        <f t="shared" si="74"/>
        <v>27</v>
      </c>
      <c r="AC775" t="str">
        <f t="shared" si="75"/>
        <v>Low</v>
      </c>
      <c r="AD775" t="str">
        <f t="shared" si="76"/>
        <v>Upsell premium bundle</v>
      </c>
      <c r="AE775">
        <f t="shared" si="77"/>
        <v>62</v>
      </c>
    </row>
    <row r="776" spans="1:31" x14ac:dyDescent="0.35">
      <c r="A776" t="s">
        <v>834</v>
      </c>
      <c r="B776" s="4">
        <v>45399</v>
      </c>
      <c r="C776" s="4">
        <v>46143</v>
      </c>
      <c r="D776" t="s">
        <v>32</v>
      </c>
      <c r="E776">
        <v>20</v>
      </c>
      <c r="F776" t="s">
        <v>61</v>
      </c>
      <c r="G776" t="s">
        <v>48</v>
      </c>
      <c r="H776" t="s">
        <v>35</v>
      </c>
      <c r="I776" t="s">
        <v>36</v>
      </c>
      <c r="J776">
        <v>24</v>
      </c>
      <c r="K776" s="5">
        <v>2152.4</v>
      </c>
      <c r="L776" s="5">
        <v>2681.19</v>
      </c>
      <c r="M776">
        <v>25</v>
      </c>
      <c r="N776">
        <v>14</v>
      </c>
      <c r="O776">
        <v>6</v>
      </c>
      <c r="P776">
        <v>3</v>
      </c>
      <c r="Q776">
        <v>29</v>
      </c>
      <c r="R776">
        <v>2</v>
      </c>
      <c r="S776">
        <v>1</v>
      </c>
      <c r="T776">
        <v>1</v>
      </c>
      <c r="U776">
        <v>0</v>
      </c>
      <c r="V776">
        <v>0</v>
      </c>
      <c r="W776" t="s">
        <v>45</v>
      </c>
      <c r="X776">
        <v>14</v>
      </c>
      <c r="Y776">
        <v>0</v>
      </c>
      <c r="Z776">
        <f t="shared" si="72"/>
        <v>75</v>
      </c>
      <c r="AA776">
        <f t="shared" si="73"/>
        <v>1</v>
      </c>
      <c r="AB776">
        <f t="shared" si="74"/>
        <v>6</v>
      </c>
      <c r="AC776" t="str">
        <f t="shared" si="75"/>
        <v>Low</v>
      </c>
      <c r="AD776" t="str">
        <f t="shared" si="76"/>
        <v>Upsell premium bundle</v>
      </c>
      <c r="AE776">
        <f t="shared" si="77"/>
        <v>25</v>
      </c>
    </row>
    <row r="777" spans="1:31" x14ac:dyDescent="0.35">
      <c r="A777" t="s">
        <v>835</v>
      </c>
      <c r="B777" s="4">
        <v>45939</v>
      </c>
      <c r="C777" s="4">
        <v>46143</v>
      </c>
      <c r="D777" t="s">
        <v>47</v>
      </c>
      <c r="E777">
        <v>42</v>
      </c>
      <c r="F777" t="s">
        <v>43</v>
      </c>
      <c r="G777" t="s">
        <v>85</v>
      </c>
      <c r="H777" t="s">
        <v>41</v>
      </c>
      <c r="I777" t="s">
        <v>54</v>
      </c>
      <c r="J777">
        <v>6</v>
      </c>
      <c r="K777" s="5">
        <v>75.08</v>
      </c>
      <c r="L777" s="5">
        <v>84.54</v>
      </c>
      <c r="M777">
        <v>16</v>
      </c>
      <c r="N777">
        <v>10</v>
      </c>
      <c r="O777">
        <v>2</v>
      </c>
      <c r="P777">
        <v>1</v>
      </c>
      <c r="Q777">
        <v>4</v>
      </c>
      <c r="R777">
        <v>2</v>
      </c>
      <c r="S777">
        <v>2</v>
      </c>
      <c r="T777">
        <v>1</v>
      </c>
      <c r="U777">
        <v>0</v>
      </c>
      <c r="V777">
        <v>0</v>
      </c>
      <c r="W777" t="s">
        <v>50</v>
      </c>
      <c r="X777">
        <v>-28</v>
      </c>
      <c r="Y777">
        <v>1</v>
      </c>
      <c r="Z777">
        <f t="shared" si="72"/>
        <v>32</v>
      </c>
      <c r="AA777">
        <f t="shared" si="73"/>
        <v>0.55555555555555558</v>
      </c>
      <c r="AB777">
        <f t="shared" si="74"/>
        <v>88</v>
      </c>
      <c r="AC777" t="str">
        <f t="shared" si="75"/>
        <v>High</v>
      </c>
      <c r="AD777" t="str">
        <f t="shared" si="76"/>
        <v>Re-engage with app usage offer</v>
      </c>
      <c r="AE777">
        <f t="shared" si="77"/>
        <v>68</v>
      </c>
    </row>
    <row r="778" spans="1:31" x14ac:dyDescent="0.35">
      <c r="A778" t="s">
        <v>836</v>
      </c>
      <c r="B778" s="4">
        <v>45754</v>
      </c>
      <c r="C778" s="4">
        <v>46143</v>
      </c>
      <c r="D778" t="s">
        <v>39</v>
      </c>
      <c r="E778">
        <v>50</v>
      </c>
      <c r="F778" t="s">
        <v>57</v>
      </c>
      <c r="G778" t="s">
        <v>34</v>
      </c>
      <c r="H778" t="s">
        <v>44</v>
      </c>
      <c r="I778" t="s">
        <v>36</v>
      </c>
      <c r="J778">
        <v>12</v>
      </c>
      <c r="K778" s="5">
        <v>839.81</v>
      </c>
      <c r="L778" s="5">
        <v>1028.1199999999999</v>
      </c>
      <c r="M778">
        <v>34</v>
      </c>
      <c r="N778">
        <v>9</v>
      </c>
      <c r="O778">
        <v>3</v>
      </c>
      <c r="P778">
        <v>7</v>
      </c>
      <c r="Q778">
        <v>22</v>
      </c>
      <c r="R778">
        <v>4</v>
      </c>
      <c r="S778">
        <v>1</v>
      </c>
      <c r="T778">
        <v>1</v>
      </c>
      <c r="U778">
        <v>1</v>
      </c>
      <c r="V778">
        <v>1</v>
      </c>
      <c r="W778" t="s">
        <v>37</v>
      </c>
      <c r="X778">
        <v>56</v>
      </c>
      <c r="Y778">
        <v>0</v>
      </c>
      <c r="Z778">
        <f t="shared" si="72"/>
        <v>92</v>
      </c>
      <c r="AA778">
        <f t="shared" si="73"/>
        <v>1.3333333333333333</v>
      </c>
      <c r="AB778">
        <f t="shared" si="74"/>
        <v>0</v>
      </c>
      <c r="AC778" t="str">
        <f t="shared" si="75"/>
        <v>Low</v>
      </c>
      <c r="AD778" t="str">
        <f t="shared" si="76"/>
        <v>Upsell premium bundle</v>
      </c>
      <c r="AE778">
        <f t="shared" si="77"/>
        <v>8</v>
      </c>
    </row>
    <row r="779" spans="1:31" x14ac:dyDescent="0.35">
      <c r="A779" t="s">
        <v>837</v>
      </c>
      <c r="B779" s="4">
        <v>45361</v>
      </c>
      <c r="C779" s="4">
        <v>46143</v>
      </c>
      <c r="D779" t="s">
        <v>66</v>
      </c>
      <c r="E779">
        <v>72</v>
      </c>
      <c r="F779" t="s">
        <v>33</v>
      </c>
      <c r="G779" t="s">
        <v>67</v>
      </c>
      <c r="H779" t="s">
        <v>41</v>
      </c>
      <c r="I779" t="s">
        <v>36</v>
      </c>
      <c r="J779">
        <v>26</v>
      </c>
      <c r="K779" s="5">
        <v>0</v>
      </c>
      <c r="L779" s="5">
        <v>267.52</v>
      </c>
      <c r="M779">
        <v>33</v>
      </c>
      <c r="N779">
        <v>17</v>
      </c>
      <c r="O779">
        <v>8</v>
      </c>
      <c r="P779">
        <v>4</v>
      </c>
      <c r="Q779">
        <v>19</v>
      </c>
      <c r="R779">
        <v>3</v>
      </c>
      <c r="S779">
        <v>0</v>
      </c>
      <c r="T779">
        <v>1</v>
      </c>
      <c r="U779">
        <v>0</v>
      </c>
      <c r="V779">
        <v>1</v>
      </c>
      <c r="W779" t="s">
        <v>50</v>
      </c>
      <c r="X779">
        <v>18</v>
      </c>
      <c r="Y779">
        <v>0</v>
      </c>
      <c r="Z779">
        <f t="shared" si="72"/>
        <v>88</v>
      </c>
      <c r="AA779">
        <f t="shared" si="73"/>
        <v>0.9285714285714286</v>
      </c>
      <c r="AB779">
        <f t="shared" si="74"/>
        <v>9</v>
      </c>
      <c r="AC779" t="str">
        <f t="shared" si="75"/>
        <v>Low</v>
      </c>
      <c r="AD779" t="str">
        <f t="shared" si="76"/>
        <v>Upsell premium bundle</v>
      </c>
      <c r="AE779">
        <f t="shared" si="77"/>
        <v>12</v>
      </c>
    </row>
    <row r="780" spans="1:31" x14ac:dyDescent="0.35">
      <c r="A780" t="s">
        <v>838</v>
      </c>
      <c r="B780" s="4">
        <v>44852</v>
      </c>
      <c r="C780" s="4">
        <v>46143</v>
      </c>
      <c r="D780" t="s">
        <v>39</v>
      </c>
      <c r="E780">
        <v>21</v>
      </c>
      <c r="F780" t="s">
        <v>61</v>
      </c>
      <c r="G780" t="s">
        <v>67</v>
      </c>
      <c r="H780" t="s">
        <v>58</v>
      </c>
      <c r="I780" t="s">
        <v>36</v>
      </c>
      <c r="J780">
        <v>43</v>
      </c>
      <c r="K780" s="5">
        <v>3747.99</v>
      </c>
      <c r="L780" s="5">
        <v>2934.47</v>
      </c>
      <c r="M780">
        <v>44</v>
      </c>
      <c r="N780">
        <v>25</v>
      </c>
      <c r="O780">
        <v>9</v>
      </c>
      <c r="P780">
        <v>5</v>
      </c>
      <c r="Q780">
        <v>40</v>
      </c>
      <c r="R780">
        <v>0</v>
      </c>
      <c r="S780">
        <v>0</v>
      </c>
      <c r="T780">
        <v>1</v>
      </c>
      <c r="U780">
        <v>1</v>
      </c>
      <c r="V780">
        <v>0</v>
      </c>
      <c r="W780" t="s">
        <v>50</v>
      </c>
      <c r="X780">
        <v>69</v>
      </c>
      <c r="Y780">
        <v>0</v>
      </c>
      <c r="Z780">
        <f t="shared" si="72"/>
        <v>100</v>
      </c>
      <c r="AA780">
        <f t="shared" si="73"/>
        <v>1.1506849315068493</v>
      </c>
      <c r="AB780">
        <f t="shared" si="74"/>
        <v>0</v>
      </c>
      <c r="AC780" t="str">
        <f t="shared" si="75"/>
        <v>Low</v>
      </c>
      <c r="AD780" t="str">
        <f t="shared" si="76"/>
        <v>Upsell premium bundle</v>
      </c>
      <c r="AE780">
        <f t="shared" si="77"/>
        <v>0</v>
      </c>
    </row>
    <row r="781" spans="1:31" x14ac:dyDescent="0.35">
      <c r="A781" t="s">
        <v>839</v>
      </c>
      <c r="B781" s="4">
        <v>45925</v>
      </c>
      <c r="C781" s="4">
        <v>46143</v>
      </c>
      <c r="D781" t="s">
        <v>32</v>
      </c>
      <c r="E781">
        <v>49</v>
      </c>
      <c r="F781" t="s">
        <v>43</v>
      </c>
      <c r="G781" t="s">
        <v>67</v>
      </c>
      <c r="H781" t="s">
        <v>41</v>
      </c>
      <c r="I781" t="s">
        <v>36</v>
      </c>
      <c r="J781">
        <v>7</v>
      </c>
      <c r="K781" s="5">
        <v>130.28</v>
      </c>
      <c r="L781" s="5">
        <v>109.34</v>
      </c>
      <c r="M781">
        <v>10</v>
      </c>
      <c r="N781">
        <v>2</v>
      </c>
      <c r="O781">
        <v>2</v>
      </c>
      <c r="P781">
        <v>0</v>
      </c>
      <c r="Q781">
        <v>11</v>
      </c>
      <c r="R781">
        <v>1</v>
      </c>
      <c r="S781">
        <v>2</v>
      </c>
      <c r="T781">
        <v>0</v>
      </c>
      <c r="U781">
        <v>0</v>
      </c>
      <c r="V781">
        <v>1</v>
      </c>
      <c r="W781" t="s">
        <v>37</v>
      </c>
      <c r="X781">
        <v>-9</v>
      </c>
      <c r="Y781">
        <v>1</v>
      </c>
      <c r="Z781">
        <f t="shared" si="72"/>
        <v>32</v>
      </c>
      <c r="AA781">
        <f t="shared" si="73"/>
        <v>0.56756756756756754</v>
      </c>
      <c r="AB781">
        <f t="shared" si="74"/>
        <v>64</v>
      </c>
      <c r="AC781" t="str">
        <f t="shared" si="75"/>
        <v>Medium</v>
      </c>
      <c r="AD781" t="str">
        <f t="shared" si="76"/>
        <v>Nudge core feature adoption</v>
      </c>
      <c r="AE781">
        <f t="shared" si="77"/>
        <v>68</v>
      </c>
    </row>
    <row r="782" spans="1:31" x14ac:dyDescent="0.35">
      <c r="A782" t="s">
        <v>840</v>
      </c>
      <c r="B782" s="4">
        <v>45814</v>
      </c>
      <c r="C782" s="4">
        <v>46143</v>
      </c>
      <c r="D782" t="s">
        <v>60</v>
      </c>
      <c r="E782">
        <v>58</v>
      </c>
      <c r="F782" t="s">
        <v>43</v>
      </c>
      <c r="G782" t="s">
        <v>40</v>
      </c>
      <c r="H782" t="s">
        <v>41</v>
      </c>
      <c r="I782" t="s">
        <v>36</v>
      </c>
      <c r="J782">
        <v>10</v>
      </c>
      <c r="K782" s="5">
        <v>30.83</v>
      </c>
      <c r="L782" s="5">
        <v>35.39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55</v>
      </c>
      <c r="X782">
        <v>18</v>
      </c>
      <c r="Y782">
        <v>0</v>
      </c>
      <c r="Z782">
        <f t="shared" si="72"/>
        <v>1</v>
      </c>
      <c r="AA782">
        <f t="shared" si="73"/>
        <v>2.5000000000000001E-2</v>
      </c>
      <c r="AB782">
        <f t="shared" si="74"/>
        <v>49</v>
      </c>
      <c r="AC782" t="str">
        <f t="shared" si="75"/>
        <v>Medium</v>
      </c>
      <c r="AD782" t="str">
        <f t="shared" si="76"/>
        <v>Nudge core feature adoption</v>
      </c>
      <c r="AE782">
        <f t="shared" si="77"/>
        <v>99</v>
      </c>
    </row>
    <row r="783" spans="1:31" x14ac:dyDescent="0.35">
      <c r="A783" t="s">
        <v>841</v>
      </c>
      <c r="B783" s="4">
        <v>45271</v>
      </c>
      <c r="C783" s="4">
        <v>46143</v>
      </c>
      <c r="D783" t="s">
        <v>39</v>
      </c>
      <c r="E783">
        <v>50</v>
      </c>
      <c r="F783" t="s">
        <v>33</v>
      </c>
      <c r="G783" t="s">
        <v>48</v>
      </c>
      <c r="H783" t="s">
        <v>41</v>
      </c>
      <c r="I783" t="s">
        <v>36</v>
      </c>
      <c r="J783">
        <v>29</v>
      </c>
      <c r="K783" s="5">
        <v>336.14</v>
      </c>
      <c r="L783" s="5">
        <v>27.71</v>
      </c>
      <c r="M783">
        <v>32</v>
      </c>
      <c r="N783">
        <v>11</v>
      </c>
      <c r="O783">
        <v>2</v>
      </c>
      <c r="P783">
        <v>2</v>
      </c>
      <c r="Q783">
        <v>10</v>
      </c>
      <c r="R783">
        <v>0</v>
      </c>
      <c r="S783">
        <v>0</v>
      </c>
      <c r="T783">
        <v>1</v>
      </c>
      <c r="U783">
        <v>0</v>
      </c>
      <c r="V783">
        <v>1</v>
      </c>
      <c r="W783" t="s">
        <v>45</v>
      </c>
      <c r="X783">
        <v>24</v>
      </c>
      <c r="Y783">
        <v>0</v>
      </c>
      <c r="Z783">
        <f t="shared" si="72"/>
        <v>64</v>
      </c>
      <c r="AA783">
        <f t="shared" si="73"/>
        <v>0.71186440677966101</v>
      </c>
      <c r="AB783">
        <f t="shared" si="74"/>
        <v>20</v>
      </c>
      <c r="AC783" t="str">
        <f t="shared" si="75"/>
        <v>Low</v>
      </c>
      <c r="AD783" t="str">
        <f t="shared" si="76"/>
        <v>Upsell premium bundle</v>
      </c>
      <c r="AE783">
        <f t="shared" si="77"/>
        <v>36</v>
      </c>
    </row>
    <row r="784" spans="1:31" x14ac:dyDescent="0.35">
      <c r="A784" t="s">
        <v>842</v>
      </c>
      <c r="B784" s="4">
        <v>45832</v>
      </c>
      <c r="C784" s="4">
        <v>46143</v>
      </c>
      <c r="D784" t="s">
        <v>60</v>
      </c>
      <c r="E784">
        <v>30</v>
      </c>
      <c r="F784" t="s">
        <v>57</v>
      </c>
      <c r="G784" t="s">
        <v>48</v>
      </c>
      <c r="H784" t="s">
        <v>41</v>
      </c>
      <c r="I784" t="s">
        <v>49</v>
      </c>
      <c r="J784">
        <v>10</v>
      </c>
      <c r="K784" s="5">
        <v>1146.3699999999999</v>
      </c>
      <c r="L784" s="5">
        <v>518.03</v>
      </c>
      <c r="M784">
        <v>19</v>
      </c>
      <c r="N784">
        <v>10</v>
      </c>
      <c r="O784">
        <v>4</v>
      </c>
      <c r="P784">
        <v>3</v>
      </c>
      <c r="Q784">
        <v>9</v>
      </c>
      <c r="R784">
        <v>1</v>
      </c>
      <c r="S784">
        <v>0</v>
      </c>
      <c r="T784">
        <v>1</v>
      </c>
      <c r="U784">
        <v>0</v>
      </c>
      <c r="V784">
        <v>0</v>
      </c>
      <c r="W784" t="s">
        <v>37</v>
      </c>
      <c r="X784">
        <v>49</v>
      </c>
      <c r="Y784">
        <v>1</v>
      </c>
      <c r="Z784">
        <f t="shared" si="72"/>
        <v>45</v>
      </c>
      <c r="AA784">
        <f t="shared" si="73"/>
        <v>0.7</v>
      </c>
      <c r="AB784">
        <f t="shared" si="74"/>
        <v>30</v>
      </c>
      <c r="AC784" t="str">
        <f t="shared" si="75"/>
        <v>Low</v>
      </c>
      <c r="AD784" t="str">
        <f t="shared" si="76"/>
        <v>Upsell premium bundle</v>
      </c>
      <c r="AE784">
        <f t="shared" si="77"/>
        <v>55</v>
      </c>
    </row>
    <row r="785" spans="1:31" x14ac:dyDescent="0.35">
      <c r="A785" t="s">
        <v>843</v>
      </c>
      <c r="B785" s="4">
        <v>45644</v>
      </c>
      <c r="C785" s="4">
        <v>46143</v>
      </c>
      <c r="D785" t="s">
        <v>72</v>
      </c>
      <c r="E785">
        <v>63</v>
      </c>
      <c r="F785" t="s">
        <v>33</v>
      </c>
      <c r="G785" t="s">
        <v>34</v>
      </c>
      <c r="H785" t="s">
        <v>41</v>
      </c>
      <c r="I785" t="s">
        <v>49</v>
      </c>
      <c r="J785">
        <v>16</v>
      </c>
      <c r="K785" s="5">
        <v>491.1</v>
      </c>
      <c r="L785" s="5">
        <v>212.69</v>
      </c>
      <c r="M785">
        <v>21</v>
      </c>
      <c r="N785">
        <v>13</v>
      </c>
      <c r="O785">
        <v>5</v>
      </c>
      <c r="P785">
        <v>3</v>
      </c>
      <c r="Q785">
        <v>9</v>
      </c>
      <c r="R785">
        <v>0</v>
      </c>
      <c r="S785">
        <v>1</v>
      </c>
      <c r="T785">
        <v>1</v>
      </c>
      <c r="U785">
        <v>0</v>
      </c>
      <c r="V785">
        <v>1</v>
      </c>
      <c r="W785" t="s">
        <v>50</v>
      </c>
      <c r="X785">
        <v>-34</v>
      </c>
      <c r="Y785">
        <v>1</v>
      </c>
      <c r="Z785">
        <f t="shared" si="72"/>
        <v>58</v>
      </c>
      <c r="AA785">
        <f t="shared" si="73"/>
        <v>0.65217391304347827</v>
      </c>
      <c r="AB785">
        <f t="shared" si="74"/>
        <v>76</v>
      </c>
      <c r="AC785" t="str">
        <f t="shared" si="75"/>
        <v>High</v>
      </c>
      <c r="AD785" t="str">
        <f t="shared" si="76"/>
        <v>Retention call</v>
      </c>
      <c r="AE785">
        <f t="shared" si="77"/>
        <v>42</v>
      </c>
    </row>
    <row r="786" spans="1:31" x14ac:dyDescent="0.35">
      <c r="A786" t="s">
        <v>844</v>
      </c>
      <c r="B786" s="4">
        <v>44811</v>
      </c>
      <c r="C786" s="4">
        <v>46143</v>
      </c>
      <c r="D786" t="s">
        <v>60</v>
      </c>
      <c r="E786">
        <v>28</v>
      </c>
      <c r="F786" t="s">
        <v>33</v>
      </c>
      <c r="G786" t="s">
        <v>67</v>
      </c>
      <c r="H786" t="s">
        <v>35</v>
      </c>
      <c r="I786" t="s">
        <v>36</v>
      </c>
      <c r="J786">
        <v>44</v>
      </c>
      <c r="K786" s="5">
        <v>336.85</v>
      </c>
      <c r="L786" s="5">
        <v>0</v>
      </c>
      <c r="M786">
        <v>22</v>
      </c>
      <c r="N786">
        <v>5</v>
      </c>
      <c r="O786">
        <v>4</v>
      </c>
      <c r="P786">
        <v>2</v>
      </c>
      <c r="Q786">
        <v>24</v>
      </c>
      <c r="R786">
        <v>3</v>
      </c>
      <c r="S786">
        <v>1</v>
      </c>
      <c r="T786">
        <v>0</v>
      </c>
      <c r="U786">
        <v>1</v>
      </c>
      <c r="V786">
        <v>0</v>
      </c>
      <c r="W786" t="s">
        <v>45</v>
      </c>
      <c r="X786">
        <v>36</v>
      </c>
      <c r="Y786">
        <v>0</v>
      </c>
      <c r="Z786">
        <f t="shared" si="72"/>
        <v>65</v>
      </c>
      <c r="AA786">
        <f t="shared" si="73"/>
        <v>0.6216216216216216</v>
      </c>
      <c r="AB786">
        <f t="shared" si="74"/>
        <v>8</v>
      </c>
      <c r="AC786" t="str">
        <f t="shared" si="75"/>
        <v>Low</v>
      </c>
      <c r="AD786" t="str">
        <f t="shared" si="76"/>
        <v>Upsell premium bundle</v>
      </c>
      <c r="AE786">
        <f t="shared" si="77"/>
        <v>35</v>
      </c>
    </row>
    <row r="787" spans="1:31" x14ac:dyDescent="0.35">
      <c r="A787" t="s">
        <v>845</v>
      </c>
      <c r="B787" s="4">
        <v>45811</v>
      </c>
      <c r="C787" s="4">
        <v>46143</v>
      </c>
      <c r="D787" t="s">
        <v>32</v>
      </c>
      <c r="E787">
        <v>67</v>
      </c>
      <c r="F787" t="s">
        <v>33</v>
      </c>
      <c r="G787" t="s">
        <v>63</v>
      </c>
      <c r="H787" t="s">
        <v>41</v>
      </c>
      <c r="I787" t="s">
        <v>36</v>
      </c>
      <c r="J787">
        <v>11</v>
      </c>
      <c r="K787" s="5">
        <v>952.76</v>
      </c>
      <c r="L787" s="5">
        <v>388.9</v>
      </c>
      <c r="M787">
        <v>8</v>
      </c>
      <c r="N787">
        <v>3</v>
      </c>
      <c r="O787">
        <v>1</v>
      </c>
      <c r="P787">
        <v>1</v>
      </c>
      <c r="Q787">
        <v>7</v>
      </c>
      <c r="R787">
        <v>0</v>
      </c>
      <c r="S787">
        <v>0</v>
      </c>
      <c r="T787">
        <v>1</v>
      </c>
      <c r="U787">
        <v>0</v>
      </c>
      <c r="V787">
        <v>0</v>
      </c>
      <c r="W787" t="s">
        <v>45</v>
      </c>
      <c r="X787">
        <v>25</v>
      </c>
      <c r="Y787">
        <v>1</v>
      </c>
      <c r="Z787">
        <f t="shared" si="72"/>
        <v>20</v>
      </c>
      <c r="AA787">
        <f t="shared" si="73"/>
        <v>0.36585365853658536</v>
      </c>
      <c r="AB787">
        <f t="shared" si="74"/>
        <v>38</v>
      </c>
      <c r="AC787" t="str">
        <f t="shared" si="75"/>
        <v>Low</v>
      </c>
      <c r="AD787" t="str">
        <f t="shared" si="76"/>
        <v>Upsell premium bundle</v>
      </c>
      <c r="AE787">
        <f t="shared" si="77"/>
        <v>80</v>
      </c>
    </row>
    <row r="788" spans="1:31" x14ac:dyDescent="0.35">
      <c r="A788" t="s">
        <v>846</v>
      </c>
      <c r="B788" s="4">
        <v>45901</v>
      </c>
      <c r="C788" s="4">
        <v>46143</v>
      </c>
      <c r="D788" t="s">
        <v>60</v>
      </c>
      <c r="E788">
        <v>69</v>
      </c>
      <c r="F788" t="s">
        <v>57</v>
      </c>
      <c r="G788" t="s">
        <v>40</v>
      </c>
      <c r="H788" t="s">
        <v>58</v>
      </c>
      <c r="I788" t="s">
        <v>36</v>
      </c>
      <c r="J788">
        <v>8</v>
      </c>
      <c r="K788" s="5">
        <v>300.51</v>
      </c>
      <c r="L788" s="5">
        <v>0</v>
      </c>
      <c r="M788">
        <v>42</v>
      </c>
      <c r="N788">
        <v>10</v>
      </c>
      <c r="O788">
        <v>9</v>
      </c>
      <c r="P788">
        <v>6</v>
      </c>
      <c r="Q788">
        <v>39</v>
      </c>
      <c r="R788">
        <v>2</v>
      </c>
      <c r="S788">
        <v>0</v>
      </c>
      <c r="T788">
        <v>1</v>
      </c>
      <c r="U788">
        <v>1</v>
      </c>
      <c r="V788">
        <v>1</v>
      </c>
      <c r="W788" t="s">
        <v>52</v>
      </c>
      <c r="X788">
        <v>43</v>
      </c>
      <c r="Y788">
        <v>0</v>
      </c>
      <c r="Z788">
        <f t="shared" si="72"/>
        <v>100</v>
      </c>
      <c r="AA788">
        <f t="shared" si="73"/>
        <v>2.1315789473684212</v>
      </c>
      <c r="AB788">
        <f t="shared" si="74"/>
        <v>0</v>
      </c>
      <c r="AC788" t="str">
        <f t="shared" si="75"/>
        <v>Low</v>
      </c>
      <c r="AD788" t="str">
        <f t="shared" si="76"/>
        <v>Upsell premium bundle</v>
      </c>
      <c r="AE788">
        <f t="shared" si="77"/>
        <v>0</v>
      </c>
    </row>
    <row r="789" spans="1:31" x14ac:dyDescent="0.35">
      <c r="A789" t="s">
        <v>847</v>
      </c>
      <c r="B789" s="4">
        <v>44908</v>
      </c>
      <c r="C789" s="4">
        <v>46143</v>
      </c>
      <c r="D789" t="s">
        <v>39</v>
      </c>
      <c r="E789">
        <v>27</v>
      </c>
      <c r="F789" t="s">
        <v>33</v>
      </c>
      <c r="G789" t="s">
        <v>63</v>
      </c>
      <c r="H789" t="s">
        <v>58</v>
      </c>
      <c r="I789" t="s">
        <v>36</v>
      </c>
      <c r="J789">
        <v>41</v>
      </c>
      <c r="K789" s="5">
        <v>143.44</v>
      </c>
      <c r="L789" s="5">
        <v>113.16</v>
      </c>
      <c r="M789">
        <v>27</v>
      </c>
      <c r="N789">
        <v>14</v>
      </c>
      <c r="O789">
        <v>4</v>
      </c>
      <c r="P789">
        <v>4</v>
      </c>
      <c r="Q789">
        <v>28</v>
      </c>
      <c r="R789">
        <v>2</v>
      </c>
      <c r="S789">
        <v>0</v>
      </c>
      <c r="T789">
        <v>1</v>
      </c>
      <c r="U789">
        <v>0</v>
      </c>
      <c r="V789">
        <v>1</v>
      </c>
      <c r="W789" t="s">
        <v>52</v>
      </c>
      <c r="X789">
        <v>80</v>
      </c>
      <c r="Y789">
        <v>0</v>
      </c>
      <c r="Z789">
        <f t="shared" si="72"/>
        <v>82</v>
      </c>
      <c r="AA789">
        <f t="shared" si="73"/>
        <v>0.77464788732394363</v>
      </c>
      <c r="AB789">
        <f t="shared" si="74"/>
        <v>0</v>
      </c>
      <c r="AC789" t="str">
        <f t="shared" si="75"/>
        <v>Low</v>
      </c>
      <c r="AD789" t="str">
        <f t="shared" si="76"/>
        <v>Upsell premium bundle</v>
      </c>
      <c r="AE789">
        <f t="shared" si="77"/>
        <v>18</v>
      </c>
    </row>
    <row r="790" spans="1:31" x14ac:dyDescent="0.35">
      <c r="A790" t="s">
        <v>848</v>
      </c>
      <c r="B790" s="4">
        <v>45948</v>
      </c>
      <c r="C790" s="4">
        <v>46143</v>
      </c>
      <c r="D790" t="s">
        <v>39</v>
      </c>
      <c r="E790">
        <v>21</v>
      </c>
      <c r="F790" t="s">
        <v>61</v>
      </c>
      <c r="G790" t="s">
        <v>67</v>
      </c>
      <c r="H790" t="s">
        <v>41</v>
      </c>
      <c r="I790" t="s">
        <v>36</v>
      </c>
      <c r="J790">
        <v>6</v>
      </c>
      <c r="K790" s="5">
        <v>0</v>
      </c>
      <c r="L790" s="5">
        <v>849.61</v>
      </c>
      <c r="M790">
        <v>19</v>
      </c>
      <c r="N790">
        <v>5</v>
      </c>
      <c r="O790">
        <v>1</v>
      </c>
      <c r="P790">
        <v>3</v>
      </c>
      <c r="Q790">
        <v>15</v>
      </c>
      <c r="R790">
        <v>0</v>
      </c>
      <c r="S790">
        <v>2</v>
      </c>
      <c r="T790">
        <v>1</v>
      </c>
      <c r="U790">
        <v>1</v>
      </c>
      <c r="V790">
        <v>1</v>
      </c>
      <c r="W790" t="s">
        <v>37</v>
      </c>
      <c r="X790">
        <v>-24</v>
      </c>
      <c r="Y790">
        <v>1</v>
      </c>
      <c r="Z790">
        <f t="shared" si="72"/>
        <v>58</v>
      </c>
      <c r="AA790">
        <f t="shared" si="73"/>
        <v>0.94444444444444442</v>
      </c>
      <c r="AB790">
        <f t="shared" si="74"/>
        <v>63</v>
      </c>
      <c r="AC790" t="str">
        <f t="shared" si="75"/>
        <v>Medium</v>
      </c>
      <c r="AD790" t="str">
        <f t="shared" si="76"/>
        <v>Nudge core feature adoption</v>
      </c>
      <c r="AE790">
        <f t="shared" si="77"/>
        <v>42</v>
      </c>
    </row>
    <row r="791" spans="1:31" x14ac:dyDescent="0.35">
      <c r="A791" t="s">
        <v>849</v>
      </c>
      <c r="B791" s="4">
        <v>45402</v>
      </c>
      <c r="C791" s="4">
        <v>46143</v>
      </c>
      <c r="D791" t="s">
        <v>47</v>
      </c>
      <c r="E791">
        <v>30</v>
      </c>
      <c r="F791" t="s">
        <v>77</v>
      </c>
      <c r="G791" t="s">
        <v>40</v>
      </c>
      <c r="H791" t="s">
        <v>41</v>
      </c>
      <c r="I791" t="s">
        <v>36</v>
      </c>
      <c r="J791">
        <v>24</v>
      </c>
      <c r="K791" s="5">
        <v>14679.08</v>
      </c>
      <c r="L791" s="5">
        <v>1020.74</v>
      </c>
      <c r="M791">
        <v>20</v>
      </c>
      <c r="N791">
        <v>13</v>
      </c>
      <c r="O791">
        <v>3</v>
      </c>
      <c r="P791">
        <v>1</v>
      </c>
      <c r="Q791">
        <v>25</v>
      </c>
      <c r="R791">
        <v>1</v>
      </c>
      <c r="S791">
        <v>1</v>
      </c>
      <c r="T791">
        <v>1</v>
      </c>
      <c r="U791">
        <v>0</v>
      </c>
      <c r="V791">
        <v>0</v>
      </c>
      <c r="W791" t="s">
        <v>37</v>
      </c>
      <c r="X791">
        <v>52</v>
      </c>
      <c r="Y791">
        <v>1</v>
      </c>
      <c r="Z791">
        <f t="shared" si="72"/>
        <v>59</v>
      </c>
      <c r="AA791">
        <f t="shared" si="73"/>
        <v>0.83333333333333337</v>
      </c>
      <c r="AB791">
        <f t="shared" si="74"/>
        <v>15</v>
      </c>
      <c r="AC791" t="str">
        <f t="shared" si="75"/>
        <v>Low</v>
      </c>
      <c r="AD791" t="str">
        <f t="shared" si="76"/>
        <v>Upsell premium bundle</v>
      </c>
      <c r="AE791">
        <f t="shared" si="77"/>
        <v>41</v>
      </c>
    </row>
    <row r="792" spans="1:31" x14ac:dyDescent="0.35">
      <c r="A792" t="s">
        <v>850</v>
      </c>
      <c r="B792" s="4">
        <v>44909</v>
      </c>
      <c r="C792" s="4">
        <v>46143</v>
      </c>
      <c r="D792" t="s">
        <v>39</v>
      </c>
      <c r="E792">
        <v>49</v>
      </c>
      <c r="F792" t="s">
        <v>57</v>
      </c>
      <c r="G792" t="s">
        <v>63</v>
      </c>
      <c r="H792" t="s">
        <v>58</v>
      </c>
      <c r="I792" t="s">
        <v>36</v>
      </c>
      <c r="J792">
        <v>41</v>
      </c>
      <c r="K792" s="5">
        <v>618.58000000000004</v>
      </c>
      <c r="L792" s="5">
        <v>572.44000000000005</v>
      </c>
      <c r="M792">
        <v>28</v>
      </c>
      <c r="N792">
        <v>20</v>
      </c>
      <c r="O792">
        <v>6</v>
      </c>
      <c r="P792">
        <v>4</v>
      </c>
      <c r="Q792">
        <v>21</v>
      </c>
      <c r="R792">
        <v>1</v>
      </c>
      <c r="S792">
        <v>2</v>
      </c>
      <c r="T792">
        <v>1</v>
      </c>
      <c r="U792">
        <v>0</v>
      </c>
      <c r="V792">
        <v>0</v>
      </c>
      <c r="W792" t="s">
        <v>45</v>
      </c>
      <c r="X792">
        <v>73</v>
      </c>
      <c r="Y792">
        <v>0</v>
      </c>
      <c r="Z792">
        <f t="shared" si="72"/>
        <v>77</v>
      </c>
      <c r="AA792">
        <f t="shared" si="73"/>
        <v>0.6901408450704225</v>
      </c>
      <c r="AB792">
        <f t="shared" si="74"/>
        <v>0</v>
      </c>
      <c r="AC792" t="str">
        <f t="shared" si="75"/>
        <v>Low</v>
      </c>
      <c r="AD792" t="str">
        <f t="shared" si="76"/>
        <v>Upsell premium bundle</v>
      </c>
      <c r="AE792">
        <f t="shared" si="77"/>
        <v>23</v>
      </c>
    </row>
    <row r="793" spans="1:31" x14ac:dyDescent="0.35">
      <c r="A793" t="s">
        <v>851</v>
      </c>
      <c r="B793" s="4">
        <v>44767</v>
      </c>
      <c r="C793" s="4">
        <v>46143</v>
      </c>
      <c r="D793" t="s">
        <v>66</v>
      </c>
      <c r="E793">
        <v>53</v>
      </c>
      <c r="F793" t="s">
        <v>33</v>
      </c>
      <c r="G793" t="s">
        <v>48</v>
      </c>
      <c r="H793" t="s">
        <v>41</v>
      </c>
      <c r="I793" t="s">
        <v>36</v>
      </c>
      <c r="J793">
        <v>45</v>
      </c>
      <c r="K793" s="5">
        <v>428.91</v>
      </c>
      <c r="L793" s="5">
        <v>475.03</v>
      </c>
      <c r="M793">
        <v>30</v>
      </c>
      <c r="N793">
        <v>12</v>
      </c>
      <c r="O793">
        <v>7</v>
      </c>
      <c r="P793">
        <v>0</v>
      </c>
      <c r="Q793">
        <v>23</v>
      </c>
      <c r="R793">
        <v>1</v>
      </c>
      <c r="S793">
        <v>1</v>
      </c>
      <c r="T793">
        <v>1</v>
      </c>
      <c r="U793">
        <v>1</v>
      </c>
      <c r="V793">
        <v>0</v>
      </c>
      <c r="W793" t="s">
        <v>45</v>
      </c>
      <c r="X793">
        <v>16</v>
      </c>
      <c r="Y793">
        <v>0</v>
      </c>
      <c r="Z793">
        <f t="shared" si="72"/>
        <v>79</v>
      </c>
      <c r="AA793">
        <f t="shared" si="73"/>
        <v>0.70666666666666667</v>
      </c>
      <c r="AB793">
        <f t="shared" si="74"/>
        <v>25</v>
      </c>
      <c r="AC793" t="str">
        <f t="shared" si="75"/>
        <v>Low</v>
      </c>
      <c r="AD793" t="str">
        <f t="shared" si="76"/>
        <v>Upsell premium bundle</v>
      </c>
      <c r="AE793">
        <f t="shared" si="77"/>
        <v>21</v>
      </c>
    </row>
    <row r="794" spans="1:31" x14ac:dyDescent="0.35">
      <c r="A794" t="s">
        <v>852</v>
      </c>
      <c r="B794" s="4">
        <v>45005</v>
      </c>
      <c r="C794" s="4">
        <v>46143</v>
      </c>
      <c r="D794" t="s">
        <v>32</v>
      </c>
      <c r="E794">
        <v>22</v>
      </c>
      <c r="F794" t="s">
        <v>57</v>
      </c>
      <c r="G794" t="s">
        <v>40</v>
      </c>
      <c r="H794" t="s">
        <v>41</v>
      </c>
      <c r="I794" t="s">
        <v>36</v>
      </c>
      <c r="J794">
        <v>37</v>
      </c>
      <c r="K794" s="5">
        <v>0</v>
      </c>
      <c r="L794" s="5">
        <v>322.12</v>
      </c>
      <c r="M794">
        <v>27</v>
      </c>
      <c r="N794">
        <v>8</v>
      </c>
      <c r="O794">
        <v>3</v>
      </c>
      <c r="P794">
        <v>4</v>
      </c>
      <c r="Q794">
        <v>21</v>
      </c>
      <c r="R794">
        <v>0</v>
      </c>
      <c r="S794">
        <v>0</v>
      </c>
      <c r="T794">
        <v>1</v>
      </c>
      <c r="U794">
        <v>0</v>
      </c>
      <c r="V794">
        <v>0</v>
      </c>
      <c r="W794" t="s">
        <v>55</v>
      </c>
      <c r="X794">
        <v>25</v>
      </c>
      <c r="Y794">
        <v>0</v>
      </c>
      <c r="Z794">
        <f t="shared" si="72"/>
        <v>63</v>
      </c>
      <c r="AA794">
        <f t="shared" si="73"/>
        <v>0.71641791044776115</v>
      </c>
      <c r="AB794">
        <f t="shared" si="74"/>
        <v>20</v>
      </c>
      <c r="AC794" t="str">
        <f t="shared" si="75"/>
        <v>Low</v>
      </c>
      <c r="AD794" t="str">
        <f t="shared" si="76"/>
        <v>Upsell premium bundle</v>
      </c>
      <c r="AE794">
        <f t="shared" si="77"/>
        <v>37</v>
      </c>
    </row>
    <row r="795" spans="1:31" x14ac:dyDescent="0.35">
      <c r="A795" t="s">
        <v>853</v>
      </c>
      <c r="B795" s="4">
        <v>45505</v>
      </c>
      <c r="C795" s="4">
        <v>46143</v>
      </c>
      <c r="D795" t="s">
        <v>72</v>
      </c>
      <c r="E795">
        <v>49</v>
      </c>
      <c r="F795" t="s">
        <v>43</v>
      </c>
      <c r="G795" t="s">
        <v>34</v>
      </c>
      <c r="H795" t="s">
        <v>41</v>
      </c>
      <c r="I795" t="s">
        <v>36</v>
      </c>
      <c r="J795">
        <v>21</v>
      </c>
      <c r="K795" s="5">
        <v>0</v>
      </c>
      <c r="L795" s="5">
        <v>50.16</v>
      </c>
      <c r="M795">
        <v>27</v>
      </c>
      <c r="N795">
        <v>19</v>
      </c>
      <c r="O795">
        <v>5</v>
      </c>
      <c r="P795">
        <v>4</v>
      </c>
      <c r="Q795">
        <v>10</v>
      </c>
      <c r="R795">
        <v>4</v>
      </c>
      <c r="S795">
        <v>2</v>
      </c>
      <c r="T795">
        <v>1</v>
      </c>
      <c r="U795">
        <v>0</v>
      </c>
      <c r="V795">
        <v>1</v>
      </c>
      <c r="W795" t="s">
        <v>50</v>
      </c>
      <c r="X795">
        <v>-9</v>
      </c>
      <c r="Y795">
        <v>1</v>
      </c>
      <c r="Z795">
        <f t="shared" si="72"/>
        <v>71</v>
      </c>
      <c r="AA795">
        <f t="shared" si="73"/>
        <v>0.72549019607843135</v>
      </c>
      <c r="AB795">
        <f t="shared" si="74"/>
        <v>44</v>
      </c>
      <c r="AC795" t="str">
        <f t="shared" si="75"/>
        <v>Medium</v>
      </c>
      <c r="AD795" t="str">
        <f t="shared" si="76"/>
        <v>Nudge core feature adoption</v>
      </c>
      <c r="AE795">
        <f t="shared" si="77"/>
        <v>29</v>
      </c>
    </row>
    <row r="796" spans="1:31" x14ac:dyDescent="0.35">
      <c r="A796" t="s">
        <v>854</v>
      </c>
      <c r="B796" s="4">
        <v>45160</v>
      </c>
      <c r="C796" s="4">
        <v>46143</v>
      </c>
      <c r="D796" t="s">
        <v>72</v>
      </c>
      <c r="E796">
        <v>23</v>
      </c>
      <c r="F796" t="s">
        <v>33</v>
      </c>
      <c r="G796" t="s">
        <v>40</v>
      </c>
      <c r="H796" t="s">
        <v>41</v>
      </c>
      <c r="I796" t="s">
        <v>49</v>
      </c>
      <c r="J796">
        <v>32</v>
      </c>
      <c r="K796" s="5">
        <v>161.80000000000001</v>
      </c>
      <c r="L796" s="5">
        <v>23.46</v>
      </c>
      <c r="M796">
        <v>51</v>
      </c>
      <c r="N796">
        <v>36</v>
      </c>
      <c r="O796">
        <v>8</v>
      </c>
      <c r="P796">
        <v>2</v>
      </c>
      <c r="Q796">
        <v>25</v>
      </c>
      <c r="R796">
        <v>1</v>
      </c>
      <c r="S796">
        <v>0</v>
      </c>
      <c r="T796">
        <v>1</v>
      </c>
      <c r="U796">
        <v>0</v>
      </c>
      <c r="V796">
        <v>0</v>
      </c>
      <c r="W796" t="s">
        <v>55</v>
      </c>
      <c r="X796">
        <v>22</v>
      </c>
      <c r="Y796">
        <v>0</v>
      </c>
      <c r="Z796">
        <f t="shared" si="72"/>
        <v>100</v>
      </c>
      <c r="AA796">
        <f t="shared" si="73"/>
        <v>1.2258064516129032</v>
      </c>
      <c r="AB796">
        <f t="shared" si="74"/>
        <v>22</v>
      </c>
      <c r="AC796" t="str">
        <f t="shared" si="75"/>
        <v>Low</v>
      </c>
      <c r="AD796" t="str">
        <f t="shared" si="76"/>
        <v>Upsell premium bundle</v>
      </c>
      <c r="AE796">
        <f t="shared" si="77"/>
        <v>0</v>
      </c>
    </row>
    <row r="797" spans="1:31" x14ac:dyDescent="0.35">
      <c r="A797" t="s">
        <v>855</v>
      </c>
      <c r="B797" s="4">
        <v>46029</v>
      </c>
      <c r="C797" s="4">
        <v>46143</v>
      </c>
      <c r="D797" t="s">
        <v>39</v>
      </c>
      <c r="E797">
        <v>50</v>
      </c>
      <c r="F797" t="s">
        <v>43</v>
      </c>
      <c r="G797" t="s">
        <v>85</v>
      </c>
      <c r="H797" t="s">
        <v>44</v>
      </c>
      <c r="I797" t="s">
        <v>36</v>
      </c>
      <c r="J797">
        <v>3</v>
      </c>
      <c r="K797" s="5">
        <v>83.9</v>
      </c>
      <c r="L797" s="5">
        <v>51.17</v>
      </c>
      <c r="M797">
        <v>49</v>
      </c>
      <c r="N797">
        <v>29</v>
      </c>
      <c r="O797">
        <v>4</v>
      </c>
      <c r="P797">
        <v>3</v>
      </c>
      <c r="Q797">
        <v>32</v>
      </c>
      <c r="R797">
        <v>2</v>
      </c>
      <c r="S797">
        <v>1</v>
      </c>
      <c r="T797">
        <v>1</v>
      </c>
      <c r="U797">
        <v>1</v>
      </c>
      <c r="V797">
        <v>1</v>
      </c>
      <c r="W797" t="s">
        <v>50</v>
      </c>
      <c r="X797">
        <v>13</v>
      </c>
      <c r="Y797">
        <v>0</v>
      </c>
      <c r="Z797">
        <f t="shared" si="72"/>
        <v>100</v>
      </c>
      <c r="AA797">
        <f t="shared" si="73"/>
        <v>2.4545454545454546</v>
      </c>
      <c r="AB797">
        <f t="shared" si="74"/>
        <v>7</v>
      </c>
      <c r="AC797" t="str">
        <f t="shared" si="75"/>
        <v>Low</v>
      </c>
      <c r="AD797" t="str">
        <f t="shared" si="76"/>
        <v>Upsell premium bundle</v>
      </c>
      <c r="AE797">
        <f t="shared" si="77"/>
        <v>0</v>
      </c>
    </row>
    <row r="798" spans="1:31" x14ac:dyDescent="0.35">
      <c r="A798" t="s">
        <v>856</v>
      </c>
      <c r="B798" s="4">
        <v>45406</v>
      </c>
      <c r="C798" s="4">
        <v>46143</v>
      </c>
      <c r="D798" t="s">
        <v>39</v>
      </c>
      <c r="E798">
        <v>24</v>
      </c>
      <c r="F798" t="s">
        <v>33</v>
      </c>
      <c r="G798" t="s">
        <v>40</v>
      </c>
      <c r="H798" t="s">
        <v>41</v>
      </c>
      <c r="I798" t="s">
        <v>36</v>
      </c>
      <c r="J798">
        <v>24</v>
      </c>
      <c r="K798" s="5">
        <v>796.76</v>
      </c>
      <c r="L798" s="5">
        <v>382.08</v>
      </c>
      <c r="M798">
        <v>27</v>
      </c>
      <c r="N798">
        <v>14</v>
      </c>
      <c r="O798">
        <v>3</v>
      </c>
      <c r="P798">
        <v>3</v>
      </c>
      <c r="Q798">
        <v>17</v>
      </c>
      <c r="R798">
        <v>3</v>
      </c>
      <c r="S798">
        <v>0</v>
      </c>
      <c r="T798">
        <v>0</v>
      </c>
      <c r="U798">
        <v>0</v>
      </c>
      <c r="V798">
        <v>0</v>
      </c>
      <c r="W798" t="s">
        <v>52</v>
      </c>
      <c r="X798">
        <v>50</v>
      </c>
      <c r="Y798">
        <v>0</v>
      </c>
      <c r="Z798">
        <f t="shared" si="72"/>
        <v>63</v>
      </c>
      <c r="AA798">
        <f t="shared" si="73"/>
        <v>0.81481481481481477</v>
      </c>
      <c r="AB798">
        <f t="shared" si="74"/>
        <v>3</v>
      </c>
      <c r="AC798" t="str">
        <f t="shared" si="75"/>
        <v>Low</v>
      </c>
      <c r="AD798" t="str">
        <f t="shared" si="76"/>
        <v>Upsell premium bundle</v>
      </c>
      <c r="AE798">
        <f t="shared" si="77"/>
        <v>37</v>
      </c>
    </row>
    <row r="799" spans="1:31" x14ac:dyDescent="0.35">
      <c r="A799" t="s">
        <v>857</v>
      </c>
      <c r="B799" s="4">
        <v>45140</v>
      </c>
      <c r="C799" s="4">
        <v>46143</v>
      </c>
      <c r="D799" t="s">
        <v>72</v>
      </c>
      <c r="E799">
        <v>22</v>
      </c>
      <c r="F799" t="s">
        <v>57</v>
      </c>
      <c r="G799" t="s">
        <v>48</v>
      </c>
      <c r="H799" t="s">
        <v>58</v>
      </c>
      <c r="I799" t="s">
        <v>36</v>
      </c>
      <c r="J799">
        <v>33</v>
      </c>
      <c r="K799" s="5">
        <v>1163.7</v>
      </c>
      <c r="L799" s="5">
        <v>433.25</v>
      </c>
      <c r="M799">
        <v>41</v>
      </c>
      <c r="N799">
        <v>19</v>
      </c>
      <c r="O799">
        <v>7</v>
      </c>
      <c r="P799">
        <v>7</v>
      </c>
      <c r="Q799">
        <v>36</v>
      </c>
      <c r="R799">
        <v>0</v>
      </c>
      <c r="S799">
        <v>0</v>
      </c>
      <c r="T799">
        <v>1</v>
      </c>
      <c r="U799">
        <v>0</v>
      </c>
      <c r="V799">
        <v>1</v>
      </c>
      <c r="W799" t="s">
        <v>52</v>
      </c>
      <c r="X799">
        <v>17</v>
      </c>
      <c r="Y799">
        <v>0</v>
      </c>
      <c r="Z799">
        <f t="shared" si="72"/>
        <v>100</v>
      </c>
      <c r="AA799">
        <f t="shared" si="73"/>
        <v>1.2222222222222223</v>
      </c>
      <c r="AB799">
        <f t="shared" si="74"/>
        <v>0</v>
      </c>
      <c r="AC799" t="str">
        <f t="shared" si="75"/>
        <v>Low</v>
      </c>
      <c r="AD799" t="str">
        <f t="shared" si="76"/>
        <v>Upsell premium bundle</v>
      </c>
      <c r="AE799">
        <f t="shared" si="77"/>
        <v>0</v>
      </c>
    </row>
    <row r="800" spans="1:31" x14ac:dyDescent="0.35">
      <c r="A800" t="s">
        <v>858</v>
      </c>
      <c r="B800" s="4">
        <v>45731</v>
      </c>
      <c r="C800" s="4">
        <v>46143</v>
      </c>
      <c r="D800" t="s">
        <v>39</v>
      </c>
      <c r="E800">
        <v>41</v>
      </c>
      <c r="F800" t="s">
        <v>43</v>
      </c>
      <c r="G800" t="s">
        <v>48</v>
      </c>
      <c r="H800" t="s">
        <v>41</v>
      </c>
      <c r="I800" t="s">
        <v>36</v>
      </c>
      <c r="J800">
        <v>13</v>
      </c>
      <c r="K800" s="5">
        <v>131.68</v>
      </c>
      <c r="L800" s="5">
        <v>90.78</v>
      </c>
      <c r="M800">
        <v>32</v>
      </c>
      <c r="N800">
        <v>18</v>
      </c>
      <c r="O800">
        <v>2</v>
      </c>
      <c r="P800">
        <v>6</v>
      </c>
      <c r="Q800">
        <v>33</v>
      </c>
      <c r="R800">
        <v>1</v>
      </c>
      <c r="S800">
        <v>0</v>
      </c>
      <c r="T800">
        <v>1</v>
      </c>
      <c r="U800">
        <v>1</v>
      </c>
      <c r="V800">
        <v>0</v>
      </c>
      <c r="W800" t="s">
        <v>50</v>
      </c>
      <c r="X800">
        <v>13</v>
      </c>
      <c r="Y800">
        <v>0</v>
      </c>
      <c r="Z800">
        <f t="shared" si="72"/>
        <v>96</v>
      </c>
      <c r="AA800">
        <f t="shared" si="73"/>
        <v>1.5116279069767442</v>
      </c>
      <c r="AB800">
        <f t="shared" si="74"/>
        <v>12</v>
      </c>
      <c r="AC800" t="str">
        <f t="shared" si="75"/>
        <v>Low</v>
      </c>
      <c r="AD800" t="str">
        <f t="shared" si="76"/>
        <v>Upsell premium bundle</v>
      </c>
      <c r="AE800">
        <f t="shared" si="77"/>
        <v>4</v>
      </c>
    </row>
    <row r="801" spans="1:31" x14ac:dyDescent="0.35">
      <c r="A801" t="s">
        <v>859</v>
      </c>
      <c r="B801" s="4">
        <v>44866</v>
      </c>
      <c r="C801" s="4">
        <v>46143</v>
      </c>
      <c r="D801" t="s">
        <v>72</v>
      </c>
      <c r="E801">
        <v>29</v>
      </c>
      <c r="F801" t="s">
        <v>43</v>
      </c>
      <c r="G801" t="s">
        <v>85</v>
      </c>
      <c r="H801" t="s">
        <v>35</v>
      </c>
      <c r="I801" t="s">
        <v>36</v>
      </c>
      <c r="J801">
        <v>42</v>
      </c>
      <c r="K801" s="5">
        <v>0</v>
      </c>
      <c r="L801" s="5">
        <v>77.709999999999994</v>
      </c>
      <c r="M801">
        <v>28</v>
      </c>
      <c r="N801">
        <v>19</v>
      </c>
      <c r="O801">
        <v>4</v>
      </c>
      <c r="P801">
        <v>3</v>
      </c>
      <c r="Q801">
        <v>21</v>
      </c>
      <c r="R801">
        <v>2</v>
      </c>
      <c r="S801">
        <v>2</v>
      </c>
      <c r="T801">
        <v>1</v>
      </c>
      <c r="U801">
        <v>1</v>
      </c>
      <c r="V801">
        <v>0</v>
      </c>
      <c r="W801" t="s">
        <v>50</v>
      </c>
      <c r="X801">
        <v>9</v>
      </c>
      <c r="Y801">
        <v>0</v>
      </c>
      <c r="Z801">
        <f t="shared" si="72"/>
        <v>80</v>
      </c>
      <c r="AA801">
        <f t="shared" si="73"/>
        <v>0.68055555555555558</v>
      </c>
      <c r="AB801">
        <f t="shared" si="74"/>
        <v>25</v>
      </c>
      <c r="AC801" t="str">
        <f t="shared" si="75"/>
        <v>Low</v>
      </c>
      <c r="AD801" t="str">
        <f t="shared" si="76"/>
        <v>Upsell premium bundle</v>
      </c>
      <c r="AE801">
        <f t="shared" si="77"/>
        <v>20</v>
      </c>
    </row>
    <row r="802" spans="1:31" x14ac:dyDescent="0.35">
      <c r="A802" t="s">
        <v>860</v>
      </c>
      <c r="B802" s="4">
        <v>44888</v>
      </c>
      <c r="C802" s="4">
        <v>46143</v>
      </c>
      <c r="D802" t="s">
        <v>60</v>
      </c>
      <c r="E802">
        <v>28</v>
      </c>
      <c r="F802" t="s">
        <v>33</v>
      </c>
      <c r="G802" t="s">
        <v>67</v>
      </c>
      <c r="H802" t="s">
        <v>41</v>
      </c>
      <c r="I802" t="s">
        <v>36</v>
      </c>
      <c r="J802">
        <v>41</v>
      </c>
      <c r="K802" s="5">
        <v>374.69</v>
      </c>
      <c r="L802" s="5">
        <v>94.42</v>
      </c>
      <c r="M802">
        <v>30</v>
      </c>
      <c r="N802">
        <v>8</v>
      </c>
      <c r="O802">
        <v>7</v>
      </c>
      <c r="P802">
        <v>5</v>
      </c>
      <c r="Q802">
        <v>0</v>
      </c>
      <c r="R802">
        <v>2</v>
      </c>
      <c r="S802">
        <v>0</v>
      </c>
      <c r="T802">
        <v>1</v>
      </c>
      <c r="U802">
        <v>0</v>
      </c>
      <c r="V802">
        <v>0</v>
      </c>
      <c r="W802" t="s">
        <v>37</v>
      </c>
      <c r="X802">
        <v>28</v>
      </c>
      <c r="Y802">
        <v>0</v>
      </c>
      <c r="Z802">
        <f t="shared" si="72"/>
        <v>54</v>
      </c>
      <c r="AA802">
        <f t="shared" si="73"/>
        <v>0.42253521126760563</v>
      </c>
      <c r="AB802">
        <f t="shared" si="74"/>
        <v>19</v>
      </c>
      <c r="AC802" t="str">
        <f t="shared" si="75"/>
        <v>Low</v>
      </c>
      <c r="AD802" t="str">
        <f t="shared" si="76"/>
        <v>Upsell premium bundle</v>
      </c>
      <c r="AE802">
        <f t="shared" si="77"/>
        <v>46</v>
      </c>
    </row>
    <row r="803" spans="1:31" x14ac:dyDescent="0.35">
      <c r="A803" t="s">
        <v>861</v>
      </c>
      <c r="B803" s="4">
        <v>44827</v>
      </c>
      <c r="C803" s="4">
        <v>46143</v>
      </c>
      <c r="D803" t="s">
        <v>72</v>
      </c>
      <c r="E803">
        <v>32</v>
      </c>
      <c r="F803" t="s">
        <v>77</v>
      </c>
      <c r="G803" t="s">
        <v>67</v>
      </c>
      <c r="H803" t="s">
        <v>41</v>
      </c>
      <c r="I803" t="s">
        <v>36</v>
      </c>
      <c r="J803">
        <v>43</v>
      </c>
      <c r="K803" s="5">
        <v>13654.7</v>
      </c>
      <c r="L803" s="5">
        <v>2292.3000000000002</v>
      </c>
      <c r="M803">
        <v>26</v>
      </c>
      <c r="N803">
        <v>14</v>
      </c>
      <c r="O803">
        <v>6</v>
      </c>
      <c r="P803">
        <v>4</v>
      </c>
      <c r="Q803">
        <v>22</v>
      </c>
      <c r="R803">
        <v>1</v>
      </c>
      <c r="S803">
        <v>3</v>
      </c>
      <c r="T803">
        <v>1</v>
      </c>
      <c r="U803">
        <v>0</v>
      </c>
      <c r="V803">
        <v>1</v>
      </c>
      <c r="W803" t="s">
        <v>52</v>
      </c>
      <c r="X803">
        <v>36</v>
      </c>
      <c r="Y803">
        <v>0</v>
      </c>
      <c r="Z803">
        <f t="shared" si="72"/>
        <v>78</v>
      </c>
      <c r="AA803">
        <f t="shared" si="73"/>
        <v>0.65753424657534243</v>
      </c>
      <c r="AB803">
        <f t="shared" si="74"/>
        <v>21</v>
      </c>
      <c r="AC803" t="str">
        <f t="shared" si="75"/>
        <v>Low</v>
      </c>
      <c r="AD803" t="str">
        <f t="shared" si="76"/>
        <v>Upsell premium bundle</v>
      </c>
      <c r="AE803">
        <f t="shared" si="77"/>
        <v>22</v>
      </c>
    </row>
    <row r="804" spans="1:31" x14ac:dyDescent="0.35">
      <c r="A804" t="s">
        <v>862</v>
      </c>
      <c r="B804" s="4">
        <v>45233</v>
      </c>
      <c r="C804" s="4">
        <v>46143</v>
      </c>
      <c r="D804" t="s">
        <v>66</v>
      </c>
      <c r="E804">
        <v>19</v>
      </c>
      <c r="F804" t="s">
        <v>43</v>
      </c>
      <c r="G804" t="s">
        <v>85</v>
      </c>
      <c r="H804" t="s">
        <v>44</v>
      </c>
      <c r="I804" t="s">
        <v>36</v>
      </c>
      <c r="J804">
        <v>30</v>
      </c>
      <c r="K804" s="5">
        <v>179.44</v>
      </c>
      <c r="L804" s="5">
        <v>41.44</v>
      </c>
      <c r="M804">
        <v>32</v>
      </c>
      <c r="N804">
        <v>8</v>
      </c>
      <c r="O804">
        <v>3</v>
      </c>
      <c r="P804">
        <v>1</v>
      </c>
      <c r="Q804">
        <v>10</v>
      </c>
      <c r="R804">
        <v>0</v>
      </c>
      <c r="S804">
        <v>1</v>
      </c>
      <c r="T804">
        <v>0</v>
      </c>
      <c r="U804">
        <v>1</v>
      </c>
      <c r="V804">
        <v>1</v>
      </c>
      <c r="W804" t="s">
        <v>37</v>
      </c>
      <c r="X804">
        <v>21</v>
      </c>
      <c r="Y804">
        <v>1</v>
      </c>
      <c r="Z804">
        <f t="shared" si="72"/>
        <v>70</v>
      </c>
      <c r="AA804">
        <f t="shared" si="73"/>
        <v>0.7</v>
      </c>
      <c r="AB804">
        <f t="shared" si="74"/>
        <v>18</v>
      </c>
      <c r="AC804" t="str">
        <f t="shared" si="75"/>
        <v>Low</v>
      </c>
      <c r="AD804" t="str">
        <f t="shared" si="76"/>
        <v>Upsell premium bundle</v>
      </c>
      <c r="AE804">
        <f t="shared" si="77"/>
        <v>30</v>
      </c>
    </row>
    <row r="805" spans="1:31" x14ac:dyDescent="0.35">
      <c r="A805" t="s">
        <v>863</v>
      </c>
      <c r="B805" s="4">
        <v>45128</v>
      </c>
      <c r="C805" s="4">
        <v>46143</v>
      </c>
      <c r="D805" t="s">
        <v>39</v>
      </c>
      <c r="E805">
        <v>54</v>
      </c>
      <c r="F805" t="s">
        <v>57</v>
      </c>
      <c r="G805" t="s">
        <v>48</v>
      </c>
      <c r="H805" t="s">
        <v>41</v>
      </c>
      <c r="I805" t="s">
        <v>36</v>
      </c>
      <c r="J805">
        <v>33</v>
      </c>
      <c r="K805" s="5">
        <v>1444.46</v>
      </c>
      <c r="L805" s="5">
        <v>817.36</v>
      </c>
      <c r="M805">
        <v>38</v>
      </c>
      <c r="N805">
        <v>26</v>
      </c>
      <c r="O805">
        <v>3</v>
      </c>
      <c r="P805">
        <v>8</v>
      </c>
      <c r="Q805">
        <v>5</v>
      </c>
      <c r="R805">
        <v>2</v>
      </c>
      <c r="S805">
        <v>2</v>
      </c>
      <c r="T805">
        <v>0</v>
      </c>
      <c r="U805">
        <v>1</v>
      </c>
      <c r="V805">
        <v>1</v>
      </c>
      <c r="W805" t="s">
        <v>50</v>
      </c>
      <c r="X805">
        <v>17</v>
      </c>
      <c r="Y805">
        <v>0</v>
      </c>
      <c r="Z805">
        <f t="shared" si="72"/>
        <v>94</v>
      </c>
      <c r="AA805">
        <f t="shared" si="73"/>
        <v>0.68253968253968256</v>
      </c>
      <c r="AB805">
        <f t="shared" si="74"/>
        <v>25</v>
      </c>
      <c r="AC805" t="str">
        <f t="shared" si="75"/>
        <v>Low</v>
      </c>
      <c r="AD805" t="str">
        <f t="shared" si="76"/>
        <v>Upsell premium bundle</v>
      </c>
      <c r="AE805">
        <f t="shared" si="77"/>
        <v>6</v>
      </c>
    </row>
    <row r="806" spans="1:31" x14ac:dyDescent="0.35">
      <c r="A806" t="s">
        <v>864</v>
      </c>
      <c r="B806" s="4">
        <v>45428</v>
      </c>
      <c r="C806" s="4">
        <v>46143</v>
      </c>
      <c r="D806" t="s">
        <v>72</v>
      </c>
      <c r="E806">
        <v>60</v>
      </c>
      <c r="F806" t="s">
        <v>43</v>
      </c>
      <c r="G806" t="s">
        <v>67</v>
      </c>
      <c r="H806" t="s">
        <v>58</v>
      </c>
      <c r="I806" t="s">
        <v>49</v>
      </c>
      <c r="J806">
        <v>23</v>
      </c>
      <c r="K806" s="5">
        <v>0</v>
      </c>
      <c r="L806" s="5">
        <v>49.47</v>
      </c>
      <c r="M806">
        <v>43</v>
      </c>
      <c r="N806">
        <v>13</v>
      </c>
      <c r="O806">
        <v>6</v>
      </c>
      <c r="P806">
        <v>4</v>
      </c>
      <c r="Q806">
        <v>38</v>
      </c>
      <c r="R806">
        <v>3</v>
      </c>
      <c r="S806">
        <v>0</v>
      </c>
      <c r="T806">
        <v>0</v>
      </c>
      <c r="U806">
        <v>0</v>
      </c>
      <c r="V806">
        <v>0</v>
      </c>
      <c r="W806" t="s">
        <v>55</v>
      </c>
      <c r="X806">
        <v>-6</v>
      </c>
      <c r="Y806">
        <v>0</v>
      </c>
      <c r="Z806">
        <f t="shared" si="72"/>
        <v>100</v>
      </c>
      <c r="AA806">
        <f t="shared" si="73"/>
        <v>1.5283018867924529</v>
      </c>
      <c r="AB806">
        <f t="shared" si="74"/>
        <v>23</v>
      </c>
      <c r="AC806" t="str">
        <f t="shared" si="75"/>
        <v>Low</v>
      </c>
      <c r="AD806" t="str">
        <f t="shared" si="76"/>
        <v>Upsell premium bundle</v>
      </c>
      <c r="AE806">
        <f t="shared" si="77"/>
        <v>0</v>
      </c>
    </row>
    <row r="807" spans="1:31" x14ac:dyDescent="0.35">
      <c r="A807" t="s">
        <v>865</v>
      </c>
      <c r="B807" s="4">
        <v>45881</v>
      </c>
      <c r="C807" s="4">
        <v>46143</v>
      </c>
      <c r="D807" t="s">
        <v>32</v>
      </c>
      <c r="E807">
        <v>34</v>
      </c>
      <c r="F807" t="s">
        <v>61</v>
      </c>
      <c r="G807" t="s">
        <v>63</v>
      </c>
      <c r="H807" t="s">
        <v>58</v>
      </c>
      <c r="I807" t="s">
        <v>49</v>
      </c>
      <c r="J807">
        <v>8</v>
      </c>
      <c r="K807" s="5">
        <v>4987.55</v>
      </c>
      <c r="L807" s="5">
        <v>3215.68</v>
      </c>
      <c r="M807">
        <v>30</v>
      </c>
      <c r="N807">
        <v>8</v>
      </c>
      <c r="O807">
        <v>5</v>
      </c>
      <c r="P807">
        <v>4</v>
      </c>
      <c r="Q807">
        <v>25</v>
      </c>
      <c r="R807">
        <v>0</v>
      </c>
      <c r="S807">
        <v>1</v>
      </c>
      <c r="T807">
        <v>1</v>
      </c>
      <c r="U807">
        <v>0</v>
      </c>
      <c r="V807">
        <v>1</v>
      </c>
      <c r="W807" t="s">
        <v>37</v>
      </c>
      <c r="X807">
        <v>25</v>
      </c>
      <c r="Y807">
        <v>0</v>
      </c>
      <c r="Z807">
        <f t="shared" si="72"/>
        <v>80</v>
      </c>
      <c r="AA807">
        <f t="shared" si="73"/>
        <v>1.4473684210526316</v>
      </c>
      <c r="AB807">
        <f t="shared" si="74"/>
        <v>18</v>
      </c>
      <c r="AC807" t="str">
        <f t="shared" si="75"/>
        <v>Low</v>
      </c>
      <c r="AD807" t="str">
        <f t="shared" si="76"/>
        <v>Upsell premium bundle</v>
      </c>
      <c r="AE807">
        <f t="shared" si="77"/>
        <v>20</v>
      </c>
    </row>
    <row r="808" spans="1:31" x14ac:dyDescent="0.35">
      <c r="A808" t="s">
        <v>866</v>
      </c>
      <c r="B808" s="4">
        <v>46027</v>
      </c>
      <c r="C808" s="4">
        <v>46143</v>
      </c>
      <c r="D808" t="s">
        <v>47</v>
      </c>
      <c r="E808">
        <v>62</v>
      </c>
      <c r="F808" t="s">
        <v>57</v>
      </c>
      <c r="G808" t="s">
        <v>67</v>
      </c>
      <c r="H808" t="s">
        <v>35</v>
      </c>
      <c r="I808" t="s">
        <v>36</v>
      </c>
      <c r="J808">
        <v>3</v>
      </c>
      <c r="K808" s="5">
        <v>1984.64</v>
      </c>
      <c r="L808" s="5">
        <v>0</v>
      </c>
      <c r="M808">
        <v>11</v>
      </c>
      <c r="N808">
        <v>5</v>
      </c>
      <c r="O808">
        <v>3</v>
      </c>
      <c r="P808">
        <v>2</v>
      </c>
      <c r="Q808">
        <v>5</v>
      </c>
      <c r="R808">
        <v>2</v>
      </c>
      <c r="S808">
        <v>0</v>
      </c>
      <c r="T808">
        <v>1</v>
      </c>
      <c r="U808">
        <v>1</v>
      </c>
      <c r="V808">
        <v>0</v>
      </c>
      <c r="W808" t="s">
        <v>52</v>
      </c>
      <c r="X808">
        <v>33</v>
      </c>
      <c r="Y808">
        <v>1</v>
      </c>
      <c r="Z808">
        <f t="shared" si="72"/>
        <v>35</v>
      </c>
      <c r="AA808">
        <f t="shared" si="73"/>
        <v>0.48484848484848486</v>
      </c>
      <c r="AB808">
        <f t="shared" si="74"/>
        <v>15</v>
      </c>
      <c r="AC808" t="str">
        <f t="shared" si="75"/>
        <v>Low</v>
      </c>
      <c r="AD808" t="str">
        <f t="shared" si="76"/>
        <v>Upsell premium bundle</v>
      </c>
      <c r="AE808">
        <f t="shared" si="77"/>
        <v>65</v>
      </c>
    </row>
    <row r="809" spans="1:31" x14ac:dyDescent="0.35">
      <c r="A809" t="s">
        <v>867</v>
      </c>
      <c r="B809" s="4">
        <v>45701</v>
      </c>
      <c r="C809" s="4">
        <v>46143</v>
      </c>
      <c r="D809" t="s">
        <v>60</v>
      </c>
      <c r="E809">
        <v>41</v>
      </c>
      <c r="F809" t="s">
        <v>43</v>
      </c>
      <c r="G809" t="s">
        <v>40</v>
      </c>
      <c r="H809" t="s">
        <v>35</v>
      </c>
      <c r="I809" t="s">
        <v>36</v>
      </c>
      <c r="J809">
        <v>14</v>
      </c>
      <c r="K809" s="5">
        <v>130.86000000000001</v>
      </c>
      <c r="L809" s="5">
        <v>32.04</v>
      </c>
      <c r="M809">
        <v>31</v>
      </c>
      <c r="N809">
        <v>14</v>
      </c>
      <c r="O809">
        <v>4</v>
      </c>
      <c r="P809">
        <v>3</v>
      </c>
      <c r="Q809">
        <v>33</v>
      </c>
      <c r="R809">
        <v>0</v>
      </c>
      <c r="S809">
        <v>0</v>
      </c>
      <c r="T809">
        <v>1</v>
      </c>
      <c r="U809">
        <v>0</v>
      </c>
      <c r="V809">
        <v>0</v>
      </c>
      <c r="W809" t="s">
        <v>55</v>
      </c>
      <c r="X809">
        <v>-19</v>
      </c>
      <c r="Y809">
        <v>0</v>
      </c>
      <c r="Z809">
        <f t="shared" si="72"/>
        <v>83</v>
      </c>
      <c r="AA809">
        <f t="shared" si="73"/>
        <v>1.4545454545454546</v>
      </c>
      <c r="AB809">
        <f t="shared" si="74"/>
        <v>24</v>
      </c>
      <c r="AC809" t="str">
        <f t="shared" si="75"/>
        <v>Low</v>
      </c>
      <c r="AD809" t="str">
        <f t="shared" si="76"/>
        <v>Upsell premium bundle</v>
      </c>
      <c r="AE809">
        <f t="shared" si="77"/>
        <v>17</v>
      </c>
    </row>
    <row r="810" spans="1:31" x14ac:dyDescent="0.35">
      <c r="A810" t="s">
        <v>868</v>
      </c>
      <c r="B810" s="4">
        <v>45863</v>
      </c>
      <c r="C810" s="4">
        <v>46143</v>
      </c>
      <c r="D810" t="s">
        <v>39</v>
      </c>
      <c r="E810">
        <v>21</v>
      </c>
      <c r="F810" t="s">
        <v>43</v>
      </c>
      <c r="G810" t="s">
        <v>34</v>
      </c>
      <c r="H810" t="s">
        <v>41</v>
      </c>
      <c r="I810" t="s">
        <v>36</v>
      </c>
      <c r="J810">
        <v>9</v>
      </c>
      <c r="K810" s="5">
        <v>104.42</v>
      </c>
      <c r="L810" s="5">
        <v>106.12</v>
      </c>
      <c r="M810">
        <v>14</v>
      </c>
      <c r="N810">
        <v>8</v>
      </c>
      <c r="O810">
        <v>0</v>
      </c>
      <c r="P810">
        <v>1</v>
      </c>
      <c r="Q810">
        <v>10</v>
      </c>
      <c r="R810">
        <v>3</v>
      </c>
      <c r="S810">
        <v>1</v>
      </c>
      <c r="T810">
        <v>1</v>
      </c>
      <c r="U810">
        <v>0</v>
      </c>
      <c r="V810">
        <v>0</v>
      </c>
      <c r="W810" t="s">
        <v>55</v>
      </c>
      <c r="X810">
        <v>-8</v>
      </c>
      <c r="Y810">
        <v>1</v>
      </c>
      <c r="Z810">
        <f t="shared" si="72"/>
        <v>31</v>
      </c>
      <c r="AA810">
        <f t="shared" si="73"/>
        <v>0.61538461538461542</v>
      </c>
      <c r="AB810">
        <f t="shared" si="74"/>
        <v>53</v>
      </c>
      <c r="AC810" t="str">
        <f t="shared" si="75"/>
        <v>Medium</v>
      </c>
      <c r="AD810" t="str">
        <f t="shared" si="76"/>
        <v>Nudge core feature adoption</v>
      </c>
      <c r="AE810">
        <f t="shared" si="77"/>
        <v>69</v>
      </c>
    </row>
    <row r="811" spans="1:31" x14ac:dyDescent="0.35">
      <c r="A811" t="s">
        <v>869</v>
      </c>
      <c r="B811" s="4">
        <v>45348</v>
      </c>
      <c r="C811" s="4">
        <v>46143</v>
      </c>
      <c r="D811" t="s">
        <v>60</v>
      </c>
      <c r="E811">
        <v>20</v>
      </c>
      <c r="F811" t="s">
        <v>33</v>
      </c>
      <c r="G811" t="s">
        <v>67</v>
      </c>
      <c r="H811" t="s">
        <v>41</v>
      </c>
      <c r="I811" t="s">
        <v>36</v>
      </c>
      <c r="J811">
        <v>26</v>
      </c>
      <c r="K811" s="5">
        <v>384.18</v>
      </c>
      <c r="L811" s="5">
        <v>83.18</v>
      </c>
      <c r="M811">
        <v>28</v>
      </c>
      <c r="N811">
        <v>20</v>
      </c>
      <c r="O811">
        <v>1</v>
      </c>
      <c r="P811">
        <v>3</v>
      </c>
      <c r="Q811">
        <v>17</v>
      </c>
      <c r="R811">
        <v>0</v>
      </c>
      <c r="S811">
        <v>0</v>
      </c>
      <c r="T811">
        <v>1</v>
      </c>
      <c r="U811">
        <v>1</v>
      </c>
      <c r="V811">
        <v>0</v>
      </c>
      <c r="W811" t="s">
        <v>50</v>
      </c>
      <c r="X811">
        <v>-21</v>
      </c>
      <c r="Y811">
        <v>0</v>
      </c>
      <c r="Z811">
        <f t="shared" si="72"/>
        <v>74</v>
      </c>
      <c r="AA811">
        <f t="shared" si="73"/>
        <v>0.8035714285714286</v>
      </c>
      <c r="AB811">
        <f t="shared" si="74"/>
        <v>39</v>
      </c>
      <c r="AC811" t="str">
        <f t="shared" si="75"/>
        <v>Low</v>
      </c>
      <c r="AD811" t="str">
        <f t="shared" si="76"/>
        <v>Upsell premium bundle</v>
      </c>
      <c r="AE811">
        <f t="shared" si="77"/>
        <v>26</v>
      </c>
    </row>
    <row r="812" spans="1:31" x14ac:dyDescent="0.35">
      <c r="A812" t="s">
        <v>870</v>
      </c>
      <c r="B812" s="4">
        <v>44735</v>
      </c>
      <c r="C812" s="4">
        <v>46143</v>
      </c>
      <c r="D812" t="s">
        <v>72</v>
      </c>
      <c r="E812">
        <v>18</v>
      </c>
      <c r="F812" t="s">
        <v>43</v>
      </c>
      <c r="G812" t="s">
        <v>85</v>
      </c>
      <c r="H812" t="s">
        <v>58</v>
      </c>
      <c r="I812" t="s">
        <v>36</v>
      </c>
      <c r="J812">
        <v>46</v>
      </c>
      <c r="K812" s="5">
        <v>35.770000000000003</v>
      </c>
      <c r="L812" s="5">
        <v>112.25</v>
      </c>
      <c r="M812">
        <v>42</v>
      </c>
      <c r="N812">
        <v>23</v>
      </c>
      <c r="O812">
        <v>3</v>
      </c>
      <c r="P812">
        <v>5</v>
      </c>
      <c r="Q812">
        <v>32</v>
      </c>
      <c r="R812">
        <v>0</v>
      </c>
      <c r="S812">
        <v>0</v>
      </c>
      <c r="T812">
        <v>1</v>
      </c>
      <c r="U812">
        <v>0</v>
      </c>
      <c r="V812">
        <v>1</v>
      </c>
      <c r="W812" t="s">
        <v>45</v>
      </c>
      <c r="X812">
        <v>39</v>
      </c>
      <c r="Y812">
        <v>0</v>
      </c>
      <c r="Z812">
        <f t="shared" si="72"/>
        <v>100</v>
      </c>
      <c r="AA812">
        <f t="shared" si="73"/>
        <v>0.97368421052631582</v>
      </c>
      <c r="AB812">
        <f t="shared" si="74"/>
        <v>0</v>
      </c>
      <c r="AC812" t="str">
        <f t="shared" si="75"/>
        <v>Low</v>
      </c>
      <c r="AD812" t="str">
        <f t="shared" si="76"/>
        <v>Upsell premium bundle</v>
      </c>
      <c r="AE812">
        <f t="shared" si="77"/>
        <v>0</v>
      </c>
    </row>
    <row r="813" spans="1:31" x14ac:dyDescent="0.35">
      <c r="A813" t="s">
        <v>871</v>
      </c>
      <c r="B813" s="4">
        <v>45648</v>
      </c>
      <c r="C813" s="4">
        <v>46143</v>
      </c>
      <c r="D813" t="s">
        <v>47</v>
      </c>
      <c r="E813">
        <v>65</v>
      </c>
      <c r="F813" t="s">
        <v>43</v>
      </c>
      <c r="G813" t="s">
        <v>67</v>
      </c>
      <c r="H813" t="s">
        <v>41</v>
      </c>
      <c r="I813" t="s">
        <v>36</v>
      </c>
      <c r="J813">
        <v>16</v>
      </c>
      <c r="K813" s="5">
        <v>80.72</v>
      </c>
      <c r="L813" s="5">
        <v>36.31</v>
      </c>
      <c r="M813">
        <v>16</v>
      </c>
      <c r="N813">
        <v>11</v>
      </c>
      <c r="O813">
        <v>4</v>
      </c>
      <c r="P813">
        <v>2</v>
      </c>
      <c r="Q813">
        <v>6</v>
      </c>
      <c r="R813">
        <v>1</v>
      </c>
      <c r="S813">
        <v>1</v>
      </c>
      <c r="T813">
        <v>1</v>
      </c>
      <c r="U813">
        <v>0</v>
      </c>
      <c r="V813">
        <v>0</v>
      </c>
      <c r="W813" t="s">
        <v>37</v>
      </c>
      <c r="X813">
        <v>-9</v>
      </c>
      <c r="Y813">
        <v>1</v>
      </c>
      <c r="Z813">
        <f t="shared" si="72"/>
        <v>38</v>
      </c>
      <c r="AA813">
        <f t="shared" si="73"/>
        <v>0.47826086956521741</v>
      </c>
      <c r="AB813">
        <f t="shared" si="74"/>
        <v>54</v>
      </c>
      <c r="AC813" t="str">
        <f t="shared" si="75"/>
        <v>Medium</v>
      </c>
      <c r="AD813" t="str">
        <f t="shared" si="76"/>
        <v>Nudge core feature adoption</v>
      </c>
      <c r="AE813">
        <f t="shared" si="77"/>
        <v>62</v>
      </c>
    </row>
    <row r="814" spans="1:31" x14ac:dyDescent="0.35">
      <c r="A814" t="s">
        <v>872</v>
      </c>
      <c r="B814" s="4">
        <v>45293</v>
      </c>
      <c r="C814" s="4">
        <v>46143</v>
      </c>
      <c r="D814" t="s">
        <v>39</v>
      </c>
      <c r="E814">
        <v>20</v>
      </c>
      <c r="F814" t="s">
        <v>77</v>
      </c>
      <c r="G814" t="s">
        <v>63</v>
      </c>
      <c r="H814" t="s">
        <v>41</v>
      </c>
      <c r="I814" t="s">
        <v>36</v>
      </c>
      <c r="J814">
        <v>28</v>
      </c>
      <c r="K814" s="5">
        <v>0</v>
      </c>
      <c r="L814" s="5">
        <v>7055.11</v>
      </c>
      <c r="M814">
        <v>8</v>
      </c>
      <c r="N814">
        <v>3</v>
      </c>
      <c r="O814">
        <v>1</v>
      </c>
      <c r="P814">
        <v>0</v>
      </c>
      <c r="Q814">
        <v>7</v>
      </c>
      <c r="R814">
        <v>0</v>
      </c>
      <c r="S814">
        <v>0</v>
      </c>
      <c r="T814">
        <v>1</v>
      </c>
      <c r="U814">
        <v>0</v>
      </c>
      <c r="V814">
        <v>0</v>
      </c>
      <c r="W814" t="s">
        <v>45</v>
      </c>
      <c r="X814">
        <v>50</v>
      </c>
      <c r="Y814">
        <v>0</v>
      </c>
      <c r="Z814">
        <f t="shared" si="72"/>
        <v>18</v>
      </c>
      <c r="AA814">
        <f t="shared" si="73"/>
        <v>0.25862068965517243</v>
      </c>
      <c r="AB814">
        <f t="shared" si="74"/>
        <v>16</v>
      </c>
      <c r="AC814" t="str">
        <f t="shared" si="75"/>
        <v>Low</v>
      </c>
      <c r="AD814" t="str">
        <f t="shared" si="76"/>
        <v>Upsell premium bundle</v>
      </c>
      <c r="AE814">
        <f t="shared" si="77"/>
        <v>82</v>
      </c>
    </row>
    <row r="815" spans="1:31" x14ac:dyDescent="0.35">
      <c r="A815" t="s">
        <v>873</v>
      </c>
      <c r="B815" s="4">
        <v>45453</v>
      </c>
      <c r="C815" s="4">
        <v>46143</v>
      </c>
      <c r="D815" t="s">
        <v>47</v>
      </c>
      <c r="E815">
        <v>22</v>
      </c>
      <c r="F815" t="s">
        <v>61</v>
      </c>
      <c r="G815" t="s">
        <v>40</v>
      </c>
      <c r="H815" t="s">
        <v>58</v>
      </c>
      <c r="I815" t="s">
        <v>49</v>
      </c>
      <c r="J815">
        <v>23</v>
      </c>
      <c r="K815" s="5">
        <v>6824.78</v>
      </c>
      <c r="L815" s="5">
        <v>2630.33</v>
      </c>
      <c r="M815">
        <v>32</v>
      </c>
      <c r="N815">
        <v>13</v>
      </c>
      <c r="O815">
        <v>6</v>
      </c>
      <c r="P815">
        <v>0</v>
      </c>
      <c r="Q815">
        <v>26</v>
      </c>
      <c r="R815">
        <v>2</v>
      </c>
      <c r="S815">
        <v>2</v>
      </c>
      <c r="T815">
        <v>1</v>
      </c>
      <c r="U815">
        <v>0</v>
      </c>
      <c r="V815">
        <v>1</v>
      </c>
      <c r="W815" t="s">
        <v>45</v>
      </c>
      <c r="X815">
        <v>8</v>
      </c>
      <c r="Y815">
        <v>0</v>
      </c>
      <c r="Z815">
        <f t="shared" si="72"/>
        <v>82</v>
      </c>
      <c r="AA815">
        <f t="shared" si="73"/>
        <v>1.0943396226415094</v>
      </c>
      <c r="AB815">
        <f t="shared" si="74"/>
        <v>30</v>
      </c>
      <c r="AC815" t="str">
        <f t="shared" si="75"/>
        <v>Low</v>
      </c>
      <c r="AD815" t="str">
        <f t="shared" si="76"/>
        <v>Upsell premium bundle</v>
      </c>
      <c r="AE815">
        <f t="shared" si="77"/>
        <v>18</v>
      </c>
    </row>
    <row r="816" spans="1:31" x14ac:dyDescent="0.35">
      <c r="A816" t="s">
        <v>874</v>
      </c>
      <c r="B816" s="4">
        <v>44695</v>
      </c>
      <c r="C816" s="4">
        <v>46143</v>
      </c>
      <c r="D816" t="s">
        <v>39</v>
      </c>
      <c r="E816">
        <v>70</v>
      </c>
      <c r="F816" t="s">
        <v>77</v>
      </c>
      <c r="G816" t="s">
        <v>67</v>
      </c>
      <c r="H816" t="s">
        <v>41</v>
      </c>
      <c r="I816" t="s">
        <v>36</v>
      </c>
      <c r="J816">
        <v>48</v>
      </c>
      <c r="K816" s="5">
        <v>15962.93</v>
      </c>
      <c r="L816" s="5">
        <v>8073.6</v>
      </c>
      <c r="M816">
        <v>27</v>
      </c>
      <c r="N816">
        <v>20</v>
      </c>
      <c r="O816">
        <v>5</v>
      </c>
      <c r="P816">
        <v>5</v>
      </c>
      <c r="Q816">
        <v>19</v>
      </c>
      <c r="R816">
        <v>0</v>
      </c>
      <c r="S816">
        <v>0</v>
      </c>
      <c r="T816">
        <v>0</v>
      </c>
      <c r="U816">
        <v>0</v>
      </c>
      <c r="V816">
        <v>1</v>
      </c>
      <c r="W816" t="s">
        <v>55</v>
      </c>
      <c r="X816">
        <v>36</v>
      </c>
      <c r="Y816">
        <v>0</v>
      </c>
      <c r="Z816">
        <f t="shared" si="72"/>
        <v>81</v>
      </c>
      <c r="AA816">
        <f t="shared" si="73"/>
        <v>0.58974358974358976</v>
      </c>
      <c r="AB816">
        <f t="shared" si="74"/>
        <v>0</v>
      </c>
      <c r="AC816" t="str">
        <f t="shared" si="75"/>
        <v>Low</v>
      </c>
      <c r="AD816" t="str">
        <f t="shared" si="76"/>
        <v>Upsell premium bundle</v>
      </c>
      <c r="AE816">
        <f t="shared" si="77"/>
        <v>19</v>
      </c>
    </row>
    <row r="817" spans="1:31" x14ac:dyDescent="0.35">
      <c r="A817" t="s">
        <v>875</v>
      </c>
      <c r="B817" s="4">
        <v>45010</v>
      </c>
      <c r="C817" s="4">
        <v>46143</v>
      </c>
      <c r="D817" t="s">
        <v>72</v>
      </c>
      <c r="E817">
        <v>34</v>
      </c>
      <c r="F817" t="s">
        <v>33</v>
      </c>
      <c r="G817" t="s">
        <v>85</v>
      </c>
      <c r="H817" t="s">
        <v>41</v>
      </c>
      <c r="I817" t="s">
        <v>36</v>
      </c>
      <c r="J817">
        <v>37</v>
      </c>
      <c r="K817" s="5">
        <v>185.59</v>
      </c>
      <c r="L817" s="5">
        <v>323.56</v>
      </c>
      <c r="M817">
        <v>22</v>
      </c>
      <c r="N817">
        <v>9</v>
      </c>
      <c r="O817">
        <v>2</v>
      </c>
      <c r="P817">
        <v>0</v>
      </c>
      <c r="Q817">
        <v>29</v>
      </c>
      <c r="R817">
        <v>4</v>
      </c>
      <c r="S817">
        <v>0</v>
      </c>
      <c r="T817">
        <v>1</v>
      </c>
      <c r="U817">
        <v>0</v>
      </c>
      <c r="V817">
        <v>0</v>
      </c>
      <c r="W817" t="s">
        <v>52</v>
      </c>
      <c r="X817">
        <v>-15</v>
      </c>
      <c r="Y817">
        <v>0</v>
      </c>
      <c r="Z817">
        <f t="shared" si="72"/>
        <v>59</v>
      </c>
      <c r="AA817">
        <f t="shared" si="73"/>
        <v>0.76119402985074625</v>
      </c>
      <c r="AB817">
        <f t="shared" si="74"/>
        <v>36</v>
      </c>
      <c r="AC817" t="str">
        <f t="shared" si="75"/>
        <v>Low</v>
      </c>
      <c r="AD817" t="str">
        <f t="shared" si="76"/>
        <v>Upsell premium bundle</v>
      </c>
      <c r="AE817">
        <f t="shared" si="77"/>
        <v>41</v>
      </c>
    </row>
    <row r="818" spans="1:31" x14ac:dyDescent="0.35">
      <c r="A818" t="s">
        <v>876</v>
      </c>
      <c r="B818" s="4">
        <v>45353</v>
      </c>
      <c r="C818" s="4">
        <v>46143</v>
      </c>
      <c r="D818" t="s">
        <v>66</v>
      </c>
      <c r="E818">
        <v>32</v>
      </c>
      <c r="F818" t="s">
        <v>33</v>
      </c>
      <c r="G818" t="s">
        <v>67</v>
      </c>
      <c r="H818" t="s">
        <v>41</v>
      </c>
      <c r="I818" t="s">
        <v>36</v>
      </c>
      <c r="J818">
        <v>26</v>
      </c>
      <c r="K818" s="5">
        <v>431.74</v>
      </c>
      <c r="L818" s="5">
        <v>0</v>
      </c>
      <c r="M818">
        <v>18</v>
      </c>
      <c r="N818">
        <v>8</v>
      </c>
      <c r="O818">
        <v>2</v>
      </c>
      <c r="P818">
        <v>0</v>
      </c>
      <c r="Q818">
        <v>19</v>
      </c>
      <c r="R818">
        <v>0</v>
      </c>
      <c r="S818">
        <v>0</v>
      </c>
      <c r="T818">
        <v>1</v>
      </c>
      <c r="U818">
        <v>0</v>
      </c>
      <c r="V818">
        <v>0</v>
      </c>
      <c r="W818" t="s">
        <v>37</v>
      </c>
      <c r="X818">
        <v>20</v>
      </c>
      <c r="Y818">
        <v>1</v>
      </c>
      <c r="Z818">
        <f t="shared" si="72"/>
        <v>45</v>
      </c>
      <c r="AA818">
        <f t="shared" si="73"/>
        <v>0.6607142857142857</v>
      </c>
      <c r="AB818">
        <f t="shared" si="74"/>
        <v>30</v>
      </c>
      <c r="AC818" t="str">
        <f t="shared" si="75"/>
        <v>Low</v>
      </c>
      <c r="AD818" t="str">
        <f t="shared" si="76"/>
        <v>Upsell premium bundle</v>
      </c>
      <c r="AE818">
        <f t="shared" si="77"/>
        <v>55</v>
      </c>
    </row>
    <row r="819" spans="1:31" x14ac:dyDescent="0.35">
      <c r="A819" t="s">
        <v>877</v>
      </c>
      <c r="B819" s="4">
        <v>45338</v>
      </c>
      <c r="C819" s="4">
        <v>46143</v>
      </c>
      <c r="D819" t="s">
        <v>66</v>
      </c>
      <c r="E819">
        <v>69</v>
      </c>
      <c r="F819" t="s">
        <v>57</v>
      </c>
      <c r="G819" t="s">
        <v>48</v>
      </c>
      <c r="H819" t="s">
        <v>41</v>
      </c>
      <c r="I819" t="s">
        <v>36</v>
      </c>
      <c r="J819">
        <v>26</v>
      </c>
      <c r="K819" s="5">
        <v>1630.92</v>
      </c>
      <c r="L819" s="5">
        <v>0</v>
      </c>
      <c r="M819">
        <v>39</v>
      </c>
      <c r="N819">
        <v>19</v>
      </c>
      <c r="O819">
        <v>6</v>
      </c>
      <c r="P819">
        <v>2</v>
      </c>
      <c r="Q819">
        <v>30</v>
      </c>
      <c r="R819">
        <v>3</v>
      </c>
      <c r="S819">
        <v>0</v>
      </c>
      <c r="T819">
        <v>1</v>
      </c>
      <c r="U819">
        <v>0</v>
      </c>
      <c r="V819">
        <v>0</v>
      </c>
      <c r="W819" t="s">
        <v>37</v>
      </c>
      <c r="X819">
        <v>69</v>
      </c>
      <c r="Y819">
        <v>0</v>
      </c>
      <c r="Z819">
        <f t="shared" si="72"/>
        <v>93</v>
      </c>
      <c r="AA819">
        <f t="shared" si="73"/>
        <v>1.2321428571428572</v>
      </c>
      <c r="AB819">
        <f t="shared" si="74"/>
        <v>0</v>
      </c>
      <c r="AC819" t="str">
        <f t="shared" si="75"/>
        <v>Low</v>
      </c>
      <c r="AD819" t="str">
        <f t="shared" si="76"/>
        <v>Upsell premium bundle</v>
      </c>
      <c r="AE819">
        <f t="shared" si="77"/>
        <v>7</v>
      </c>
    </row>
    <row r="820" spans="1:31" x14ac:dyDescent="0.35">
      <c r="A820" t="s">
        <v>878</v>
      </c>
      <c r="B820" s="4">
        <v>45560</v>
      </c>
      <c r="C820" s="4">
        <v>46143</v>
      </c>
      <c r="D820" t="s">
        <v>32</v>
      </c>
      <c r="E820">
        <v>66</v>
      </c>
      <c r="F820" t="s">
        <v>57</v>
      </c>
      <c r="G820" t="s">
        <v>67</v>
      </c>
      <c r="H820" t="s">
        <v>41</v>
      </c>
      <c r="I820" t="s">
        <v>36</v>
      </c>
      <c r="J820">
        <v>19</v>
      </c>
      <c r="K820" s="5">
        <v>1897.33</v>
      </c>
      <c r="L820" s="5">
        <v>1064.76</v>
      </c>
      <c r="M820">
        <v>22</v>
      </c>
      <c r="N820">
        <v>12</v>
      </c>
      <c r="O820">
        <v>1</v>
      </c>
      <c r="P820">
        <v>1</v>
      </c>
      <c r="Q820">
        <v>14</v>
      </c>
      <c r="R820">
        <v>3</v>
      </c>
      <c r="S820">
        <v>0</v>
      </c>
      <c r="T820">
        <v>1</v>
      </c>
      <c r="U820">
        <v>0</v>
      </c>
      <c r="V820">
        <v>0</v>
      </c>
      <c r="W820" t="s">
        <v>50</v>
      </c>
      <c r="X820">
        <v>25</v>
      </c>
      <c r="Y820">
        <v>1</v>
      </c>
      <c r="Z820">
        <f t="shared" si="72"/>
        <v>48</v>
      </c>
      <c r="AA820">
        <f t="shared" si="73"/>
        <v>0.73469387755102045</v>
      </c>
      <c r="AB820">
        <f t="shared" si="74"/>
        <v>22</v>
      </c>
      <c r="AC820" t="str">
        <f t="shared" si="75"/>
        <v>Low</v>
      </c>
      <c r="AD820" t="str">
        <f t="shared" si="76"/>
        <v>Upsell premium bundle</v>
      </c>
      <c r="AE820">
        <f t="shared" si="77"/>
        <v>52</v>
      </c>
    </row>
    <row r="821" spans="1:31" x14ac:dyDescent="0.35">
      <c r="A821" t="s">
        <v>879</v>
      </c>
      <c r="B821" s="4">
        <v>45895</v>
      </c>
      <c r="C821" s="4">
        <v>46143</v>
      </c>
      <c r="D821" t="s">
        <v>60</v>
      </c>
      <c r="E821">
        <v>39</v>
      </c>
      <c r="F821" t="s">
        <v>57</v>
      </c>
      <c r="G821" t="s">
        <v>34</v>
      </c>
      <c r="H821" t="s">
        <v>41</v>
      </c>
      <c r="I821" t="s">
        <v>36</v>
      </c>
      <c r="J821">
        <v>8</v>
      </c>
      <c r="K821" s="5">
        <v>767.92</v>
      </c>
      <c r="L821" s="5">
        <v>1185.8599999999999</v>
      </c>
      <c r="M821">
        <v>9</v>
      </c>
      <c r="N821">
        <v>5</v>
      </c>
      <c r="O821">
        <v>2</v>
      </c>
      <c r="P821">
        <v>0</v>
      </c>
      <c r="Q821">
        <v>10</v>
      </c>
      <c r="R821">
        <v>1</v>
      </c>
      <c r="S821">
        <v>0</v>
      </c>
      <c r="T821">
        <v>1</v>
      </c>
      <c r="U821">
        <v>1</v>
      </c>
      <c r="V821">
        <v>0</v>
      </c>
      <c r="W821" t="s">
        <v>55</v>
      </c>
      <c r="X821">
        <v>70</v>
      </c>
      <c r="Y821">
        <v>0</v>
      </c>
      <c r="Z821">
        <f t="shared" si="72"/>
        <v>33</v>
      </c>
      <c r="AA821">
        <f t="shared" si="73"/>
        <v>0.5</v>
      </c>
      <c r="AB821">
        <f t="shared" si="74"/>
        <v>8</v>
      </c>
      <c r="AC821" t="str">
        <f t="shared" si="75"/>
        <v>Low</v>
      </c>
      <c r="AD821" t="str">
        <f t="shared" si="76"/>
        <v>Upsell premium bundle</v>
      </c>
      <c r="AE821">
        <f t="shared" si="77"/>
        <v>67</v>
      </c>
    </row>
    <row r="822" spans="1:31" x14ac:dyDescent="0.35">
      <c r="A822" t="s">
        <v>880</v>
      </c>
      <c r="B822" s="4">
        <v>45796</v>
      </c>
      <c r="C822" s="4">
        <v>46143</v>
      </c>
      <c r="D822" t="s">
        <v>32</v>
      </c>
      <c r="E822">
        <v>70</v>
      </c>
      <c r="F822" t="s">
        <v>43</v>
      </c>
      <c r="G822" t="s">
        <v>40</v>
      </c>
      <c r="H822" t="s">
        <v>58</v>
      </c>
      <c r="I822" t="s">
        <v>36</v>
      </c>
      <c r="J822">
        <v>11</v>
      </c>
      <c r="K822" s="5">
        <v>62.07</v>
      </c>
      <c r="L822" s="5">
        <v>55.15</v>
      </c>
      <c r="M822">
        <v>37</v>
      </c>
      <c r="N822">
        <v>25</v>
      </c>
      <c r="O822">
        <v>10</v>
      </c>
      <c r="P822">
        <v>1</v>
      </c>
      <c r="Q822">
        <v>33</v>
      </c>
      <c r="R822">
        <v>2</v>
      </c>
      <c r="S822">
        <v>1</v>
      </c>
      <c r="T822">
        <v>1</v>
      </c>
      <c r="U822">
        <v>0</v>
      </c>
      <c r="V822">
        <v>1</v>
      </c>
      <c r="W822" t="s">
        <v>45</v>
      </c>
      <c r="X822">
        <v>2</v>
      </c>
      <c r="Y822">
        <v>1</v>
      </c>
      <c r="Z822">
        <f t="shared" si="72"/>
        <v>100</v>
      </c>
      <c r="AA822">
        <f t="shared" si="73"/>
        <v>1.7073170731707317</v>
      </c>
      <c r="AB822">
        <f t="shared" si="74"/>
        <v>12</v>
      </c>
      <c r="AC822" t="str">
        <f t="shared" si="75"/>
        <v>Low</v>
      </c>
      <c r="AD822" t="str">
        <f t="shared" si="76"/>
        <v>Upsell premium bundle</v>
      </c>
      <c r="AE822">
        <f t="shared" si="77"/>
        <v>0</v>
      </c>
    </row>
    <row r="823" spans="1:31" x14ac:dyDescent="0.35">
      <c r="A823" t="s">
        <v>881</v>
      </c>
      <c r="B823" s="4">
        <v>44830</v>
      </c>
      <c r="C823" s="4">
        <v>46143</v>
      </c>
      <c r="D823" t="s">
        <v>47</v>
      </c>
      <c r="E823">
        <v>41</v>
      </c>
      <c r="F823" t="s">
        <v>43</v>
      </c>
      <c r="G823" t="s">
        <v>34</v>
      </c>
      <c r="H823" t="s">
        <v>41</v>
      </c>
      <c r="I823" t="s">
        <v>36</v>
      </c>
      <c r="J823">
        <v>43</v>
      </c>
      <c r="K823" s="5">
        <v>19.670000000000002</v>
      </c>
      <c r="L823" s="5">
        <v>42.63</v>
      </c>
      <c r="M823">
        <v>22</v>
      </c>
      <c r="N823">
        <v>13</v>
      </c>
      <c r="O823">
        <v>1</v>
      </c>
      <c r="P823">
        <v>0</v>
      </c>
      <c r="Q823">
        <v>8</v>
      </c>
      <c r="R823">
        <v>0</v>
      </c>
      <c r="S823">
        <v>2</v>
      </c>
      <c r="T823">
        <v>1</v>
      </c>
      <c r="U823">
        <v>1</v>
      </c>
      <c r="V823">
        <v>1</v>
      </c>
      <c r="W823" t="s">
        <v>45</v>
      </c>
      <c r="X823">
        <v>11</v>
      </c>
      <c r="Y823">
        <v>0</v>
      </c>
      <c r="Z823">
        <f t="shared" si="72"/>
        <v>57</v>
      </c>
      <c r="AA823">
        <f t="shared" si="73"/>
        <v>0.41095890410958902</v>
      </c>
      <c r="AB823">
        <f t="shared" si="74"/>
        <v>46</v>
      </c>
      <c r="AC823" t="str">
        <f t="shared" si="75"/>
        <v>Medium</v>
      </c>
      <c r="AD823" t="str">
        <f t="shared" si="76"/>
        <v>Nudge core feature adoption</v>
      </c>
      <c r="AE823">
        <f t="shared" si="77"/>
        <v>43</v>
      </c>
    </row>
    <row r="824" spans="1:31" x14ac:dyDescent="0.35">
      <c r="A824" t="s">
        <v>882</v>
      </c>
      <c r="B824" s="4">
        <v>44839</v>
      </c>
      <c r="C824" s="4">
        <v>46143</v>
      </c>
      <c r="D824" t="s">
        <v>39</v>
      </c>
      <c r="E824">
        <v>38</v>
      </c>
      <c r="F824" t="s">
        <v>33</v>
      </c>
      <c r="G824" t="s">
        <v>40</v>
      </c>
      <c r="H824" t="s">
        <v>41</v>
      </c>
      <c r="I824" t="s">
        <v>36</v>
      </c>
      <c r="J824">
        <v>43</v>
      </c>
      <c r="K824" s="5">
        <v>253.12</v>
      </c>
      <c r="L824" s="5">
        <v>134.16</v>
      </c>
      <c r="M824">
        <v>30</v>
      </c>
      <c r="N824">
        <v>9</v>
      </c>
      <c r="O824">
        <v>4</v>
      </c>
      <c r="P824">
        <v>2</v>
      </c>
      <c r="Q824">
        <v>25</v>
      </c>
      <c r="R824">
        <v>0</v>
      </c>
      <c r="S824">
        <v>0</v>
      </c>
      <c r="T824">
        <v>1</v>
      </c>
      <c r="U824">
        <v>0</v>
      </c>
      <c r="V824">
        <v>1</v>
      </c>
      <c r="W824" t="s">
        <v>55</v>
      </c>
      <c r="X824">
        <v>68</v>
      </c>
      <c r="Y824">
        <v>0</v>
      </c>
      <c r="Z824">
        <f t="shared" si="72"/>
        <v>76</v>
      </c>
      <c r="AA824">
        <f t="shared" si="73"/>
        <v>0.75342465753424659</v>
      </c>
      <c r="AB824">
        <f t="shared" si="74"/>
        <v>0</v>
      </c>
      <c r="AC824" t="str">
        <f t="shared" si="75"/>
        <v>Low</v>
      </c>
      <c r="AD824" t="str">
        <f t="shared" si="76"/>
        <v>Upsell premium bundle</v>
      </c>
      <c r="AE824">
        <f t="shared" si="77"/>
        <v>24</v>
      </c>
    </row>
    <row r="825" spans="1:31" x14ac:dyDescent="0.35">
      <c r="A825" t="s">
        <v>883</v>
      </c>
      <c r="B825" s="4">
        <v>45675</v>
      </c>
      <c r="C825" s="4">
        <v>46143</v>
      </c>
      <c r="D825" t="s">
        <v>32</v>
      </c>
      <c r="E825">
        <v>71</v>
      </c>
      <c r="F825" t="s">
        <v>57</v>
      </c>
      <c r="G825" t="s">
        <v>40</v>
      </c>
      <c r="H825" t="s">
        <v>41</v>
      </c>
      <c r="I825" t="s">
        <v>36</v>
      </c>
      <c r="J825">
        <v>15</v>
      </c>
      <c r="K825" s="5">
        <v>858.92</v>
      </c>
      <c r="L825" s="5">
        <v>847.74</v>
      </c>
      <c r="M825">
        <v>21</v>
      </c>
      <c r="N825">
        <v>7</v>
      </c>
      <c r="O825">
        <v>4</v>
      </c>
      <c r="P825">
        <v>2</v>
      </c>
      <c r="Q825">
        <v>14</v>
      </c>
      <c r="R825">
        <v>2</v>
      </c>
      <c r="S825">
        <v>0</v>
      </c>
      <c r="T825">
        <v>1</v>
      </c>
      <c r="U825">
        <v>0</v>
      </c>
      <c r="V825">
        <v>1</v>
      </c>
      <c r="W825" t="s">
        <v>55</v>
      </c>
      <c r="X825">
        <v>-3</v>
      </c>
      <c r="Y825">
        <v>1</v>
      </c>
      <c r="Z825">
        <f t="shared" si="72"/>
        <v>55</v>
      </c>
      <c r="AA825">
        <f t="shared" si="73"/>
        <v>0.77777777777777779</v>
      </c>
      <c r="AB825">
        <f t="shared" si="74"/>
        <v>35</v>
      </c>
      <c r="AC825" t="str">
        <f t="shared" si="75"/>
        <v>Low</v>
      </c>
      <c r="AD825" t="str">
        <f t="shared" si="76"/>
        <v>Upsell premium bundle</v>
      </c>
      <c r="AE825">
        <f t="shared" si="77"/>
        <v>45</v>
      </c>
    </row>
    <row r="826" spans="1:31" x14ac:dyDescent="0.35">
      <c r="A826" t="s">
        <v>884</v>
      </c>
      <c r="B826" s="4">
        <v>44862</v>
      </c>
      <c r="C826" s="4">
        <v>46143</v>
      </c>
      <c r="D826" t="s">
        <v>39</v>
      </c>
      <c r="E826">
        <v>50</v>
      </c>
      <c r="F826" t="s">
        <v>61</v>
      </c>
      <c r="G826" t="s">
        <v>67</v>
      </c>
      <c r="H826" t="s">
        <v>44</v>
      </c>
      <c r="I826" t="s">
        <v>36</v>
      </c>
      <c r="J826">
        <v>42</v>
      </c>
      <c r="K826" s="5">
        <v>5570.12</v>
      </c>
      <c r="L826" s="5">
        <v>1417.14</v>
      </c>
      <c r="M826">
        <v>59</v>
      </c>
      <c r="N826">
        <v>16</v>
      </c>
      <c r="O826">
        <v>12</v>
      </c>
      <c r="P826">
        <v>5</v>
      </c>
      <c r="Q826">
        <v>39</v>
      </c>
      <c r="R826">
        <v>1</v>
      </c>
      <c r="S826">
        <v>2</v>
      </c>
      <c r="T826">
        <v>1</v>
      </c>
      <c r="U826">
        <v>1</v>
      </c>
      <c r="V826">
        <v>1</v>
      </c>
      <c r="W826" t="s">
        <v>37</v>
      </c>
      <c r="X826">
        <v>24</v>
      </c>
      <c r="Y826">
        <v>0</v>
      </c>
      <c r="Z826">
        <f t="shared" si="72"/>
        <v>100</v>
      </c>
      <c r="AA826">
        <f t="shared" si="73"/>
        <v>1.3611111111111112</v>
      </c>
      <c r="AB826">
        <f t="shared" si="74"/>
        <v>11</v>
      </c>
      <c r="AC826" t="str">
        <f t="shared" si="75"/>
        <v>Low</v>
      </c>
      <c r="AD826" t="str">
        <f t="shared" si="76"/>
        <v>Upsell premium bundle</v>
      </c>
      <c r="AE826">
        <f t="shared" si="77"/>
        <v>0</v>
      </c>
    </row>
    <row r="827" spans="1:31" x14ac:dyDescent="0.35">
      <c r="A827" t="s">
        <v>885</v>
      </c>
      <c r="B827" s="4">
        <v>45620</v>
      </c>
      <c r="C827" s="4">
        <v>46143</v>
      </c>
      <c r="D827" t="s">
        <v>39</v>
      </c>
      <c r="E827">
        <v>38</v>
      </c>
      <c r="F827" t="s">
        <v>61</v>
      </c>
      <c r="G827" t="s">
        <v>34</v>
      </c>
      <c r="H827" t="s">
        <v>44</v>
      </c>
      <c r="I827" t="s">
        <v>49</v>
      </c>
      <c r="J827">
        <v>17</v>
      </c>
      <c r="K827" s="5">
        <v>1460.83</v>
      </c>
      <c r="L827" s="5">
        <v>0</v>
      </c>
      <c r="M827">
        <v>45</v>
      </c>
      <c r="N827">
        <v>25</v>
      </c>
      <c r="O827">
        <v>5</v>
      </c>
      <c r="P827">
        <v>8</v>
      </c>
      <c r="Q827">
        <v>38</v>
      </c>
      <c r="R827">
        <v>1</v>
      </c>
      <c r="S827">
        <v>2</v>
      </c>
      <c r="T827">
        <v>0</v>
      </c>
      <c r="U827">
        <v>0</v>
      </c>
      <c r="V827">
        <v>0</v>
      </c>
      <c r="W827" t="s">
        <v>50</v>
      </c>
      <c r="X827">
        <v>21</v>
      </c>
      <c r="Y827">
        <v>0</v>
      </c>
      <c r="Z827">
        <f t="shared" si="72"/>
        <v>100</v>
      </c>
      <c r="AA827">
        <f t="shared" si="73"/>
        <v>1.7659574468085106</v>
      </c>
      <c r="AB827">
        <f t="shared" si="74"/>
        <v>28</v>
      </c>
      <c r="AC827" t="str">
        <f t="shared" si="75"/>
        <v>Low</v>
      </c>
      <c r="AD827" t="str">
        <f t="shared" si="76"/>
        <v>Upsell premium bundle</v>
      </c>
      <c r="AE827">
        <f t="shared" si="77"/>
        <v>0</v>
      </c>
    </row>
    <row r="828" spans="1:31" x14ac:dyDescent="0.35">
      <c r="A828" t="s">
        <v>886</v>
      </c>
      <c r="B828" s="4">
        <v>45539</v>
      </c>
      <c r="C828" s="4">
        <v>46143</v>
      </c>
      <c r="D828" t="s">
        <v>39</v>
      </c>
      <c r="E828">
        <v>51</v>
      </c>
      <c r="F828" t="s">
        <v>61</v>
      </c>
      <c r="G828" t="s">
        <v>40</v>
      </c>
      <c r="H828" t="s">
        <v>44</v>
      </c>
      <c r="I828" t="s">
        <v>54</v>
      </c>
      <c r="J828">
        <v>20</v>
      </c>
      <c r="K828" s="5">
        <v>1281.52</v>
      </c>
      <c r="L828" s="5">
        <v>1916.39</v>
      </c>
      <c r="M828">
        <v>28</v>
      </c>
      <c r="N828">
        <v>8</v>
      </c>
      <c r="O828">
        <v>6</v>
      </c>
      <c r="P828">
        <v>5</v>
      </c>
      <c r="Q828">
        <v>9</v>
      </c>
      <c r="R828">
        <v>3</v>
      </c>
      <c r="S828">
        <v>2</v>
      </c>
      <c r="T828">
        <v>1</v>
      </c>
      <c r="U828">
        <v>1</v>
      </c>
      <c r="V828">
        <v>1</v>
      </c>
      <c r="W828" t="s">
        <v>50</v>
      </c>
      <c r="X828">
        <v>-2</v>
      </c>
      <c r="Y828">
        <v>1</v>
      </c>
      <c r="Z828">
        <f t="shared" si="72"/>
        <v>74</v>
      </c>
      <c r="AA828">
        <f t="shared" si="73"/>
        <v>0.74</v>
      </c>
      <c r="AB828">
        <f t="shared" si="74"/>
        <v>37</v>
      </c>
      <c r="AC828" t="str">
        <f t="shared" si="75"/>
        <v>Low</v>
      </c>
      <c r="AD828" t="str">
        <f t="shared" si="76"/>
        <v>Upsell premium bundle</v>
      </c>
      <c r="AE828">
        <f t="shared" si="77"/>
        <v>26</v>
      </c>
    </row>
    <row r="829" spans="1:31" x14ac:dyDescent="0.35">
      <c r="A829" t="s">
        <v>887</v>
      </c>
      <c r="B829" s="4">
        <v>45258</v>
      </c>
      <c r="C829" s="4">
        <v>46143</v>
      </c>
      <c r="D829" t="s">
        <v>32</v>
      </c>
      <c r="E829">
        <v>49</v>
      </c>
      <c r="F829" t="s">
        <v>33</v>
      </c>
      <c r="G829" t="s">
        <v>48</v>
      </c>
      <c r="H829" t="s">
        <v>41</v>
      </c>
      <c r="I829" t="s">
        <v>36</v>
      </c>
      <c r="J829">
        <v>29</v>
      </c>
      <c r="K829" s="5">
        <v>539.33000000000004</v>
      </c>
      <c r="L829" s="5">
        <v>240.43</v>
      </c>
      <c r="M829">
        <v>14</v>
      </c>
      <c r="N829">
        <v>6</v>
      </c>
      <c r="O829">
        <v>3</v>
      </c>
      <c r="P829">
        <v>2</v>
      </c>
      <c r="Q829">
        <v>12</v>
      </c>
      <c r="R829">
        <v>0</v>
      </c>
      <c r="S829">
        <v>0</v>
      </c>
      <c r="T829">
        <v>1</v>
      </c>
      <c r="U829">
        <v>1</v>
      </c>
      <c r="V829">
        <v>0</v>
      </c>
      <c r="W829" t="s">
        <v>45</v>
      </c>
      <c r="X829">
        <v>4</v>
      </c>
      <c r="Y829">
        <v>0</v>
      </c>
      <c r="Z829">
        <f t="shared" si="72"/>
        <v>45</v>
      </c>
      <c r="AA829">
        <f t="shared" si="73"/>
        <v>0.44067796610169491</v>
      </c>
      <c r="AB829">
        <f t="shared" si="74"/>
        <v>38</v>
      </c>
      <c r="AC829" t="str">
        <f t="shared" si="75"/>
        <v>Low</v>
      </c>
      <c r="AD829" t="str">
        <f t="shared" si="76"/>
        <v>Upsell premium bundle</v>
      </c>
      <c r="AE829">
        <f t="shared" si="77"/>
        <v>55</v>
      </c>
    </row>
    <row r="830" spans="1:31" x14ac:dyDescent="0.35">
      <c r="A830" t="s">
        <v>888</v>
      </c>
      <c r="B830" s="4">
        <v>45060</v>
      </c>
      <c r="C830" s="4">
        <v>46143</v>
      </c>
      <c r="D830" t="s">
        <v>47</v>
      </c>
      <c r="E830">
        <v>27</v>
      </c>
      <c r="F830" t="s">
        <v>77</v>
      </c>
      <c r="G830" t="s">
        <v>63</v>
      </c>
      <c r="H830" t="s">
        <v>41</v>
      </c>
      <c r="I830" t="s">
        <v>36</v>
      </c>
      <c r="J830">
        <v>36</v>
      </c>
      <c r="K830" s="5">
        <v>4993.6899999999996</v>
      </c>
      <c r="L830" s="5">
        <v>7494.14</v>
      </c>
      <c r="M830">
        <v>21</v>
      </c>
      <c r="N830">
        <v>10</v>
      </c>
      <c r="O830">
        <v>4</v>
      </c>
      <c r="P830">
        <v>3</v>
      </c>
      <c r="Q830">
        <v>15</v>
      </c>
      <c r="R830">
        <v>1</v>
      </c>
      <c r="S830">
        <v>1</v>
      </c>
      <c r="T830">
        <v>1</v>
      </c>
      <c r="U830">
        <v>0</v>
      </c>
      <c r="V830">
        <v>0</v>
      </c>
      <c r="W830" t="s">
        <v>52</v>
      </c>
      <c r="X830">
        <v>9</v>
      </c>
      <c r="Y830">
        <v>0</v>
      </c>
      <c r="Z830">
        <f t="shared" si="72"/>
        <v>53</v>
      </c>
      <c r="AA830">
        <f t="shared" si="73"/>
        <v>0.54545454545454541</v>
      </c>
      <c r="AB830">
        <f t="shared" si="74"/>
        <v>29</v>
      </c>
      <c r="AC830" t="str">
        <f t="shared" si="75"/>
        <v>Low</v>
      </c>
      <c r="AD830" t="str">
        <f t="shared" si="76"/>
        <v>Upsell premium bundle</v>
      </c>
      <c r="AE830">
        <f t="shared" si="77"/>
        <v>47</v>
      </c>
    </row>
    <row r="831" spans="1:31" x14ac:dyDescent="0.35">
      <c r="A831" t="s">
        <v>889</v>
      </c>
      <c r="B831" s="4">
        <v>45643</v>
      </c>
      <c r="C831" s="4">
        <v>46143</v>
      </c>
      <c r="D831" t="s">
        <v>66</v>
      </c>
      <c r="E831">
        <v>50</v>
      </c>
      <c r="F831" t="s">
        <v>57</v>
      </c>
      <c r="G831" t="s">
        <v>67</v>
      </c>
      <c r="H831" t="s">
        <v>41</v>
      </c>
      <c r="I831" t="s">
        <v>36</v>
      </c>
      <c r="J831">
        <v>16</v>
      </c>
      <c r="K831" s="5">
        <v>884.94</v>
      </c>
      <c r="L831" s="5">
        <v>548.67999999999995</v>
      </c>
      <c r="M831">
        <v>44</v>
      </c>
      <c r="N831">
        <v>23</v>
      </c>
      <c r="O831">
        <v>3</v>
      </c>
      <c r="P831">
        <v>8</v>
      </c>
      <c r="Q831">
        <v>21</v>
      </c>
      <c r="R831">
        <v>0</v>
      </c>
      <c r="S831">
        <v>0</v>
      </c>
      <c r="T831">
        <v>1</v>
      </c>
      <c r="U831">
        <v>0</v>
      </c>
      <c r="V831">
        <v>0</v>
      </c>
      <c r="W831" t="s">
        <v>37</v>
      </c>
      <c r="X831">
        <v>88</v>
      </c>
      <c r="Y831">
        <v>0</v>
      </c>
      <c r="Z831">
        <f t="shared" si="72"/>
        <v>98</v>
      </c>
      <c r="AA831">
        <f t="shared" si="73"/>
        <v>1.4130434782608696</v>
      </c>
      <c r="AB831">
        <f t="shared" si="74"/>
        <v>0</v>
      </c>
      <c r="AC831" t="str">
        <f t="shared" si="75"/>
        <v>Low</v>
      </c>
      <c r="AD831" t="str">
        <f t="shared" si="76"/>
        <v>Upsell premium bundle</v>
      </c>
      <c r="AE831">
        <f t="shared" si="77"/>
        <v>2</v>
      </c>
    </row>
    <row r="832" spans="1:31" x14ac:dyDescent="0.35">
      <c r="A832" t="s">
        <v>890</v>
      </c>
      <c r="B832" s="4">
        <v>45756</v>
      </c>
      <c r="C832" s="4">
        <v>46143</v>
      </c>
      <c r="D832" t="s">
        <v>47</v>
      </c>
      <c r="E832">
        <v>19</v>
      </c>
      <c r="F832" t="s">
        <v>57</v>
      </c>
      <c r="G832" t="s">
        <v>34</v>
      </c>
      <c r="H832" t="s">
        <v>44</v>
      </c>
      <c r="I832" t="s">
        <v>36</v>
      </c>
      <c r="J832">
        <v>12</v>
      </c>
      <c r="K832" s="5">
        <v>493.63</v>
      </c>
      <c r="L832" s="5">
        <v>0</v>
      </c>
      <c r="M832">
        <v>31</v>
      </c>
      <c r="N832">
        <v>19</v>
      </c>
      <c r="O832">
        <v>2</v>
      </c>
      <c r="P832">
        <v>3</v>
      </c>
      <c r="Q832">
        <v>23</v>
      </c>
      <c r="R832">
        <v>0</v>
      </c>
      <c r="S832">
        <v>0</v>
      </c>
      <c r="T832">
        <v>1</v>
      </c>
      <c r="U832">
        <v>0</v>
      </c>
      <c r="V832">
        <v>1</v>
      </c>
      <c r="W832" t="s">
        <v>55</v>
      </c>
      <c r="X832">
        <v>10</v>
      </c>
      <c r="Y832">
        <v>0</v>
      </c>
      <c r="Z832">
        <f t="shared" si="72"/>
        <v>82</v>
      </c>
      <c r="AA832">
        <f t="shared" si="73"/>
        <v>1.2857142857142858</v>
      </c>
      <c r="AB832">
        <f t="shared" si="74"/>
        <v>10</v>
      </c>
      <c r="AC832" t="str">
        <f t="shared" si="75"/>
        <v>Low</v>
      </c>
      <c r="AD832" t="str">
        <f t="shared" si="76"/>
        <v>Upsell premium bundle</v>
      </c>
      <c r="AE832">
        <f t="shared" si="77"/>
        <v>18</v>
      </c>
    </row>
    <row r="833" spans="1:31" x14ac:dyDescent="0.35">
      <c r="A833" t="s">
        <v>891</v>
      </c>
      <c r="B833" s="4">
        <v>44896</v>
      </c>
      <c r="C833" s="4">
        <v>46143</v>
      </c>
      <c r="D833" t="s">
        <v>32</v>
      </c>
      <c r="E833">
        <v>71</v>
      </c>
      <c r="F833" t="s">
        <v>57</v>
      </c>
      <c r="G833" t="s">
        <v>34</v>
      </c>
      <c r="H833" t="s">
        <v>58</v>
      </c>
      <c r="I833" t="s">
        <v>36</v>
      </c>
      <c r="J833">
        <v>41</v>
      </c>
      <c r="K833" s="5">
        <v>1909.49</v>
      </c>
      <c r="L833" s="5">
        <v>626.02</v>
      </c>
      <c r="M833">
        <v>32</v>
      </c>
      <c r="N833">
        <v>15</v>
      </c>
      <c r="O833">
        <v>6</v>
      </c>
      <c r="P833">
        <v>0</v>
      </c>
      <c r="Q833">
        <v>21</v>
      </c>
      <c r="R833">
        <v>1</v>
      </c>
      <c r="S833">
        <v>0</v>
      </c>
      <c r="T833">
        <v>0</v>
      </c>
      <c r="U833">
        <v>1</v>
      </c>
      <c r="V833">
        <v>1</v>
      </c>
      <c r="W833" t="s">
        <v>45</v>
      </c>
      <c r="X833">
        <v>22</v>
      </c>
      <c r="Y833">
        <v>0</v>
      </c>
      <c r="Z833">
        <f t="shared" si="72"/>
        <v>87</v>
      </c>
      <c r="AA833">
        <f t="shared" si="73"/>
        <v>0.74647887323943662</v>
      </c>
      <c r="AB833">
        <f t="shared" si="74"/>
        <v>1</v>
      </c>
      <c r="AC833" t="str">
        <f t="shared" si="75"/>
        <v>Low</v>
      </c>
      <c r="AD833" t="str">
        <f t="shared" si="76"/>
        <v>Upsell premium bundle</v>
      </c>
      <c r="AE833">
        <f t="shared" si="77"/>
        <v>13</v>
      </c>
    </row>
    <row r="834" spans="1:31" x14ac:dyDescent="0.35">
      <c r="A834" t="s">
        <v>892</v>
      </c>
      <c r="B834" s="4">
        <v>45920</v>
      </c>
      <c r="C834" s="4">
        <v>46143</v>
      </c>
      <c r="D834" t="s">
        <v>72</v>
      </c>
      <c r="E834">
        <v>56</v>
      </c>
      <c r="F834" t="s">
        <v>57</v>
      </c>
      <c r="G834" t="s">
        <v>63</v>
      </c>
      <c r="H834" t="s">
        <v>44</v>
      </c>
      <c r="I834" t="s">
        <v>36</v>
      </c>
      <c r="J834">
        <v>7</v>
      </c>
      <c r="K834" s="5">
        <v>910.01</v>
      </c>
      <c r="L834" s="5">
        <v>1564.9</v>
      </c>
      <c r="M834">
        <v>45</v>
      </c>
      <c r="N834">
        <v>31</v>
      </c>
      <c r="O834">
        <v>10</v>
      </c>
      <c r="P834">
        <v>8</v>
      </c>
      <c r="Q834">
        <v>27</v>
      </c>
      <c r="R834">
        <v>2</v>
      </c>
      <c r="S834">
        <v>1</v>
      </c>
      <c r="T834">
        <v>1</v>
      </c>
      <c r="U834">
        <v>1</v>
      </c>
      <c r="V834">
        <v>1</v>
      </c>
      <c r="W834" t="s">
        <v>55</v>
      </c>
      <c r="X834">
        <v>-17</v>
      </c>
      <c r="Y834">
        <v>0</v>
      </c>
      <c r="Z834">
        <f t="shared" ref="Z834:Z897" si="78">MIN(100,ROUND((M834*1.1+N834*0.7+O834*1.2+P834*1.4+Q834*0.9+U834*8+V834*7),0))</f>
        <v>100</v>
      </c>
      <c r="AA834">
        <f t="shared" ref="AA834:AA897" si="79">IFERROR((M834+Q834)/(30+J834),0)</f>
        <v>1.9459459459459461</v>
      </c>
      <c r="AB834">
        <f t="shared" ref="AB834:AB897" si="80">ROUND(MIN(100,MAX(0,60-Z834*0.4-R834*1.5+S834*8-IF(L834&gt;1500,10,0)-X834*0.5+IF(I834="Completed",-8,8)+IF(H834="Free",6,-4))),0)</f>
        <v>12</v>
      </c>
      <c r="AC834" t="str">
        <f t="shared" ref="AC834:AC897" si="81">IF(AB834&gt;=70,"High",IF(AB834&gt;=40,"Medium","Low"))</f>
        <v>Low</v>
      </c>
      <c r="AD834" t="str">
        <f t="shared" ref="AD834:AD897" si="82">IF(AC834="High",IF(Q834&lt;5,"Re-engage with app usage offer",IF(K834&lt;100,"Deposit incentive","Retention call")),IF(AC834="Medium","Nudge core feature adoption","Upsell premium bundle"))</f>
        <v>Upsell premium bundle</v>
      </c>
      <c r="AE834">
        <f t="shared" ref="AE834:AE897" si="83">100-Z834</f>
        <v>0</v>
      </c>
    </row>
    <row r="835" spans="1:31" x14ac:dyDescent="0.35">
      <c r="A835" t="s">
        <v>893</v>
      </c>
      <c r="B835" s="4">
        <v>45283</v>
      </c>
      <c r="C835" s="4">
        <v>46143</v>
      </c>
      <c r="D835" t="s">
        <v>72</v>
      </c>
      <c r="E835">
        <v>27</v>
      </c>
      <c r="F835" t="s">
        <v>57</v>
      </c>
      <c r="G835" t="s">
        <v>34</v>
      </c>
      <c r="H835" t="s">
        <v>44</v>
      </c>
      <c r="I835" t="s">
        <v>36</v>
      </c>
      <c r="J835">
        <v>28</v>
      </c>
      <c r="K835" s="5">
        <v>1406.83</v>
      </c>
      <c r="L835" s="5">
        <v>966.99</v>
      </c>
      <c r="M835">
        <v>52</v>
      </c>
      <c r="N835">
        <v>21</v>
      </c>
      <c r="O835">
        <v>11</v>
      </c>
      <c r="P835">
        <v>6</v>
      </c>
      <c r="Q835">
        <v>34</v>
      </c>
      <c r="R835">
        <v>1</v>
      </c>
      <c r="S835">
        <v>1</v>
      </c>
      <c r="T835">
        <v>1</v>
      </c>
      <c r="U835">
        <v>0</v>
      </c>
      <c r="V835">
        <v>1</v>
      </c>
      <c r="W835" t="s">
        <v>37</v>
      </c>
      <c r="X835">
        <v>25</v>
      </c>
      <c r="Y835">
        <v>0</v>
      </c>
      <c r="Z835">
        <f t="shared" si="78"/>
        <v>100</v>
      </c>
      <c r="AA835">
        <f t="shared" si="79"/>
        <v>1.4827586206896552</v>
      </c>
      <c r="AB835">
        <f t="shared" si="80"/>
        <v>2</v>
      </c>
      <c r="AC835" t="str">
        <f t="shared" si="81"/>
        <v>Low</v>
      </c>
      <c r="AD835" t="str">
        <f t="shared" si="82"/>
        <v>Upsell premium bundle</v>
      </c>
      <c r="AE835">
        <f t="shared" si="83"/>
        <v>0</v>
      </c>
    </row>
    <row r="836" spans="1:31" x14ac:dyDescent="0.35">
      <c r="A836" t="s">
        <v>894</v>
      </c>
      <c r="B836" s="4">
        <v>45857</v>
      </c>
      <c r="C836" s="4">
        <v>46143</v>
      </c>
      <c r="D836" t="s">
        <v>66</v>
      </c>
      <c r="E836">
        <v>42</v>
      </c>
      <c r="F836" t="s">
        <v>43</v>
      </c>
      <c r="G836" t="s">
        <v>40</v>
      </c>
      <c r="H836" t="s">
        <v>44</v>
      </c>
      <c r="I836" t="s">
        <v>36</v>
      </c>
      <c r="J836">
        <v>9</v>
      </c>
      <c r="K836" s="5">
        <v>60.79</v>
      </c>
      <c r="L836" s="5">
        <v>79.33</v>
      </c>
      <c r="M836">
        <v>41</v>
      </c>
      <c r="N836">
        <v>17</v>
      </c>
      <c r="O836">
        <v>2</v>
      </c>
      <c r="P836">
        <v>5</v>
      </c>
      <c r="Q836">
        <v>24</v>
      </c>
      <c r="R836">
        <v>0</v>
      </c>
      <c r="S836">
        <v>0</v>
      </c>
      <c r="T836">
        <v>1</v>
      </c>
      <c r="U836">
        <v>1</v>
      </c>
      <c r="V836">
        <v>0</v>
      </c>
      <c r="W836" t="s">
        <v>37</v>
      </c>
      <c r="X836">
        <v>32</v>
      </c>
      <c r="Y836">
        <v>0</v>
      </c>
      <c r="Z836">
        <f t="shared" si="78"/>
        <v>96</v>
      </c>
      <c r="AA836">
        <f t="shared" si="79"/>
        <v>1.6666666666666667</v>
      </c>
      <c r="AB836">
        <f t="shared" si="80"/>
        <v>0</v>
      </c>
      <c r="AC836" t="str">
        <f t="shared" si="81"/>
        <v>Low</v>
      </c>
      <c r="AD836" t="str">
        <f t="shared" si="82"/>
        <v>Upsell premium bundle</v>
      </c>
      <c r="AE836">
        <f t="shared" si="83"/>
        <v>4</v>
      </c>
    </row>
    <row r="837" spans="1:31" x14ac:dyDescent="0.35">
      <c r="A837" t="s">
        <v>895</v>
      </c>
      <c r="B837" s="4">
        <v>45768</v>
      </c>
      <c r="C837" s="4">
        <v>46143</v>
      </c>
      <c r="D837" t="s">
        <v>72</v>
      </c>
      <c r="E837">
        <v>19</v>
      </c>
      <c r="F837" t="s">
        <v>57</v>
      </c>
      <c r="G837" t="s">
        <v>63</v>
      </c>
      <c r="H837" t="s">
        <v>44</v>
      </c>
      <c r="I837" t="s">
        <v>36</v>
      </c>
      <c r="J837">
        <v>12</v>
      </c>
      <c r="K837" s="5">
        <v>1085.56</v>
      </c>
      <c r="L837" s="5">
        <v>1126.8399999999999</v>
      </c>
      <c r="M837">
        <v>48</v>
      </c>
      <c r="N837">
        <v>30</v>
      </c>
      <c r="O837">
        <v>4</v>
      </c>
      <c r="P837">
        <v>1</v>
      </c>
      <c r="Q837">
        <v>24</v>
      </c>
      <c r="R837">
        <v>3</v>
      </c>
      <c r="S837">
        <v>0</v>
      </c>
      <c r="T837">
        <v>1</v>
      </c>
      <c r="U837">
        <v>1</v>
      </c>
      <c r="V837">
        <v>1</v>
      </c>
      <c r="W837" t="s">
        <v>37</v>
      </c>
      <c r="X837">
        <v>2</v>
      </c>
      <c r="Y837">
        <v>0</v>
      </c>
      <c r="Z837">
        <f t="shared" si="78"/>
        <v>100</v>
      </c>
      <c r="AA837">
        <f t="shared" si="79"/>
        <v>1.7142857142857142</v>
      </c>
      <c r="AB837">
        <f t="shared" si="80"/>
        <v>3</v>
      </c>
      <c r="AC837" t="str">
        <f t="shared" si="81"/>
        <v>Low</v>
      </c>
      <c r="AD837" t="str">
        <f t="shared" si="82"/>
        <v>Upsell premium bundle</v>
      </c>
      <c r="AE837">
        <f t="shared" si="83"/>
        <v>0</v>
      </c>
    </row>
    <row r="838" spans="1:31" x14ac:dyDescent="0.35">
      <c r="A838" t="s">
        <v>896</v>
      </c>
      <c r="B838" s="4">
        <v>46067</v>
      </c>
      <c r="C838" s="4">
        <v>46143</v>
      </c>
      <c r="D838" t="s">
        <v>72</v>
      </c>
      <c r="E838">
        <v>34</v>
      </c>
      <c r="F838" t="s">
        <v>33</v>
      </c>
      <c r="G838" t="s">
        <v>48</v>
      </c>
      <c r="H838" t="s">
        <v>58</v>
      </c>
      <c r="I838" t="s">
        <v>49</v>
      </c>
      <c r="J838">
        <v>2</v>
      </c>
      <c r="K838" s="5">
        <v>326.23</v>
      </c>
      <c r="L838" s="5">
        <v>160.62</v>
      </c>
      <c r="M838">
        <v>35</v>
      </c>
      <c r="N838">
        <v>23</v>
      </c>
      <c r="O838">
        <v>9</v>
      </c>
      <c r="P838">
        <v>3</v>
      </c>
      <c r="Q838">
        <v>30</v>
      </c>
      <c r="R838">
        <v>0</v>
      </c>
      <c r="S838">
        <v>1</v>
      </c>
      <c r="T838">
        <v>1</v>
      </c>
      <c r="U838">
        <v>0</v>
      </c>
      <c r="V838">
        <v>1</v>
      </c>
      <c r="W838" t="s">
        <v>37</v>
      </c>
      <c r="X838">
        <v>6</v>
      </c>
      <c r="Y838">
        <v>0</v>
      </c>
      <c r="Z838">
        <f t="shared" si="78"/>
        <v>100</v>
      </c>
      <c r="AA838">
        <f t="shared" si="79"/>
        <v>2.03125</v>
      </c>
      <c r="AB838">
        <f t="shared" si="80"/>
        <v>29</v>
      </c>
      <c r="AC838" t="str">
        <f t="shared" si="81"/>
        <v>Low</v>
      </c>
      <c r="AD838" t="str">
        <f t="shared" si="82"/>
        <v>Upsell premium bundle</v>
      </c>
      <c r="AE838">
        <f t="shared" si="83"/>
        <v>0</v>
      </c>
    </row>
    <row r="839" spans="1:31" x14ac:dyDescent="0.35">
      <c r="A839" t="s">
        <v>897</v>
      </c>
      <c r="B839" s="4">
        <v>45898</v>
      </c>
      <c r="C839" s="4">
        <v>46143</v>
      </c>
      <c r="D839" t="s">
        <v>60</v>
      </c>
      <c r="E839">
        <v>45</v>
      </c>
      <c r="F839" t="s">
        <v>77</v>
      </c>
      <c r="G839" t="s">
        <v>40</v>
      </c>
      <c r="H839" t="s">
        <v>41</v>
      </c>
      <c r="I839" t="s">
        <v>36</v>
      </c>
      <c r="J839">
        <v>8</v>
      </c>
      <c r="K839" s="5">
        <v>6862.13</v>
      </c>
      <c r="L839" s="5">
        <v>7709.16</v>
      </c>
      <c r="M839">
        <v>21</v>
      </c>
      <c r="N839">
        <v>14</v>
      </c>
      <c r="O839">
        <v>6</v>
      </c>
      <c r="P839">
        <v>2</v>
      </c>
      <c r="Q839">
        <v>17</v>
      </c>
      <c r="R839">
        <v>0</v>
      </c>
      <c r="S839">
        <v>1</v>
      </c>
      <c r="T839">
        <v>1</v>
      </c>
      <c r="U839">
        <v>0</v>
      </c>
      <c r="V839">
        <v>0</v>
      </c>
      <c r="W839" t="s">
        <v>50</v>
      </c>
      <c r="X839">
        <v>3</v>
      </c>
      <c r="Y839">
        <v>0</v>
      </c>
      <c r="Z839">
        <f t="shared" si="78"/>
        <v>58</v>
      </c>
      <c r="AA839">
        <f t="shared" si="79"/>
        <v>1</v>
      </c>
      <c r="AB839">
        <f t="shared" si="80"/>
        <v>31</v>
      </c>
      <c r="AC839" t="str">
        <f t="shared" si="81"/>
        <v>Low</v>
      </c>
      <c r="AD839" t="str">
        <f t="shared" si="82"/>
        <v>Upsell premium bundle</v>
      </c>
      <c r="AE839">
        <f t="shared" si="83"/>
        <v>42</v>
      </c>
    </row>
    <row r="840" spans="1:31" x14ac:dyDescent="0.35">
      <c r="A840" t="s">
        <v>898</v>
      </c>
      <c r="B840" s="4">
        <v>44908</v>
      </c>
      <c r="C840" s="4">
        <v>46143</v>
      </c>
      <c r="D840" t="s">
        <v>39</v>
      </c>
      <c r="E840">
        <v>19</v>
      </c>
      <c r="F840" t="s">
        <v>33</v>
      </c>
      <c r="G840" t="s">
        <v>40</v>
      </c>
      <c r="H840" t="s">
        <v>41</v>
      </c>
      <c r="I840" t="s">
        <v>36</v>
      </c>
      <c r="J840">
        <v>41</v>
      </c>
      <c r="K840" s="5">
        <v>180.3</v>
      </c>
      <c r="L840" s="5">
        <v>0</v>
      </c>
      <c r="M840">
        <v>24</v>
      </c>
      <c r="N840">
        <v>11</v>
      </c>
      <c r="O840">
        <v>1</v>
      </c>
      <c r="P840">
        <v>3</v>
      </c>
      <c r="Q840">
        <v>11</v>
      </c>
      <c r="R840">
        <v>0</v>
      </c>
      <c r="S840">
        <v>2</v>
      </c>
      <c r="T840">
        <v>1</v>
      </c>
      <c r="U840">
        <v>0</v>
      </c>
      <c r="V840">
        <v>0</v>
      </c>
      <c r="W840" t="s">
        <v>50</v>
      </c>
      <c r="X840">
        <v>-2</v>
      </c>
      <c r="Y840">
        <v>1</v>
      </c>
      <c r="Z840">
        <f t="shared" si="78"/>
        <v>49</v>
      </c>
      <c r="AA840">
        <f t="shared" si="79"/>
        <v>0.49295774647887325</v>
      </c>
      <c r="AB840">
        <f t="shared" si="80"/>
        <v>55</v>
      </c>
      <c r="AC840" t="str">
        <f t="shared" si="81"/>
        <v>Medium</v>
      </c>
      <c r="AD840" t="str">
        <f t="shared" si="82"/>
        <v>Nudge core feature adoption</v>
      </c>
      <c r="AE840">
        <f t="shared" si="83"/>
        <v>51</v>
      </c>
    </row>
    <row r="841" spans="1:31" x14ac:dyDescent="0.35">
      <c r="A841" t="s">
        <v>899</v>
      </c>
      <c r="B841" s="4">
        <v>45685</v>
      </c>
      <c r="C841" s="4">
        <v>46143</v>
      </c>
      <c r="D841" t="s">
        <v>60</v>
      </c>
      <c r="E841">
        <v>23</v>
      </c>
      <c r="F841" t="s">
        <v>61</v>
      </c>
      <c r="G841" t="s">
        <v>85</v>
      </c>
      <c r="H841" t="s">
        <v>58</v>
      </c>
      <c r="I841" t="s">
        <v>36</v>
      </c>
      <c r="J841">
        <v>15</v>
      </c>
      <c r="K841" s="5">
        <v>4442.55</v>
      </c>
      <c r="L841" s="5">
        <v>1927.13</v>
      </c>
      <c r="M841">
        <v>36</v>
      </c>
      <c r="N841">
        <v>18</v>
      </c>
      <c r="O841">
        <v>3</v>
      </c>
      <c r="P841">
        <v>0</v>
      </c>
      <c r="Q841">
        <v>38</v>
      </c>
      <c r="R841">
        <v>0</v>
      </c>
      <c r="S841">
        <v>1</v>
      </c>
      <c r="T841">
        <v>1</v>
      </c>
      <c r="U841">
        <v>0</v>
      </c>
      <c r="V841">
        <v>1</v>
      </c>
      <c r="W841" t="s">
        <v>50</v>
      </c>
      <c r="X841">
        <v>45</v>
      </c>
      <c r="Y841">
        <v>0</v>
      </c>
      <c r="Z841">
        <f t="shared" si="78"/>
        <v>97</v>
      </c>
      <c r="AA841">
        <f t="shared" si="79"/>
        <v>1.6444444444444444</v>
      </c>
      <c r="AB841">
        <f t="shared" si="80"/>
        <v>0</v>
      </c>
      <c r="AC841" t="str">
        <f t="shared" si="81"/>
        <v>Low</v>
      </c>
      <c r="AD841" t="str">
        <f t="shared" si="82"/>
        <v>Upsell premium bundle</v>
      </c>
      <c r="AE841">
        <f t="shared" si="83"/>
        <v>3</v>
      </c>
    </row>
    <row r="842" spans="1:31" x14ac:dyDescent="0.35">
      <c r="A842" t="s">
        <v>900</v>
      </c>
      <c r="B842" s="4">
        <v>45872</v>
      </c>
      <c r="C842" s="4">
        <v>46143</v>
      </c>
      <c r="D842" t="s">
        <v>66</v>
      </c>
      <c r="E842">
        <v>18</v>
      </c>
      <c r="F842" t="s">
        <v>77</v>
      </c>
      <c r="G842" t="s">
        <v>67</v>
      </c>
      <c r="H842" t="s">
        <v>41</v>
      </c>
      <c r="I842" t="s">
        <v>36</v>
      </c>
      <c r="J842">
        <v>9</v>
      </c>
      <c r="K842" s="5">
        <v>14612.83</v>
      </c>
      <c r="L842" s="5">
        <v>626.79999999999995</v>
      </c>
      <c r="M842">
        <v>22</v>
      </c>
      <c r="N842">
        <v>13</v>
      </c>
      <c r="O842">
        <v>1</v>
      </c>
      <c r="P842">
        <v>4</v>
      </c>
      <c r="Q842">
        <v>22</v>
      </c>
      <c r="R842">
        <v>0</v>
      </c>
      <c r="S842">
        <v>0</v>
      </c>
      <c r="T842">
        <v>1</v>
      </c>
      <c r="U842">
        <v>0</v>
      </c>
      <c r="V842">
        <v>1</v>
      </c>
      <c r="W842" t="s">
        <v>55</v>
      </c>
      <c r="X842">
        <v>32</v>
      </c>
      <c r="Y842">
        <v>0</v>
      </c>
      <c r="Z842">
        <f t="shared" si="78"/>
        <v>67</v>
      </c>
      <c r="AA842">
        <f t="shared" si="79"/>
        <v>1.1282051282051282</v>
      </c>
      <c r="AB842">
        <f t="shared" si="80"/>
        <v>15</v>
      </c>
      <c r="AC842" t="str">
        <f t="shared" si="81"/>
        <v>Low</v>
      </c>
      <c r="AD842" t="str">
        <f t="shared" si="82"/>
        <v>Upsell premium bundle</v>
      </c>
      <c r="AE842">
        <f t="shared" si="83"/>
        <v>33</v>
      </c>
    </row>
    <row r="843" spans="1:31" x14ac:dyDescent="0.35">
      <c r="A843" t="s">
        <v>901</v>
      </c>
      <c r="B843" s="4">
        <v>45298</v>
      </c>
      <c r="C843" s="4">
        <v>46143</v>
      </c>
      <c r="D843" t="s">
        <v>60</v>
      </c>
      <c r="E843">
        <v>69</v>
      </c>
      <c r="F843" t="s">
        <v>33</v>
      </c>
      <c r="G843" t="s">
        <v>67</v>
      </c>
      <c r="H843" t="s">
        <v>44</v>
      </c>
      <c r="I843" t="s">
        <v>36</v>
      </c>
      <c r="J843">
        <v>28</v>
      </c>
      <c r="K843" s="5">
        <v>431.25</v>
      </c>
      <c r="L843" s="5">
        <v>443.62</v>
      </c>
      <c r="M843">
        <v>51</v>
      </c>
      <c r="N843">
        <v>31</v>
      </c>
      <c r="O843">
        <v>10</v>
      </c>
      <c r="P843">
        <v>8</v>
      </c>
      <c r="Q843">
        <v>24</v>
      </c>
      <c r="R843">
        <v>2</v>
      </c>
      <c r="S843">
        <v>1</v>
      </c>
      <c r="T843">
        <v>1</v>
      </c>
      <c r="U843">
        <v>0</v>
      </c>
      <c r="V843">
        <v>1</v>
      </c>
      <c r="W843" t="s">
        <v>37</v>
      </c>
      <c r="X843">
        <v>20</v>
      </c>
      <c r="Y843">
        <v>0</v>
      </c>
      <c r="Z843">
        <f t="shared" si="78"/>
        <v>100</v>
      </c>
      <c r="AA843">
        <f t="shared" si="79"/>
        <v>1.2931034482758621</v>
      </c>
      <c r="AB843">
        <f t="shared" si="80"/>
        <v>3</v>
      </c>
      <c r="AC843" t="str">
        <f t="shared" si="81"/>
        <v>Low</v>
      </c>
      <c r="AD843" t="str">
        <f t="shared" si="82"/>
        <v>Upsell premium bundle</v>
      </c>
      <c r="AE843">
        <f t="shared" si="83"/>
        <v>0</v>
      </c>
    </row>
    <row r="844" spans="1:31" x14ac:dyDescent="0.35">
      <c r="A844" t="s">
        <v>902</v>
      </c>
      <c r="B844" s="4">
        <v>45968</v>
      </c>
      <c r="C844" s="4">
        <v>46143</v>
      </c>
      <c r="D844" t="s">
        <v>32</v>
      </c>
      <c r="E844">
        <v>43</v>
      </c>
      <c r="F844" t="s">
        <v>77</v>
      </c>
      <c r="G844" t="s">
        <v>40</v>
      </c>
      <c r="H844" t="s">
        <v>41</v>
      </c>
      <c r="I844" t="s">
        <v>36</v>
      </c>
      <c r="J844">
        <v>5</v>
      </c>
      <c r="K844" s="5">
        <v>4179.6499999999996</v>
      </c>
      <c r="L844" s="5">
        <v>2226.64</v>
      </c>
      <c r="M844">
        <v>0</v>
      </c>
      <c r="N844">
        <v>0</v>
      </c>
      <c r="O844">
        <v>0</v>
      </c>
      <c r="P844">
        <v>0</v>
      </c>
      <c r="Q844">
        <v>13</v>
      </c>
      <c r="R844">
        <v>5</v>
      </c>
      <c r="S844">
        <v>0</v>
      </c>
      <c r="T844">
        <v>0</v>
      </c>
      <c r="U844">
        <v>0</v>
      </c>
      <c r="V844">
        <v>0</v>
      </c>
      <c r="W844" t="s">
        <v>52</v>
      </c>
      <c r="X844">
        <v>44</v>
      </c>
      <c r="Y844">
        <v>1</v>
      </c>
      <c r="Z844">
        <f t="shared" si="78"/>
        <v>12</v>
      </c>
      <c r="AA844">
        <f t="shared" si="79"/>
        <v>0.37142857142857144</v>
      </c>
      <c r="AB844">
        <f t="shared" si="80"/>
        <v>14</v>
      </c>
      <c r="AC844" t="str">
        <f t="shared" si="81"/>
        <v>Low</v>
      </c>
      <c r="AD844" t="str">
        <f t="shared" si="82"/>
        <v>Upsell premium bundle</v>
      </c>
      <c r="AE844">
        <f t="shared" si="83"/>
        <v>88</v>
      </c>
    </row>
    <row r="845" spans="1:31" x14ac:dyDescent="0.35">
      <c r="A845" t="s">
        <v>903</v>
      </c>
      <c r="B845" s="4">
        <v>45222</v>
      </c>
      <c r="C845" s="4">
        <v>46143</v>
      </c>
      <c r="D845" t="s">
        <v>39</v>
      </c>
      <c r="E845">
        <v>36</v>
      </c>
      <c r="F845" t="s">
        <v>61</v>
      </c>
      <c r="G845" t="s">
        <v>48</v>
      </c>
      <c r="H845" t="s">
        <v>41</v>
      </c>
      <c r="I845" t="s">
        <v>36</v>
      </c>
      <c r="J845">
        <v>30</v>
      </c>
      <c r="K845" s="5">
        <v>3828.65</v>
      </c>
      <c r="L845" s="5">
        <v>1154.5999999999999</v>
      </c>
      <c r="M845">
        <v>20</v>
      </c>
      <c r="N845">
        <v>13</v>
      </c>
      <c r="O845">
        <v>1</v>
      </c>
      <c r="P845">
        <v>2</v>
      </c>
      <c r="Q845">
        <v>4</v>
      </c>
      <c r="R845">
        <v>1</v>
      </c>
      <c r="S845">
        <v>2</v>
      </c>
      <c r="T845">
        <v>0</v>
      </c>
      <c r="U845">
        <v>0</v>
      </c>
      <c r="V845">
        <v>0</v>
      </c>
      <c r="W845" t="s">
        <v>50</v>
      </c>
      <c r="X845">
        <v>62</v>
      </c>
      <c r="Y845">
        <v>1</v>
      </c>
      <c r="Z845">
        <f t="shared" si="78"/>
        <v>39</v>
      </c>
      <c r="AA845">
        <f t="shared" si="79"/>
        <v>0.4</v>
      </c>
      <c r="AB845">
        <f t="shared" si="80"/>
        <v>26</v>
      </c>
      <c r="AC845" t="str">
        <f t="shared" si="81"/>
        <v>Low</v>
      </c>
      <c r="AD845" t="str">
        <f t="shared" si="82"/>
        <v>Upsell premium bundle</v>
      </c>
      <c r="AE845">
        <f t="shared" si="83"/>
        <v>61</v>
      </c>
    </row>
    <row r="846" spans="1:31" x14ac:dyDescent="0.35">
      <c r="A846" t="s">
        <v>904</v>
      </c>
      <c r="B846" s="4">
        <v>45581</v>
      </c>
      <c r="C846" s="4">
        <v>46143</v>
      </c>
      <c r="D846" t="s">
        <v>60</v>
      </c>
      <c r="E846">
        <v>23</v>
      </c>
      <c r="F846" t="s">
        <v>33</v>
      </c>
      <c r="G846" t="s">
        <v>34</v>
      </c>
      <c r="H846" t="s">
        <v>41</v>
      </c>
      <c r="I846" t="s">
        <v>49</v>
      </c>
      <c r="J846">
        <v>18</v>
      </c>
      <c r="K846" s="5">
        <v>226.9</v>
      </c>
      <c r="L846" s="5">
        <v>157.16</v>
      </c>
      <c r="M846">
        <v>7</v>
      </c>
      <c r="N846">
        <v>1</v>
      </c>
      <c r="O846">
        <v>0</v>
      </c>
      <c r="P846">
        <v>1</v>
      </c>
      <c r="Q846">
        <v>7</v>
      </c>
      <c r="R846">
        <v>2</v>
      </c>
      <c r="S846">
        <v>0</v>
      </c>
      <c r="T846">
        <v>0</v>
      </c>
      <c r="U846">
        <v>0</v>
      </c>
      <c r="V846">
        <v>1</v>
      </c>
      <c r="W846" t="s">
        <v>52</v>
      </c>
      <c r="X846">
        <v>24</v>
      </c>
      <c r="Y846">
        <v>1</v>
      </c>
      <c r="Z846">
        <f t="shared" si="78"/>
        <v>23</v>
      </c>
      <c r="AA846">
        <f t="shared" si="79"/>
        <v>0.29166666666666669</v>
      </c>
      <c r="AB846">
        <f t="shared" si="80"/>
        <v>50</v>
      </c>
      <c r="AC846" t="str">
        <f t="shared" si="81"/>
        <v>Medium</v>
      </c>
      <c r="AD846" t="str">
        <f t="shared" si="82"/>
        <v>Nudge core feature adoption</v>
      </c>
      <c r="AE846">
        <f t="shared" si="83"/>
        <v>77</v>
      </c>
    </row>
    <row r="847" spans="1:31" x14ac:dyDescent="0.35">
      <c r="A847" t="s">
        <v>905</v>
      </c>
      <c r="B847" s="4">
        <v>45229</v>
      </c>
      <c r="C847" s="4">
        <v>46143</v>
      </c>
      <c r="D847" t="s">
        <v>39</v>
      </c>
      <c r="E847">
        <v>24</v>
      </c>
      <c r="F847" t="s">
        <v>43</v>
      </c>
      <c r="G847" t="s">
        <v>34</v>
      </c>
      <c r="H847" t="s">
        <v>58</v>
      </c>
      <c r="I847" t="s">
        <v>54</v>
      </c>
      <c r="J847">
        <v>30</v>
      </c>
      <c r="K847" s="5">
        <v>92.46</v>
      </c>
      <c r="L847" s="5">
        <v>10.36</v>
      </c>
      <c r="M847">
        <v>35</v>
      </c>
      <c r="N847">
        <v>20</v>
      </c>
      <c r="O847">
        <v>5</v>
      </c>
      <c r="P847">
        <v>0</v>
      </c>
      <c r="Q847">
        <v>31</v>
      </c>
      <c r="R847">
        <v>0</v>
      </c>
      <c r="S847">
        <v>3</v>
      </c>
      <c r="T847">
        <v>0</v>
      </c>
      <c r="U847">
        <v>0</v>
      </c>
      <c r="V847">
        <v>0</v>
      </c>
      <c r="W847" t="s">
        <v>37</v>
      </c>
      <c r="X847">
        <v>38</v>
      </c>
      <c r="Y847">
        <v>0</v>
      </c>
      <c r="Z847">
        <f t="shared" si="78"/>
        <v>86</v>
      </c>
      <c r="AA847">
        <f t="shared" si="79"/>
        <v>1.1000000000000001</v>
      </c>
      <c r="AB847">
        <f t="shared" si="80"/>
        <v>35</v>
      </c>
      <c r="AC847" t="str">
        <f t="shared" si="81"/>
        <v>Low</v>
      </c>
      <c r="AD847" t="str">
        <f t="shared" si="82"/>
        <v>Upsell premium bundle</v>
      </c>
      <c r="AE847">
        <f t="shared" si="83"/>
        <v>14</v>
      </c>
    </row>
    <row r="848" spans="1:31" x14ac:dyDescent="0.35">
      <c r="A848" t="s">
        <v>906</v>
      </c>
      <c r="B848" s="4">
        <v>45787</v>
      </c>
      <c r="C848" s="4">
        <v>46143</v>
      </c>
      <c r="D848" t="s">
        <v>66</v>
      </c>
      <c r="E848">
        <v>30</v>
      </c>
      <c r="F848" t="s">
        <v>43</v>
      </c>
      <c r="G848" t="s">
        <v>63</v>
      </c>
      <c r="H848" t="s">
        <v>41</v>
      </c>
      <c r="I848" t="s">
        <v>49</v>
      </c>
      <c r="J848">
        <v>11</v>
      </c>
      <c r="K848" s="5">
        <v>55.47</v>
      </c>
      <c r="L848" s="5">
        <v>26.25</v>
      </c>
      <c r="M848">
        <v>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 t="s">
        <v>55</v>
      </c>
      <c r="X848">
        <v>11</v>
      </c>
      <c r="Y848">
        <v>1</v>
      </c>
      <c r="Z848">
        <f t="shared" si="78"/>
        <v>12</v>
      </c>
      <c r="AA848">
        <f t="shared" si="79"/>
        <v>9.7560975609756101E-2</v>
      </c>
      <c r="AB848">
        <f t="shared" si="80"/>
        <v>64</v>
      </c>
      <c r="AC848" t="str">
        <f t="shared" si="81"/>
        <v>Medium</v>
      </c>
      <c r="AD848" t="str">
        <f t="shared" si="82"/>
        <v>Nudge core feature adoption</v>
      </c>
      <c r="AE848">
        <f t="shared" si="83"/>
        <v>88</v>
      </c>
    </row>
    <row r="849" spans="1:31" x14ac:dyDescent="0.35">
      <c r="A849" t="s">
        <v>907</v>
      </c>
      <c r="B849" s="4">
        <v>45983</v>
      </c>
      <c r="C849" s="4">
        <v>46143</v>
      </c>
      <c r="D849" t="s">
        <v>72</v>
      </c>
      <c r="E849">
        <v>27</v>
      </c>
      <c r="F849" t="s">
        <v>77</v>
      </c>
      <c r="G849" t="s">
        <v>63</v>
      </c>
      <c r="H849" t="s">
        <v>35</v>
      </c>
      <c r="I849" t="s">
        <v>36</v>
      </c>
      <c r="J849">
        <v>5</v>
      </c>
      <c r="K849" s="5">
        <v>9005.85</v>
      </c>
      <c r="L849" s="5">
        <v>6636.52</v>
      </c>
      <c r="M849">
        <v>3</v>
      </c>
      <c r="N849">
        <v>0</v>
      </c>
      <c r="O849">
        <v>0</v>
      </c>
      <c r="P849">
        <v>0</v>
      </c>
      <c r="Q849">
        <v>11</v>
      </c>
      <c r="R849">
        <v>0</v>
      </c>
      <c r="S849">
        <v>0</v>
      </c>
      <c r="T849">
        <v>0</v>
      </c>
      <c r="U849">
        <v>1</v>
      </c>
      <c r="V849">
        <v>0</v>
      </c>
      <c r="W849" t="s">
        <v>55</v>
      </c>
      <c r="X849">
        <v>36</v>
      </c>
      <c r="Y849">
        <v>0</v>
      </c>
      <c r="Z849">
        <f t="shared" si="78"/>
        <v>21</v>
      </c>
      <c r="AA849">
        <f t="shared" si="79"/>
        <v>0.4</v>
      </c>
      <c r="AB849">
        <f t="shared" si="80"/>
        <v>12</v>
      </c>
      <c r="AC849" t="str">
        <f t="shared" si="81"/>
        <v>Low</v>
      </c>
      <c r="AD849" t="str">
        <f t="shared" si="82"/>
        <v>Upsell premium bundle</v>
      </c>
      <c r="AE849">
        <f t="shared" si="83"/>
        <v>79</v>
      </c>
    </row>
    <row r="850" spans="1:31" x14ac:dyDescent="0.35">
      <c r="A850" t="s">
        <v>908</v>
      </c>
      <c r="B850" s="4">
        <v>45897</v>
      </c>
      <c r="C850" s="4">
        <v>46143</v>
      </c>
      <c r="D850" t="s">
        <v>60</v>
      </c>
      <c r="E850">
        <v>45</v>
      </c>
      <c r="F850" t="s">
        <v>43</v>
      </c>
      <c r="G850" t="s">
        <v>48</v>
      </c>
      <c r="H850" t="s">
        <v>41</v>
      </c>
      <c r="I850" t="s">
        <v>36</v>
      </c>
      <c r="J850">
        <v>8</v>
      </c>
      <c r="K850" s="5">
        <v>76.67</v>
      </c>
      <c r="L850" s="5">
        <v>44.77</v>
      </c>
      <c r="M850">
        <v>7</v>
      </c>
      <c r="N850">
        <v>5</v>
      </c>
      <c r="O850">
        <v>0</v>
      </c>
      <c r="P850">
        <v>1</v>
      </c>
      <c r="Q850">
        <v>0</v>
      </c>
      <c r="R850">
        <v>3</v>
      </c>
      <c r="S850">
        <v>3</v>
      </c>
      <c r="T850">
        <v>0</v>
      </c>
      <c r="U850">
        <v>0</v>
      </c>
      <c r="V850">
        <v>0</v>
      </c>
      <c r="W850" t="s">
        <v>50</v>
      </c>
      <c r="X850">
        <v>67</v>
      </c>
      <c r="Y850">
        <v>1</v>
      </c>
      <c r="Z850">
        <f t="shared" si="78"/>
        <v>13</v>
      </c>
      <c r="AA850">
        <f t="shared" si="79"/>
        <v>0.18421052631578946</v>
      </c>
      <c r="AB850">
        <f t="shared" si="80"/>
        <v>39</v>
      </c>
      <c r="AC850" t="str">
        <f t="shared" si="81"/>
        <v>Low</v>
      </c>
      <c r="AD850" t="str">
        <f t="shared" si="82"/>
        <v>Upsell premium bundle</v>
      </c>
      <c r="AE850">
        <f t="shared" si="83"/>
        <v>87</v>
      </c>
    </row>
    <row r="851" spans="1:31" x14ac:dyDescent="0.35">
      <c r="A851" t="s">
        <v>909</v>
      </c>
      <c r="B851" s="4">
        <v>45408</v>
      </c>
      <c r="C851" s="4">
        <v>46143</v>
      </c>
      <c r="D851" t="s">
        <v>72</v>
      </c>
      <c r="E851">
        <v>19</v>
      </c>
      <c r="F851" t="s">
        <v>57</v>
      </c>
      <c r="G851" t="s">
        <v>34</v>
      </c>
      <c r="H851" t="s">
        <v>41</v>
      </c>
      <c r="I851" t="s">
        <v>36</v>
      </c>
      <c r="J851">
        <v>24</v>
      </c>
      <c r="K851" s="5">
        <v>1507.37</v>
      </c>
      <c r="L851" s="5">
        <v>438.05</v>
      </c>
      <c r="M851">
        <v>3</v>
      </c>
      <c r="N851">
        <v>1</v>
      </c>
      <c r="O851">
        <v>0</v>
      </c>
      <c r="P851">
        <v>0</v>
      </c>
      <c r="Q851">
        <v>9</v>
      </c>
      <c r="R851">
        <v>2</v>
      </c>
      <c r="S851">
        <v>0</v>
      </c>
      <c r="T851">
        <v>0</v>
      </c>
      <c r="U851">
        <v>1</v>
      </c>
      <c r="V851">
        <v>0</v>
      </c>
      <c r="W851" t="s">
        <v>37</v>
      </c>
      <c r="X851">
        <v>1</v>
      </c>
      <c r="Y851">
        <v>1</v>
      </c>
      <c r="Z851">
        <f t="shared" si="78"/>
        <v>20</v>
      </c>
      <c r="AA851">
        <f t="shared" si="79"/>
        <v>0.22222222222222221</v>
      </c>
      <c r="AB851">
        <f t="shared" si="80"/>
        <v>47</v>
      </c>
      <c r="AC851" t="str">
        <f t="shared" si="81"/>
        <v>Medium</v>
      </c>
      <c r="AD851" t="str">
        <f t="shared" si="82"/>
        <v>Nudge core feature adoption</v>
      </c>
      <c r="AE851">
        <f t="shared" si="83"/>
        <v>80</v>
      </c>
    </row>
    <row r="852" spans="1:31" x14ac:dyDescent="0.35">
      <c r="A852" t="s">
        <v>910</v>
      </c>
      <c r="B852" s="4">
        <v>45769</v>
      </c>
      <c r="C852" s="4">
        <v>46143</v>
      </c>
      <c r="D852" t="s">
        <v>47</v>
      </c>
      <c r="E852">
        <v>70</v>
      </c>
      <c r="F852" t="s">
        <v>33</v>
      </c>
      <c r="G852" t="s">
        <v>40</v>
      </c>
      <c r="H852" t="s">
        <v>58</v>
      </c>
      <c r="I852" t="s">
        <v>36</v>
      </c>
      <c r="J852">
        <v>12</v>
      </c>
      <c r="K852" s="5">
        <v>570.91999999999996</v>
      </c>
      <c r="L852" s="5">
        <v>409.18</v>
      </c>
      <c r="M852">
        <v>36</v>
      </c>
      <c r="N852">
        <v>10</v>
      </c>
      <c r="O852">
        <v>2</v>
      </c>
      <c r="P852">
        <v>4</v>
      </c>
      <c r="Q852">
        <v>21</v>
      </c>
      <c r="R852">
        <v>1</v>
      </c>
      <c r="S852">
        <v>1</v>
      </c>
      <c r="T852">
        <v>1</v>
      </c>
      <c r="U852">
        <v>0</v>
      </c>
      <c r="V852">
        <v>0</v>
      </c>
      <c r="W852" t="s">
        <v>55</v>
      </c>
      <c r="X852">
        <v>8</v>
      </c>
      <c r="Y852">
        <v>0</v>
      </c>
      <c r="Z852">
        <f t="shared" si="78"/>
        <v>74</v>
      </c>
      <c r="AA852">
        <f t="shared" si="79"/>
        <v>1.3571428571428572</v>
      </c>
      <c r="AB852">
        <f t="shared" si="80"/>
        <v>21</v>
      </c>
      <c r="AC852" t="str">
        <f t="shared" si="81"/>
        <v>Low</v>
      </c>
      <c r="AD852" t="str">
        <f t="shared" si="82"/>
        <v>Upsell premium bundle</v>
      </c>
      <c r="AE852">
        <f t="shared" si="83"/>
        <v>26</v>
      </c>
    </row>
    <row r="853" spans="1:31" x14ac:dyDescent="0.35">
      <c r="A853" t="s">
        <v>911</v>
      </c>
      <c r="B853" s="4">
        <v>46078</v>
      </c>
      <c r="C853" s="4">
        <v>46143</v>
      </c>
      <c r="D853" t="s">
        <v>66</v>
      </c>
      <c r="E853">
        <v>71</v>
      </c>
      <c r="F853" t="s">
        <v>43</v>
      </c>
      <c r="G853" t="s">
        <v>85</v>
      </c>
      <c r="H853" t="s">
        <v>41</v>
      </c>
      <c r="I853" t="s">
        <v>36</v>
      </c>
      <c r="J853">
        <v>2</v>
      </c>
      <c r="K853" s="5">
        <v>18.14</v>
      </c>
      <c r="L853" s="5">
        <v>85.26</v>
      </c>
      <c r="M853">
        <v>9</v>
      </c>
      <c r="N853">
        <v>4</v>
      </c>
      <c r="O853">
        <v>1</v>
      </c>
      <c r="P853">
        <v>1</v>
      </c>
      <c r="Q853">
        <v>16</v>
      </c>
      <c r="R853">
        <v>4</v>
      </c>
      <c r="S853">
        <v>3</v>
      </c>
      <c r="T853">
        <v>1</v>
      </c>
      <c r="U853">
        <v>0</v>
      </c>
      <c r="V853">
        <v>0</v>
      </c>
      <c r="W853" t="s">
        <v>45</v>
      </c>
      <c r="X853">
        <v>10</v>
      </c>
      <c r="Y853">
        <v>1</v>
      </c>
      <c r="Z853">
        <f t="shared" si="78"/>
        <v>30</v>
      </c>
      <c r="AA853">
        <f t="shared" si="79"/>
        <v>0.78125</v>
      </c>
      <c r="AB853">
        <f t="shared" si="80"/>
        <v>59</v>
      </c>
      <c r="AC853" t="str">
        <f t="shared" si="81"/>
        <v>Medium</v>
      </c>
      <c r="AD853" t="str">
        <f t="shared" si="82"/>
        <v>Nudge core feature adoption</v>
      </c>
      <c r="AE853">
        <f t="shared" si="83"/>
        <v>70</v>
      </c>
    </row>
    <row r="854" spans="1:31" x14ac:dyDescent="0.35">
      <c r="A854" t="s">
        <v>912</v>
      </c>
      <c r="B854" s="4">
        <v>45797</v>
      </c>
      <c r="C854" s="4">
        <v>46143</v>
      </c>
      <c r="D854" t="s">
        <v>32</v>
      </c>
      <c r="E854">
        <v>43</v>
      </c>
      <c r="F854" t="s">
        <v>77</v>
      </c>
      <c r="G854" t="s">
        <v>67</v>
      </c>
      <c r="H854" t="s">
        <v>41</v>
      </c>
      <c r="I854" t="s">
        <v>36</v>
      </c>
      <c r="J854">
        <v>11</v>
      </c>
      <c r="K854" s="5">
        <v>10343.09</v>
      </c>
      <c r="L854" s="5">
        <v>4864.95</v>
      </c>
      <c r="M854">
        <v>29</v>
      </c>
      <c r="N854">
        <v>12</v>
      </c>
      <c r="O854">
        <v>1</v>
      </c>
      <c r="P854">
        <v>3</v>
      </c>
      <c r="Q854">
        <v>34</v>
      </c>
      <c r="R854">
        <v>0</v>
      </c>
      <c r="S854">
        <v>0</v>
      </c>
      <c r="T854">
        <v>1</v>
      </c>
      <c r="U854">
        <v>0</v>
      </c>
      <c r="V854">
        <v>0</v>
      </c>
      <c r="W854" t="s">
        <v>52</v>
      </c>
      <c r="X854">
        <v>0</v>
      </c>
      <c r="Y854">
        <v>0</v>
      </c>
      <c r="Z854">
        <f t="shared" si="78"/>
        <v>76</v>
      </c>
      <c r="AA854">
        <f t="shared" si="79"/>
        <v>1.5365853658536586</v>
      </c>
      <c r="AB854">
        <f t="shared" si="80"/>
        <v>18</v>
      </c>
      <c r="AC854" t="str">
        <f t="shared" si="81"/>
        <v>Low</v>
      </c>
      <c r="AD854" t="str">
        <f t="shared" si="82"/>
        <v>Upsell premium bundle</v>
      </c>
      <c r="AE854">
        <f t="shared" si="83"/>
        <v>24</v>
      </c>
    </row>
    <row r="855" spans="1:31" x14ac:dyDescent="0.35">
      <c r="A855" t="s">
        <v>913</v>
      </c>
      <c r="B855" s="4">
        <v>46017</v>
      </c>
      <c r="C855" s="4">
        <v>46143</v>
      </c>
      <c r="D855" t="s">
        <v>66</v>
      </c>
      <c r="E855">
        <v>24</v>
      </c>
      <c r="F855" t="s">
        <v>57</v>
      </c>
      <c r="G855" t="s">
        <v>67</v>
      </c>
      <c r="H855" t="s">
        <v>41</v>
      </c>
      <c r="I855" t="s">
        <v>49</v>
      </c>
      <c r="J855">
        <v>4</v>
      </c>
      <c r="K855" s="5">
        <v>1746.26</v>
      </c>
      <c r="L855" s="5">
        <v>937.67</v>
      </c>
      <c r="M855">
        <v>16</v>
      </c>
      <c r="N855">
        <v>10</v>
      </c>
      <c r="O855">
        <v>0</v>
      </c>
      <c r="P855">
        <v>2</v>
      </c>
      <c r="Q855">
        <v>0</v>
      </c>
      <c r="R855">
        <v>3</v>
      </c>
      <c r="S855">
        <v>0</v>
      </c>
      <c r="T855">
        <v>1</v>
      </c>
      <c r="U855">
        <v>0</v>
      </c>
      <c r="V855">
        <v>0</v>
      </c>
      <c r="W855" t="s">
        <v>50</v>
      </c>
      <c r="X855">
        <v>-42</v>
      </c>
      <c r="Y855">
        <v>1</v>
      </c>
      <c r="Z855">
        <f t="shared" si="78"/>
        <v>27</v>
      </c>
      <c r="AA855">
        <f t="shared" si="79"/>
        <v>0.47058823529411764</v>
      </c>
      <c r="AB855">
        <f t="shared" si="80"/>
        <v>80</v>
      </c>
      <c r="AC855" t="str">
        <f t="shared" si="81"/>
        <v>High</v>
      </c>
      <c r="AD855" t="str">
        <f t="shared" si="82"/>
        <v>Re-engage with app usage offer</v>
      </c>
      <c r="AE855">
        <f t="shared" si="83"/>
        <v>73</v>
      </c>
    </row>
    <row r="856" spans="1:31" x14ac:dyDescent="0.35">
      <c r="A856" t="s">
        <v>914</v>
      </c>
      <c r="B856" s="4">
        <v>44720</v>
      </c>
      <c r="C856" s="4">
        <v>46143</v>
      </c>
      <c r="D856" t="s">
        <v>66</v>
      </c>
      <c r="E856">
        <v>51</v>
      </c>
      <c r="F856" t="s">
        <v>33</v>
      </c>
      <c r="G856" t="s">
        <v>40</v>
      </c>
      <c r="H856" t="s">
        <v>58</v>
      </c>
      <c r="I856" t="s">
        <v>36</v>
      </c>
      <c r="J856">
        <v>47</v>
      </c>
      <c r="K856" s="5">
        <v>449.12</v>
      </c>
      <c r="L856" s="5">
        <v>146.99</v>
      </c>
      <c r="M856">
        <v>30</v>
      </c>
      <c r="N856">
        <v>19</v>
      </c>
      <c r="O856">
        <v>1</v>
      </c>
      <c r="P856">
        <v>5</v>
      </c>
      <c r="Q856">
        <v>16</v>
      </c>
      <c r="R856">
        <v>1</v>
      </c>
      <c r="S856">
        <v>0</v>
      </c>
      <c r="T856">
        <v>1</v>
      </c>
      <c r="U856">
        <v>1</v>
      </c>
      <c r="V856">
        <v>1</v>
      </c>
      <c r="W856" t="s">
        <v>52</v>
      </c>
      <c r="X856">
        <v>7</v>
      </c>
      <c r="Y856">
        <v>0</v>
      </c>
      <c r="Z856">
        <f t="shared" si="78"/>
        <v>84</v>
      </c>
      <c r="AA856">
        <f t="shared" si="79"/>
        <v>0.59740259740259738</v>
      </c>
      <c r="AB856">
        <f t="shared" si="80"/>
        <v>9</v>
      </c>
      <c r="AC856" t="str">
        <f t="shared" si="81"/>
        <v>Low</v>
      </c>
      <c r="AD856" t="str">
        <f t="shared" si="82"/>
        <v>Upsell premium bundle</v>
      </c>
      <c r="AE856">
        <f t="shared" si="83"/>
        <v>16</v>
      </c>
    </row>
    <row r="857" spans="1:31" x14ac:dyDescent="0.35">
      <c r="A857" t="s">
        <v>915</v>
      </c>
      <c r="B857" s="4">
        <v>46001</v>
      </c>
      <c r="C857" s="4">
        <v>46143</v>
      </c>
      <c r="D857" t="s">
        <v>32</v>
      </c>
      <c r="E857">
        <v>62</v>
      </c>
      <c r="F857" t="s">
        <v>43</v>
      </c>
      <c r="G857" t="s">
        <v>67</v>
      </c>
      <c r="H857" t="s">
        <v>58</v>
      </c>
      <c r="I857" t="s">
        <v>36</v>
      </c>
      <c r="J857">
        <v>4</v>
      </c>
      <c r="K857" s="5">
        <v>0</v>
      </c>
      <c r="L857" s="5">
        <v>1.91</v>
      </c>
      <c r="M857">
        <v>14</v>
      </c>
      <c r="N857">
        <v>10</v>
      </c>
      <c r="O857">
        <v>3</v>
      </c>
      <c r="P857">
        <v>2</v>
      </c>
      <c r="Q857">
        <v>12</v>
      </c>
      <c r="R857">
        <v>2</v>
      </c>
      <c r="S857">
        <v>1</v>
      </c>
      <c r="T857">
        <v>0</v>
      </c>
      <c r="U857">
        <v>0</v>
      </c>
      <c r="V857">
        <v>1</v>
      </c>
      <c r="W857" t="s">
        <v>52</v>
      </c>
      <c r="X857">
        <v>-23</v>
      </c>
      <c r="Y857">
        <v>0</v>
      </c>
      <c r="Z857">
        <f t="shared" si="78"/>
        <v>47</v>
      </c>
      <c r="AA857">
        <f t="shared" si="79"/>
        <v>0.76470588235294112</v>
      </c>
      <c r="AB857">
        <f t="shared" si="80"/>
        <v>46</v>
      </c>
      <c r="AC857" t="str">
        <f t="shared" si="81"/>
        <v>Medium</v>
      </c>
      <c r="AD857" t="str">
        <f t="shared" si="82"/>
        <v>Nudge core feature adoption</v>
      </c>
      <c r="AE857">
        <f t="shared" si="83"/>
        <v>53</v>
      </c>
    </row>
    <row r="858" spans="1:31" x14ac:dyDescent="0.35">
      <c r="A858" t="s">
        <v>916</v>
      </c>
      <c r="B858" s="4">
        <v>44839</v>
      </c>
      <c r="C858" s="4">
        <v>46143</v>
      </c>
      <c r="D858" t="s">
        <v>60</v>
      </c>
      <c r="E858">
        <v>68</v>
      </c>
      <c r="F858" t="s">
        <v>33</v>
      </c>
      <c r="G858" t="s">
        <v>67</v>
      </c>
      <c r="H858" t="s">
        <v>35</v>
      </c>
      <c r="I858" t="s">
        <v>36</v>
      </c>
      <c r="J858">
        <v>43</v>
      </c>
      <c r="K858" s="5">
        <v>153.69999999999999</v>
      </c>
      <c r="L858" s="5">
        <v>109.44</v>
      </c>
      <c r="M858">
        <v>38</v>
      </c>
      <c r="N858">
        <v>12</v>
      </c>
      <c r="O858">
        <v>2</v>
      </c>
      <c r="P858">
        <v>1</v>
      </c>
      <c r="Q858">
        <v>28</v>
      </c>
      <c r="R858">
        <v>1</v>
      </c>
      <c r="S858">
        <v>0</v>
      </c>
      <c r="T858">
        <v>1</v>
      </c>
      <c r="U858">
        <v>0</v>
      </c>
      <c r="V858">
        <v>0</v>
      </c>
      <c r="W858" t="s">
        <v>55</v>
      </c>
      <c r="X858">
        <v>0</v>
      </c>
      <c r="Y858">
        <v>0</v>
      </c>
      <c r="Z858">
        <f t="shared" si="78"/>
        <v>79</v>
      </c>
      <c r="AA858">
        <f t="shared" si="79"/>
        <v>0.90410958904109584</v>
      </c>
      <c r="AB858">
        <f t="shared" si="80"/>
        <v>15</v>
      </c>
      <c r="AC858" t="str">
        <f t="shared" si="81"/>
        <v>Low</v>
      </c>
      <c r="AD858" t="str">
        <f t="shared" si="82"/>
        <v>Upsell premium bundle</v>
      </c>
      <c r="AE858">
        <f t="shared" si="83"/>
        <v>21</v>
      </c>
    </row>
    <row r="859" spans="1:31" x14ac:dyDescent="0.35">
      <c r="A859" t="s">
        <v>917</v>
      </c>
      <c r="B859" s="4">
        <v>45842</v>
      </c>
      <c r="C859" s="4">
        <v>46143</v>
      </c>
      <c r="D859" t="s">
        <v>32</v>
      </c>
      <c r="E859">
        <v>31</v>
      </c>
      <c r="F859" t="s">
        <v>57</v>
      </c>
      <c r="G859" t="s">
        <v>48</v>
      </c>
      <c r="H859" t="s">
        <v>58</v>
      </c>
      <c r="I859" t="s">
        <v>49</v>
      </c>
      <c r="J859">
        <v>10</v>
      </c>
      <c r="K859" s="5">
        <v>1211.6400000000001</v>
      </c>
      <c r="L859" s="5">
        <v>350.27</v>
      </c>
      <c r="M859">
        <v>16</v>
      </c>
      <c r="N859">
        <v>5</v>
      </c>
      <c r="O859">
        <v>1</v>
      </c>
      <c r="P859">
        <v>0</v>
      </c>
      <c r="Q859">
        <v>11</v>
      </c>
      <c r="R859">
        <v>0</v>
      </c>
      <c r="S859">
        <v>1</v>
      </c>
      <c r="T859">
        <v>0</v>
      </c>
      <c r="U859">
        <v>0</v>
      </c>
      <c r="V859">
        <v>0</v>
      </c>
      <c r="W859" t="s">
        <v>37</v>
      </c>
      <c r="X859">
        <v>11</v>
      </c>
      <c r="Y859">
        <v>0</v>
      </c>
      <c r="Z859">
        <f t="shared" si="78"/>
        <v>32</v>
      </c>
      <c r="AA859">
        <f t="shared" si="79"/>
        <v>0.67500000000000004</v>
      </c>
      <c r="AB859">
        <f t="shared" si="80"/>
        <v>54</v>
      </c>
      <c r="AC859" t="str">
        <f t="shared" si="81"/>
        <v>Medium</v>
      </c>
      <c r="AD859" t="str">
        <f t="shared" si="82"/>
        <v>Nudge core feature adoption</v>
      </c>
      <c r="AE859">
        <f t="shared" si="83"/>
        <v>68</v>
      </c>
    </row>
    <row r="860" spans="1:31" x14ac:dyDescent="0.35">
      <c r="A860" t="s">
        <v>918</v>
      </c>
      <c r="B860" s="4">
        <v>45751</v>
      </c>
      <c r="C860" s="4">
        <v>46143</v>
      </c>
      <c r="D860" t="s">
        <v>66</v>
      </c>
      <c r="E860">
        <v>68</v>
      </c>
      <c r="F860" t="s">
        <v>43</v>
      </c>
      <c r="G860" t="s">
        <v>40</v>
      </c>
      <c r="H860" t="s">
        <v>58</v>
      </c>
      <c r="I860" t="s">
        <v>36</v>
      </c>
      <c r="J860">
        <v>13</v>
      </c>
      <c r="K860" s="5">
        <v>132.74</v>
      </c>
      <c r="L860" s="5">
        <v>112.1</v>
      </c>
      <c r="M860">
        <v>16</v>
      </c>
      <c r="N860">
        <v>7</v>
      </c>
      <c r="O860">
        <v>1</v>
      </c>
      <c r="P860">
        <v>0</v>
      </c>
      <c r="Q860">
        <v>11</v>
      </c>
      <c r="R860">
        <v>1</v>
      </c>
      <c r="S860">
        <v>0</v>
      </c>
      <c r="T860">
        <v>0</v>
      </c>
      <c r="U860">
        <v>0</v>
      </c>
      <c r="V860">
        <v>0</v>
      </c>
      <c r="W860" t="s">
        <v>55</v>
      </c>
      <c r="X860">
        <v>50</v>
      </c>
      <c r="Y860">
        <v>0</v>
      </c>
      <c r="Z860">
        <f t="shared" si="78"/>
        <v>34</v>
      </c>
      <c r="AA860">
        <f t="shared" si="79"/>
        <v>0.62790697674418605</v>
      </c>
      <c r="AB860">
        <f t="shared" si="80"/>
        <v>8</v>
      </c>
      <c r="AC860" t="str">
        <f t="shared" si="81"/>
        <v>Low</v>
      </c>
      <c r="AD860" t="str">
        <f t="shared" si="82"/>
        <v>Upsell premium bundle</v>
      </c>
      <c r="AE860">
        <f t="shared" si="83"/>
        <v>66</v>
      </c>
    </row>
    <row r="861" spans="1:31" x14ac:dyDescent="0.35">
      <c r="A861" t="s">
        <v>919</v>
      </c>
      <c r="B861" s="4">
        <v>45537</v>
      </c>
      <c r="C861" s="4">
        <v>46143</v>
      </c>
      <c r="D861" t="s">
        <v>39</v>
      </c>
      <c r="E861">
        <v>19</v>
      </c>
      <c r="F861" t="s">
        <v>61</v>
      </c>
      <c r="G861" t="s">
        <v>63</v>
      </c>
      <c r="H861" t="s">
        <v>41</v>
      </c>
      <c r="I861" t="s">
        <v>36</v>
      </c>
      <c r="J861">
        <v>20</v>
      </c>
      <c r="K861" s="5">
        <v>2187.2199999999998</v>
      </c>
      <c r="L861" s="5">
        <v>2067.12</v>
      </c>
      <c r="M861">
        <v>6</v>
      </c>
      <c r="N861">
        <v>3</v>
      </c>
      <c r="O861">
        <v>1</v>
      </c>
      <c r="P861">
        <v>1</v>
      </c>
      <c r="Q861">
        <v>5</v>
      </c>
      <c r="R861">
        <v>1</v>
      </c>
      <c r="S861">
        <v>2</v>
      </c>
      <c r="T861">
        <v>0</v>
      </c>
      <c r="U861">
        <v>0</v>
      </c>
      <c r="V861">
        <v>1</v>
      </c>
      <c r="W861" t="s">
        <v>52</v>
      </c>
      <c r="X861">
        <v>16</v>
      </c>
      <c r="Y861">
        <v>1</v>
      </c>
      <c r="Z861">
        <f t="shared" si="78"/>
        <v>23</v>
      </c>
      <c r="AA861">
        <f t="shared" si="79"/>
        <v>0.22</v>
      </c>
      <c r="AB861">
        <f t="shared" si="80"/>
        <v>45</v>
      </c>
      <c r="AC861" t="str">
        <f t="shared" si="81"/>
        <v>Medium</v>
      </c>
      <c r="AD861" t="str">
        <f t="shared" si="82"/>
        <v>Nudge core feature adoption</v>
      </c>
      <c r="AE861">
        <f t="shared" si="83"/>
        <v>77</v>
      </c>
    </row>
    <row r="862" spans="1:31" x14ac:dyDescent="0.35">
      <c r="A862" t="s">
        <v>920</v>
      </c>
      <c r="B862" s="4">
        <v>44975</v>
      </c>
      <c r="C862" s="4">
        <v>46143</v>
      </c>
      <c r="D862" t="s">
        <v>47</v>
      </c>
      <c r="E862">
        <v>65</v>
      </c>
      <c r="F862" t="s">
        <v>61</v>
      </c>
      <c r="G862" t="s">
        <v>63</v>
      </c>
      <c r="H862" t="s">
        <v>41</v>
      </c>
      <c r="I862" t="s">
        <v>36</v>
      </c>
      <c r="J862">
        <v>38</v>
      </c>
      <c r="K862" s="5">
        <v>3344.94</v>
      </c>
      <c r="L862" s="5">
        <v>3436.61</v>
      </c>
      <c r="M862">
        <v>28</v>
      </c>
      <c r="N862">
        <v>7</v>
      </c>
      <c r="O862">
        <v>3</v>
      </c>
      <c r="P862">
        <v>1</v>
      </c>
      <c r="Q862">
        <v>21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55</v>
      </c>
      <c r="X862">
        <v>25</v>
      </c>
      <c r="Y862">
        <v>0</v>
      </c>
      <c r="Z862">
        <f t="shared" si="78"/>
        <v>60</v>
      </c>
      <c r="AA862">
        <f t="shared" si="79"/>
        <v>0.72058823529411764</v>
      </c>
      <c r="AB862">
        <f t="shared" si="80"/>
        <v>12</v>
      </c>
      <c r="AC862" t="str">
        <f t="shared" si="81"/>
        <v>Low</v>
      </c>
      <c r="AD862" t="str">
        <f t="shared" si="82"/>
        <v>Upsell premium bundle</v>
      </c>
      <c r="AE862">
        <f t="shared" si="83"/>
        <v>40</v>
      </c>
    </row>
    <row r="863" spans="1:31" x14ac:dyDescent="0.35">
      <c r="A863" t="s">
        <v>921</v>
      </c>
      <c r="B863" s="4">
        <v>45134</v>
      </c>
      <c r="C863" s="4">
        <v>46143</v>
      </c>
      <c r="D863" t="s">
        <v>39</v>
      </c>
      <c r="E863">
        <v>47</v>
      </c>
      <c r="F863" t="s">
        <v>43</v>
      </c>
      <c r="G863" t="s">
        <v>63</v>
      </c>
      <c r="H863" t="s">
        <v>41</v>
      </c>
      <c r="I863" t="s">
        <v>36</v>
      </c>
      <c r="J863">
        <v>33</v>
      </c>
      <c r="K863" s="5">
        <v>125.36</v>
      </c>
      <c r="L863" s="5">
        <v>80.66</v>
      </c>
      <c r="M863">
        <v>22</v>
      </c>
      <c r="N863">
        <v>9</v>
      </c>
      <c r="O863">
        <v>5</v>
      </c>
      <c r="P863">
        <v>0</v>
      </c>
      <c r="Q863">
        <v>18</v>
      </c>
      <c r="R863">
        <v>1</v>
      </c>
      <c r="S863">
        <v>1</v>
      </c>
      <c r="T863">
        <v>1</v>
      </c>
      <c r="U863">
        <v>0</v>
      </c>
      <c r="V863">
        <v>0</v>
      </c>
      <c r="W863" t="s">
        <v>45</v>
      </c>
      <c r="X863">
        <v>34</v>
      </c>
      <c r="Y863">
        <v>1</v>
      </c>
      <c r="Z863">
        <f t="shared" si="78"/>
        <v>53</v>
      </c>
      <c r="AA863">
        <f t="shared" si="79"/>
        <v>0.63492063492063489</v>
      </c>
      <c r="AB863">
        <f t="shared" si="80"/>
        <v>26</v>
      </c>
      <c r="AC863" t="str">
        <f t="shared" si="81"/>
        <v>Low</v>
      </c>
      <c r="AD863" t="str">
        <f t="shared" si="82"/>
        <v>Upsell premium bundle</v>
      </c>
      <c r="AE863">
        <f t="shared" si="83"/>
        <v>47</v>
      </c>
    </row>
    <row r="864" spans="1:31" x14ac:dyDescent="0.35">
      <c r="A864" t="s">
        <v>922</v>
      </c>
      <c r="B864" s="4">
        <v>45017</v>
      </c>
      <c r="C864" s="4">
        <v>46143</v>
      </c>
      <c r="D864" t="s">
        <v>66</v>
      </c>
      <c r="E864">
        <v>41</v>
      </c>
      <c r="F864" t="s">
        <v>33</v>
      </c>
      <c r="G864" t="s">
        <v>40</v>
      </c>
      <c r="H864" t="s">
        <v>58</v>
      </c>
      <c r="I864" t="s">
        <v>36</v>
      </c>
      <c r="J864">
        <v>37</v>
      </c>
      <c r="K864" s="5">
        <v>393.88</v>
      </c>
      <c r="L864" s="5">
        <v>266.76</v>
      </c>
      <c r="M864">
        <v>25</v>
      </c>
      <c r="N864">
        <v>6</v>
      </c>
      <c r="O864">
        <v>2</v>
      </c>
      <c r="P864">
        <v>2</v>
      </c>
      <c r="Q864">
        <v>23</v>
      </c>
      <c r="R864">
        <v>1</v>
      </c>
      <c r="S864">
        <v>0</v>
      </c>
      <c r="T864">
        <v>1</v>
      </c>
      <c r="U864">
        <v>0</v>
      </c>
      <c r="V864">
        <v>0</v>
      </c>
      <c r="W864" t="s">
        <v>45</v>
      </c>
      <c r="X864">
        <v>12</v>
      </c>
      <c r="Y864">
        <v>0</v>
      </c>
      <c r="Z864">
        <f t="shared" si="78"/>
        <v>58</v>
      </c>
      <c r="AA864">
        <f t="shared" si="79"/>
        <v>0.71641791044776115</v>
      </c>
      <c r="AB864">
        <f t="shared" si="80"/>
        <v>17</v>
      </c>
      <c r="AC864" t="str">
        <f t="shared" si="81"/>
        <v>Low</v>
      </c>
      <c r="AD864" t="str">
        <f t="shared" si="82"/>
        <v>Upsell premium bundle</v>
      </c>
      <c r="AE864">
        <f t="shared" si="83"/>
        <v>42</v>
      </c>
    </row>
    <row r="865" spans="1:31" x14ac:dyDescent="0.35">
      <c r="A865" t="s">
        <v>923</v>
      </c>
      <c r="B865" s="4">
        <v>45923</v>
      </c>
      <c r="C865" s="4">
        <v>46143</v>
      </c>
      <c r="D865" t="s">
        <v>47</v>
      </c>
      <c r="E865">
        <v>35</v>
      </c>
      <c r="F865" t="s">
        <v>33</v>
      </c>
      <c r="G865" t="s">
        <v>34</v>
      </c>
      <c r="H865" t="s">
        <v>41</v>
      </c>
      <c r="I865" t="s">
        <v>54</v>
      </c>
      <c r="J865">
        <v>7</v>
      </c>
      <c r="K865" s="5">
        <v>146.05000000000001</v>
      </c>
      <c r="L865" s="5">
        <v>268.5</v>
      </c>
      <c r="M865">
        <v>24</v>
      </c>
      <c r="N865">
        <v>13</v>
      </c>
      <c r="O865">
        <v>4</v>
      </c>
      <c r="P865">
        <v>3</v>
      </c>
      <c r="Q865">
        <v>32</v>
      </c>
      <c r="R865">
        <v>0</v>
      </c>
      <c r="S865">
        <v>0</v>
      </c>
      <c r="T865">
        <v>0</v>
      </c>
      <c r="U865">
        <v>0</v>
      </c>
      <c r="V865">
        <v>1</v>
      </c>
      <c r="W865" t="s">
        <v>45</v>
      </c>
      <c r="X865">
        <v>24</v>
      </c>
      <c r="Y865">
        <v>0</v>
      </c>
      <c r="Z865">
        <f t="shared" si="78"/>
        <v>80</v>
      </c>
      <c r="AA865">
        <f t="shared" si="79"/>
        <v>1.5135135135135136</v>
      </c>
      <c r="AB865">
        <f t="shared" si="80"/>
        <v>30</v>
      </c>
      <c r="AC865" t="str">
        <f t="shared" si="81"/>
        <v>Low</v>
      </c>
      <c r="AD865" t="str">
        <f t="shared" si="82"/>
        <v>Upsell premium bundle</v>
      </c>
      <c r="AE865">
        <f t="shared" si="83"/>
        <v>20</v>
      </c>
    </row>
    <row r="866" spans="1:31" x14ac:dyDescent="0.35">
      <c r="A866" t="s">
        <v>924</v>
      </c>
      <c r="B866" s="4">
        <v>45741</v>
      </c>
      <c r="C866" s="4">
        <v>46143</v>
      </c>
      <c r="D866" t="s">
        <v>32</v>
      </c>
      <c r="E866">
        <v>61</v>
      </c>
      <c r="F866" t="s">
        <v>57</v>
      </c>
      <c r="G866" t="s">
        <v>40</v>
      </c>
      <c r="H866" t="s">
        <v>41</v>
      </c>
      <c r="I866" t="s">
        <v>36</v>
      </c>
      <c r="J866">
        <v>13</v>
      </c>
      <c r="K866" s="5">
        <v>1348</v>
      </c>
      <c r="L866" s="5">
        <v>1220.8699999999999</v>
      </c>
      <c r="M866">
        <v>31</v>
      </c>
      <c r="N866">
        <v>8</v>
      </c>
      <c r="O866">
        <v>2</v>
      </c>
      <c r="P866">
        <v>2</v>
      </c>
      <c r="Q866">
        <v>12</v>
      </c>
      <c r="R866">
        <v>0</v>
      </c>
      <c r="S866">
        <v>1</v>
      </c>
      <c r="T866">
        <v>1</v>
      </c>
      <c r="U866">
        <v>0</v>
      </c>
      <c r="V866">
        <v>0</v>
      </c>
      <c r="W866" t="s">
        <v>55</v>
      </c>
      <c r="X866">
        <v>42</v>
      </c>
      <c r="Y866">
        <v>1</v>
      </c>
      <c r="Z866">
        <f t="shared" si="78"/>
        <v>56</v>
      </c>
      <c r="AA866">
        <f t="shared" si="79"/>
        <v>1</v>
      </c>
      <c r="AB866">
        <f t="shared" si="80"/>
        <v>23</v>
      </c>
      <c r="AC866" t="str">
        <f t="shared" si="81"/>
        <v>Low</v>
      </c>
      <c r="AD866" t="str">
        <f t="shared" si="82"/>
        <v>Upsell premium bundle</v>
      </c>
      <c r="AE866">
        <f t="shared" si="83"/>
        <v>44</v>
      </c>
    </row>
    <row r="867" spans="1:31" x14ac:dyDescent="0.35">
      <c r="A867" t="s">
        <v>925</v>
      </c>
      <c r="B867" s="4">
        <v>45125</v>
      </c>
      <c r="C867" s="4">
        <v>46143</v>
      </c>
      <c r="D867" t="s">
        <v>66</v>
      </c>
      <c r="E867">
        <v>47</v>
      </c>
      <c r="F867" t="s">
        <v>61</v>
      </c>
      <c r="G867" t="s">
        <v>67</v>
      </c>
      <c r="H867" t="s">
        <v>58</v>
      </c>
      <c r="I867" t="s">
        <v>49</v>
      </c>
      <c r="J867">
        <v>33</v>
      </c>
      <c r="K867" s="5">
        <v>179.81</v>
      </c>
      <c r="L867" s="5">
        <v>4034.19</v>
      </c>
      <c r="M867">
        <v>32</v>
      </c>
      <c r="N867">
        <v>15</v>
      </c>
      <c r="O867">
        <v>3</v>
      </c>
      <c r="P867">
        <v>4</v>
      </c>
      <c r="Q867">
        <v>31</v>
      </c>
      <c r="R867">
        <v>1</v>
      </c>
      <c r="S867">
        <v>0</v>
      </c>
      <c r="T867">
        <v>1</v>
      </c>
      <c r="U867">
        <v>0</v>
      </c>
      <c r="V867">
        <v>0</v>
      </c>
      <c r="W867" t="s">
        <v>52</v>
      </c>
      <c r="X867">
        <v>89</v>
      </c>
      <c r="Y867">
        <v>0</v>
      </c>
      <c r="Z867">
        <f t="shared" si="78"/>
        <v>83</v>
      </c>
      <c r="AA867">
        <f t="shared" si="79"/>
        <v>1</v>
      </c>
      <c r="AB867">
        <f t="shared" si="80"/>
        <v>0</v>
      </c>
      <c r="AC867" t="str">
        <f t="shared" si="81"/>
        <v>Low</v>
      </c>
      <c r="AD867" t="str">
        <f t="shared" si="82"/>
        <v>Upsell premium bundle</v>
      </c>
      <c r="AE867">
        <f t="shared" si="83"/>
        <v>17</v>
      </c>
    </row>
    <row r="868" spans="1:31" x14ac:dyDescent="0.35">
      <c r="A868" t="s">
        <v>926</v>
      </c>
      <c r="B868" s="4">
        <v>45808</v>
      </c>
      <c r="C868" s="4">
        <v>46143</v>
      </c>
      <c r="D868" t="s">
        <v>72</v>
      </c>
      <c r="E868">
        <v>62</v>
      </c>
      <c r="F868" t="s">
        <v>43</v>
      </c>
      <c r="G868" t="s">
        <v>85</v>
      </c>
      <c r="H868" t="s">
        <v>44</v>
      </c>
      <c r="I868" t="s">
        <v>36</v>
      </c>
      <c r="J868">
        <v>11</v>
      </c>
      <c r="K868" s="5">
        <v>65.55</v>
      </c>
      <c r="L868" s="5">
        <v>85.01</v>
      </c>
      <c r="M868">
        <v>37</v>
      </c>
      <c r="N868">
        <v>12</v>
      </c>
      <c r="O868">
        <v>3</v>
      </c>
      <c r="P868">
        <v>2</v>
      </c>
      <c r="Q868">
        <v>29</v>
      </c>
      <c r="R868">
        <v>3</v>
      </c>
      <c r="S868">
        <v>0</v>
      </c>
      <c r="T868">
        <v>0</v>
      </c>
      <c r="U868">
        <v>0</v>
      </c>
      <c r="V868">
        <v>0</v>
      </c>
      <c r="W868" t="s">
        <v>45</v>
      </c>
      <c r="X868">
        <v>68</v>
      </c>
      <c r="Y868">
        <v>0</v>
      </c>
      <c r="Z868">
        <f t="shared" si="78"/>
        <v>82</v>
      </c>
      <c r="AA868">
        <f t="shared" si="79"/>
        <v>1.6097560975609757</v>
      </c>
      <c r="AB868">
        <f t="shared" si="80"/>
        <v>0</v>
      </c>
      <c r="AC868" t="str">
        <f t="shared" si="81"/>
        <v>Low</v>
      </c>
      <c r="AD868" t="str">
        <f t="shared" si="82"/>
        <v>Upsell premium bundle</v>
      </c>
      <c r="AE868">
        <f t="shared" si="83"/>
        <v>18</v>
      </c>
    </row>
    <row r="869" spans="1:31" x14ac:dyDescent="0.35">
      <c r="A869" t="s">
        <v>927</v>
      </c>
      <c r="B869" s="4">
        <v>45090</v>
      </c>
      <c r="C869" s="4">
        <v>46143</v>
      </c>
      <c r="D869" t="s">
        <v>47</v>
      </c>
      <c r="E869">
        <v>18</v>
      </c>
      <c r="F869" t="s">
        <v>57</v>
      </c>
      <c r="G869" t="s">
        <v>40</v>
      </c>
      <c r="H869" t="s">
        <v>41</v>
      </c>
      <c r="I869" t="s">
        <v>36</v>
      </c>
      <c r="J869">
        <v>35</v>
      </c>
      <c r="K869" s="5">
        <v>1802.1</v>
      </c>
      <c r="L869" s="5">
        <v>0</v>
      </c>
      <c r="M869">
        <v>19</v>
      </c>
      <c r="N869">
        <v>9</v>
      </c>
      <c r="O869">
        <v>4</v>
      </c>
      <c r="P869">
        <v>3</v>
      </c>
      <c r="Q869">
        <v>8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55</v>
      </c>
      <c r="X869">
        <v>28</v>
      </c>
      <c r="Y869">
        <v>0</v>
      </c>
      <c r="Z869">
        <f t="shared" si="78"/>
        <v>43</v>
      </c>
      <c r="AA869">
        <f t="shared" si="79"/>
        <v>0.41538461538461541</v>
      </c>
      <c r="AB869">
        <f t="shared" si="80"/>
        <v>27</v>
      </c>
      <c r="AC869" t="str">
        <f t="shared" si="81"/>
        <v>Low</v>
      </c>
      <c r="AD869" t="str">
        <f t="shared" si="82"/>
        <v>Upsell premium bundle</v>
      </c>
      <c r="AE869">
        <f t="shared" si="83"/>
        <v>57</v>
      </c>
    </row>
    <row r="870" spans="1:31" x14ac:dyDescent="0.35">
      <c r="A870" t="s">
        <v>928</v>
      </c>
      <c r="B870" s="4">
        <v>44796</v>
      </c>
      <c r="C870" s="4">
        <v>46143</v>
      </c>
      <c r="D870" t="s">
        <v>66</v>
      </c>
      <c r="E870">
        <v>69</v>
      </c>
      <c r="F870" t="s">
        <v>33</v>
      </c>
      <c r="G870" t="s">
        <v>48</v>
      </c>
      <c r="H870" t="s">
        <v>44</v>
      </c>
      <c r="I870" t="s">
        <v>36</v>
      </c>
      <c r="J870">
        <v>44</v>
      </c>
      <c r="K870" s="5">
        <v>369.73</v>
      </c>
      <c r="L870" s="5">
        <v>104.75</v>
      </c>
      <c r="M870">
        <v>42</v>
      </c>
      <c r="N870">
        <v>24</v>
      </c>
      <c r="O870">
        <v>4</v>
      </c>
      <c r="P870">
        <v>6</v>
      </c>
      <c r="Q870">
        <v>15</v>
      </c>
      <c r="R870">
        <v>5</v>
      </c>
      <c r="S870">
        <v>1</v>
      </c>
      <c r="T870">
        <v>1</v>
      </c>
      <c r="U870">
        <v>0</v>
      </c>
      <c r="V870">
        <v>1</v>
      </c>
      <c r="W870" t="s">
        <v>45</v>
      </c>
      <c r="X870">
        <v>43</v>
      </c>
      <c r="Y870">
        <v>0</v>
      </c>
      <c r="Z870">
        <f t="shared" si="78"/>
        <v>97</v>
      </c>
      <c r="AA870">
        <f t="shared" si="79"/>
        <v>0.77027027027027029</v>
      </c>
      <c r="AB870">
        <f t="shared" si="80"/>
        <v>0</v>
      </c>
      <c r="AC870" t="str">
        <f t="shared" si="81"/>
        <v>Low</v>
      </c>
      <c r="AD870" t="str">
        <f t="shared" si="82"/>
        <v>Upsell premium bundle</v>
      </c>
      <c r="AE870">
        <f t="shared" si="83"/>
        <v>3</v>
      </c>
    </row>
    <row r="871" spans="1:31" x14ac:dyDescent="0.35">
      <c r="A871" t="s">
        <v>929</v>
      </c>
      <c r="B871" s="4">
        <v>44876</v>
      </c>
      <c r="C871" s="4">
        <v>46143</v>
      </c>
      <c r="D871" t="s">
        <v>47</v>
      </c>
      <c r="E871">
        <v>51</v>
      </c>
      <c r="F871" t="s">
        <v>57</v>
      </c>
      <c r="G871" t="s">
        <v>40</v>
      </c>
      <c r="H871" t="s">
        <v>41</v>
      </c>
      <c r="I871" t="s">
        <v>36</v>
      </c>
      <c r="J871">
        <v>42</v>
      </c>
      <c r="K871" s="5">
        <v>0</v>
      </c>
      <c r="L871" s="5">
        <v>1893.27</v>
      </c>
      <c r="M871">
        <v>17</v>
      </c>
      <c r="N871">
        <v>10</v>
      </c>
      <c r="O871">
        <v>1</v>
      </c>
      <c r="P871">
        <v>0</v>
      </c>
      <c r="Q871">
        <v>12</v>
      </c>
      <c r="R871">
        <v>3</v>
      </c>
      <c r="S871">
        <v>2</v>
      </c>
      <c r="T871">
        <v>1</v>
      </c>
      <c r="U871">
        <v>0</v>
      </c>
      <c r="V871">
        <v>0</v>
      </c>
      <c r="W871" t="s">
        <v>37</v>
      </c>
      <c r="X871">
        <v>-59</v>
      </c>
      <c r="Y871">
        <v>1</v>
      </c>
      <c r="Z871">
        <f t="shared" si="78"/>
        <v>38</v>
      </c>
      <c r="AA871">
        <f t="shared" si="79"/>
        <v>0.40277777777777779</v>
      </c>
      <c r="AB871">
        <f t="shared" si="80"/>
        <v>74</v>
      </c>
      <c r="AC871" t="str">
        <f t="shared" si="81"/>
        <v>High</v>
      </c>
      <c r="AD871" t="str">
        <f t="shared" si="82"/>
        <v>Deposit incentive</v>
      </c>
      <c r="AE871">
        <f t="shared" si="83"/>
        <v>62</v>
      </c>
    </row>
    <row r="872" spans="1:31" x14ac:dyDescent="0.35">
      <c r="A872" t="s">
        <v>930</v>
      </c>
      <c r="B872" s="4">
        <v>45541</v>
      </c>
      <c r="C872" s="4">
        <v>46143</v>
      </c>
      <c r="D872" t="s">
        <v>66</v>
      </c>
      <c r="E872">
        <v>57</v>
      </c>
      <c r="F872" t="s">
        <v>57</v>
      </c>
      <c r="G872" t="s">
        <v>34</v>
      </c>
      <c r="H872" t="s">
        <v>41</v>
      </c>
      <c r="I872" t="s">
        <v>36</v>
      </c>
      <c r="J872">
        <v>20</v>
      </c>
      <c r="K872" s="5">
        <v>2949.02</v>
      </c>
      <c r="L872" s="5">
        <v>100.94</v>
      </c>
      <c r="M872">
        <v>32</v>
      </c>
      <c r="N872">
        <v>11</v>
      </c>
      <c r="O872">
        <v>3</v>
      </c>
      <c r="P872">
        <v>3</v>
      </c>
      <c r="Q872">
        <v>12</v>
      </c>
      <c r="R872">
        <v>0</v>
      </c>
      <c r="S872">
        <v>0</v>
      </c>
      <c r="T872">
        <v>1</v>
      </c>
      <c r="U872">
        <v>0</v>
      </c>
      <c r="V872">
        <v>1</v>
      </c>
      <c r="W872" t="s">
        <v>55</v>
      </c>
      <c r="X872">
        <v>43</v>
      </c>
      <c r="Y872">
        <v>0</v>
      </c>
      <c r="Z872">
        <f t="shared" si="78"/>
        <v>69</v>
      </c>
      <c r="AA872">
        <f t="shared" si="79"/>
        <v>0.88</v>
      </c>
      <c r="AB872">
        <f t="shared" si="80"/>
        <v>9</v>
      </c>
      <c r="AC872" t="str">
        <f t="shared" si="81"/>
        <v>Low</v>
      </c>
      <c r="AD872" t="str">
        <f t="shared" si="82"/>
        <v>Upsell premium bundle</v>
      </c>
      <c r="AE872">
        <f t="shared" si="83"/>
        <v>31</v>
      </c>
    </row>
    <row r="873" spans="1:31" x14ac:dyDescent="0.35">
      <c r="A873" t="s">
        <v>931</v>
      </c>
      <c r="B873" s="4">
        <v>46079</v>
      </c>
      <c r="C873" s="4">
        <v>46143</v>
      </c>
      <c r="D873" t="s">
        <v>32</v>
      </c>
      <c r="E873">
        <v>28</v>
      </c>
      <c r="F873" t="s">
        <v>77</v>
      </c>
      <c r="G873" t="s">
        <v>34</v>
      </c>
      <c r="H873" t="s">
        <v>41</v>
      </c>
      <c r="I873" t="s">
        <v>36</v>
      </c>
      <c r="J873">
        <v>2</v>
      </c>
      <c r="K873" s="5">
        <v>15808.71</v>
      </c>
      <c r="L873" s="5">
        <v>0</v>
      </c>
      <c r="M873">
        <v>18</v>
      </c>
      <c r="N873">
        <v>7</v>
      </c>
      <c r="O873">
        <v>5</v>
      </c>
      <c r="P873">
        <v>1</v>
      </c>
      <c r="Q873">
        <v>19</v>
      </c>
      <c r="R873">
        <v>3</v>
      </c>
      <c r="S873">
        <v>0</v>
      </c>
      <c r="T873">
        <v>1</v>
      </c>
      <c r="U873">
        <v>0</v>
      </c>
      <c r="V873">
        <v>0</v>
      </c>
      <c r="W873" t="s">
        <v>37</v>
      </c>
      <c r="X873">
        <v>17</v>
      </c>
      <c r="Y873">
        <v>0</v>
      </c>
      <c r="Z873">
        <f t="shared" si="78"/>
        <v>49</v>
      </c>
      <c r="AA873">
        <f t="shared" si="79"/>
        <v>1.15625</v>
      </c>
      <c r="AB873">
        <f t="shared" si="80"/>
        <v>25</v>
      </c>
      <c r="AC873" t="str">
        <f t="shared" si="81"/>
        <v>Low</v>
      </c>
      <c r="AD873" t="str">
        <f t="shared" si="82"/>
        <v>Upsell premium bundle</v>
      </c>
      <c r="AE873">
        <f t="shared" si="83"/>
        <v>51</v>
      </c>
    </row>
    <row r="874" spans="1:31" x14ac:dyDescent="0.35">
      <c r="A874" t="s">
        <v>932</v>
      </c>
      <c r="B874" s="4">
        <v>45927</v>
      </c>
      <c r="C874" s="4">
        <v>46143</v>
      </c>
      <c r="D874" t="s">
        <v>47</v>
      </c>
      <c r="E874">
        <v>32</v>
      </c>
      <c r="F874" t="s">
        <v>61</v>
      </c>
      <c r="G874" t="s">
        <v>85</v>
      </c>
      <c r="H874" t="s">
        <v>58</v>
      </c>
      <c r="I874" t="s">
        <v>36</v>
      </c>
      <c r="J874">
        <v>7</v>
      </c>
      <c r="K874" s="5">
        <v>3710.68</v>
      </c>
      <c r="L874" s="5">
        <v>1636.35</v>
      </c>
      <c r="M874">
        <v>14</v>
      </c>
      <c r="N874">
        <v>7</v>
      </c>
      <c r="O874">
        <v>3</v>
      </c>
      <c r="P874">
        <v>0</v>
      </c>
      <c r="Q874">
        <v>14</v>
      </c>
      <c r="R874">
        <v>0</v>
      </c>
      <c r="S874">
        <v>0</v>
      </c>
      <c r="T874">
        <v>0</v>
      </c>
      <c r="U874">
        <v>0</v>
      </c>
      <c r="V874">
        <v>1</v>
      </c>
      <c r="W874" t="s">
        <v>37</v>
      </c>
      <c r="X874">
        <v>56</v>
      </c>
      <c r="Y874">
        <v>1</v>
      </c>
      <c r="Z874">
        <f t="shared" si="78"/>
        <v>44</v>
      </c>
      <c r="AA874">
        <f t="shared" si="79"/>
        <v>0.7567567567567568</v>
      </c>
      <c r="AB874">
        <f t="shared" si="80"/>
        <v>0</v>
      </c>
      <c r="AC874" t="str">
        <f t="shared" si="81"/>
        <v>Low</v>
      </c>
      <c r="AD874" t="str">
        <f t="shared" si="82"/>
        <v>Upsell premium bundle</v>
      </c>
      <c r="AE874">
        <f t="shared" si="83"/>
        <v>56</v>
      </c>
    </row>
    <row r="875" spans="1:31" x14ac:dyDescent="0.35">
      <c r="A875" t="s">
        <v>933</v>
      </c>
      <c r="B875" s="4">
        <v>45193</v>
      </c>
      <c r="C875" s="4">
        <v>46143</v>
      </c>
      <c r="D875" t="s">
        <v>60</v>
      </c>
      <c r="E875">
        <v>57</v>
      </c>
      <c r="F875" t="s">
        <v>33</v>
      </c>
      <c r="G875" t="s">
        <v>48</v>
      </c>
      <c r="H875" t="s">
        <v>44</v>
      </c>
      <c r="I875" t="s">
        <v>36</v>
      </c>
      <c r="J875">
        <v>31</v>
      </c>
      <c r="K875" s="5">
        <v>723.79</v>
      </c>
      <c r="L875" s="5">
        <v>178.9</v>
      </c>
      <c r="M875">
        <v>38</v>
      </c>
      <c r="N875">
        <v>17</v>
      </c>
      <c r="O875">
        <v>8</v>
      </c>
      <c r="P875">
        <v>3</v>
      </c>
      <c r="Q875">
        <v>26</v>
      </c>
      <c r="R875">
        <v>0</v>
      </c>
      <c r="S875">
        <v>1</v>
      </c>
      <c r="T875">
        <v>1</v>
      </c>
      <c r="U875">
        <v>1</v>
      </c>
      <c r="V875">
        <v>1</v>
      </c>
      <c r="W875" t="s">
        <v>55</v>
      </c>
      <c r="X875">
        <v>-4</v>
      </c>
      <c r="Y875">
        <v>0</v>
      </c>
      <c r="Z875">
        <f t="shared" si="78"/>
        <v>100</v>
      </c>
      <c r="AA875">
        <f t="shared" si="79"/>
        <v>1.0491803278688525</v>
      </c>
      <c r="AB875">
        <f t="shared" si="80"/>
        <v>18</v>
      </c>
      <c r="AC875" t="str">
        <f t="shared" si="81"/>
        <v>Low</v>
      </c>
      <c r="AD875" t="str">
        <f t="shared" si="82"/>
        <v>Upsell premium bundle</v>
      </c>
      <c r="AE875">
        <f t="shared" si="83"/>
        <v>0</v>
      </c>
    </row>
    <row r="876" spans="1:31" x14ac:dyDescent="0.35">
      <c r="A876" t="s">
        <v>934</v>
      </c>
      <c r="B876" s="4">
        <v>45430</v>
      </c>
      <c r="C876" s="4">
        <v>46143</v>
      </c>
      <c r="D876" t="s">
        <v>66</v>
      </c>
      <c r="E876">
        <v>30</v>
      </c>
      <c r="F876" t="s">
        <v>33</v>
      </c>
      <c r="G876" t="s">
        <v>48</v>
      </c>
      <c r="H876" t="s">
        <v>58</v>
      </c>
      <c r="I876" t="s">
        <v>36</v>
      </c>
      <c r="J876">
        <v>23</v>
      </c>
      <c r="K876" s="5">
        <v>0</v>
      </c>
      <c r="L876" s="5">
        <v>167.57</v>
      </c>
      <c r="M876">
        <v>28</v>
      </c>
      <c r="N876">
        <v>17</v>
      </c>
      <c r="O876">
        <v>4</v>
      </c>
      <c r="P876">
        <v>1</v>
      </c>
      <c r="Q876">
        <v>11</v>
      </c>
      <c r="R876">
        <v>2</v>
      </c>
      <c r="S876">
        <v>0</v>
      </c>
      <c r="T876">
        <v>0</v>
      </c>
      <c r="U876">
        <v>1</v>
      </c>
      <c r="V876">
        <v>1</v>
      </c>
      <c r="W876" t="s">
        <v>50</v>
      </c>
      <c r="X876">
        <v>45</v>
      </c>
      <c r="Y876">
        <v>0</v>
      </c>
      <c r="Z876">
        <f t="shared" si="78"/>
        <v>74</v>
      </c>
      <c r="AA876">
        <f t="shared" si="79"/>
        <v>0.73584905660377353</v>
      </c>
      <c r="AB876">
        <f t="shared" si="80"/>
        <v>0</v>
      </c>
      <c r="AC876" t="str">
        <f t="shared" si="81"/>
        <v>Low</v>
      </c>
      <c r="AD876" t="str">
        <f t="shared" si="82"/>
        <v>Upsell premium bundle</v>
      </c>
      <c r="AE876">
        <f t="shared" si="83"/>
        <v>26</v>
      </c>
    </row>
    <row r="877" spans="1:31" x14ac:dyDescent="0.35">
      <c r="A877" t="s">
        <v>935</v>
      </c>
      <c r="B877" s="4">
        <v>45587</v>
      </c>
      <c r="C877" s="4">
        <v>46143</v>
      </c>
      <c r="D877" t="s">
        <v>72</v>
      </c>
      <c r="E877">
        <v>18</v>
      </c>
      <c r="F877" t="s">
        <v>33</v>
      </c>
      <c r="G877" t="s">
        <v>40</v>
      </c>
      <c r="H877" t="s">
        <v>35</v>
      </c>
      <c r="I877" t="s">
        <v>36</v>
      </c>
      <c r="J877">
        <v>18</v>
      </c>
      <c r="K877" s="5">
        <v>631.80999999999995</v>
      </c>
      <c r="L877" s="5">
        <v>242.1</v>
      </c>
      <c r="M877">
        <v>21</v>
      </c>
      <c r="N877">
        <v>8</v>
      </c>
      <c r="O877">
        <v>5</v>
      </c>
      <c r="P877">
        <v>3</v>
      </c>
      <c r="Q877">
        <v>28</v>
      </c>
      <c r="R877">
        <v>3</v>
      </c>
      <c r="S877">
        <v>2</v>
      </c>
      <c r="T877">
        <v>1</v>
      </c>
      <c r="U877">
        <v>1</v>
      </c>
      <c r="V877">
        <v>0</v>
      </c>
      <c r="W877" t="s">
        <v>55</v>
      </c>
      <c r="X877">
        <v>24</v>
      </c>
      <c r="Y877">
        <v>1</v>
      </c>
      <c r="Z877">
        <f t="shared" si="78"/>
        <v>72</v>
      </c>
      <c r="AA877">
        <f t="shared" si="79"/>
        <v>1.0208333333333333</v>
      </c>
      <c r="AB877">
        <f t="shared" si="80"/>
        <v>19</v>
      </c>
      <c r="AC877" t="str">
        <f t="shared" si="81"/>
        <v>Low</v>
      </c>
      <c r="AD877" t="str">
        <f t="shared" si="82"/>
        <v>Upsell premium bundle</v>
      </c>
      <c r="AE877">
        <f t="shared" si="83"/>
        <v>28</v>
      </c>
    </row>
    <row r="878" spans="1:31" x14ac:dyDescent="0.35">
      <c r="A878" t="s">
        <v>936</v>
      </c>
      <c r="B878" s="4">
        <v>45114</v>
      </c>
      <c r="C878" s="4">
        <v>46143</v>
      </c>
      <c r="D878" t="s">
        <v>32</v>
      </c>
      <c r="E878">
        <v>67</v>
      </c>
      <c r="F878" t="s">
        <v>43</v>
      </c>
      <c r="G878" t="s">
        <v>40</v>
      </c>
      <c r="H878" t="s">
        <v>44</v>
      </c>
      <c r="I878" t="s">
        <v>49</v>
      </c>
      <c r="J878">
        <v>34</v>
      </c>
      <c r="K878" s="5">
        <v>90.95</v>
      </c>
      <c r="L878" s="5">
        <v>103.2</v>
      </c>
      <c r="M878">
        <v>51</v>
      </c>
      <c r="N878">
        <v>21</v>
      </c>
      <c r="O878">
        <v>5</v>
      </c>
      <c r="P878">
        <v>10</v>
      </c>
      <c r="Q878">
        <v>33</v>
      </c>
      <c r="R878">
        <v>0</v>
      </c>
      <c r="S878">
        <v>0</v>
      </c>
      <c r="T878">
        <v>0</v>
      </c>
      <c r="U878">
        <v>0</v>
      </c>
      <c r="V878">
        <v>1</v>
      </c>
      <c r="W878" t="s">
        <v>55</v>
      </c>
      <c r="X878">
        <v>13</v>
      </c>
      <c r="Y878">
        <v>0</v>
      </c>
      <c r="Z878">
        <f t="shared" si="78"/>
        <v>100</v>
      </c>
      <c r="AA878">
        <f t="shared" si="79"/>
        <v>1.3125</v>
      </c>
      <c r="AB878">
        <f t="shared" si="80"/>
        <v>18</v>
      </c>
      <c r="AC878" t="str">
        <f t="shared" si="81"/>
        <v>Low</v>
      </c>
      <c r="AD878" t="str">
        <f t="shared" si="82"/>
        <v>Upsell premium bundle</v>
      </c>
      <c r="AE878">
        <f t="shared" si="83"/>
        <v>0</v>
      </c>
    </row>
    <row r="879" spans="1:31" x14ac:dyDescent="0.35">
      <c r="A879" t="s">
        <v>937</v>
      </c>
      <c r="B879" s="4">
        <v>45156</v>
      </c>
      <c r="C879" s="4">
        <v>46143</v>
      </c>
      <c r="D879" t="s">
        <v>47</v>
      </c>
      <c r="E879">
        <v>67</v>
      </c>
      <c r="F879" t="s">
        <v>61</v>
      </c>
      <c r="G879" t="s">
        <v>48</v>
      </c>
      <c r="H879" t="s">
        <v>41</v>
      </c>
      <c r="I879" t="s">
        <v>36</v>
      </c>
      <c r="J879">
        <v>32</v>
      </c>
      <c r="K879" s="5">
        <v>1743.83</v>
      </c>
      <c r="L879" s="5">
        <v>2001.31</v>
      </c>
      <c r="M879">
        <v>50</v>
      </c>
      <c r="N879">
        <v>14</v>
      </c>
      <c r="O879">
        <v>9</v>
      </c>
      <c r="P879">
        <v>9</v>
      </c>
      <c r="Q879">
        <v>36</v>
      </c>
      <c r="R879">
        <v>0</v>
      </c>
      <c r="S879">
        <v>1</v>
      </c>
      <c r="T879">
        <v>1</v>
      </c>
      <c r="U879">
        <v>0</v>
      </c>
      <c r="V879">
        <v>1</v>
      </c>
      <c r="W879" t="s">
        <v>45</v>
      </c>
      <c r="X879">
        <v>100</v>
      </c>
      <c r="Y879">
        <v>0</v>
      </c>
      <c r="Z879">
        <f t="shared" si="78"/>
        <v>100</v>
      </c>
      <c r="AA879">
        <f t="shared" si="79"/>
        <v>1.3870967741935485</v>
      </c>
      <c r="AB879">
        <f t="shared" si="80"/>
        <v>0</v>
      </c>
      <c r="AC879" t="str">
        <f t="shared" si="81"/>
        <v>Low</v>
      </c>
      <c r="AD879" t="str">
        <f t="shared" si="82"/>
        <v>Upsell premium bundle</v>
      </c>
      <c r="AE879">
        <f t="shared" si="83"/>
        <v>0</v>
      </c>
    </row>
    <row r="880" spans="1:31" x14ac:dyDescent="0.35">
      <c r="A880" t="s">
        <v>938</v>
      </c>
      <c r="B880" s="4">
        <v>45122</v>
      </c>
      <c r="C880" s="4">
        <v>46143</v>
      </c>
      <c r="D880" t="s">
        <v>60</v>
      </c>
      <c r="E880">
        <v>71</v>
      </c>
      <c r="F880" t="s">
        <v>43</v>
      </c>
      <c r="G880" t="s">
        <v>48</v>
      </c>
      <c r="H880" t="s">
        <v>58</v>
      </c>
      <c r="I880" t="s">
        <v>36</v>
      </c>
      <c r="J880">
        <v>34</v>
      </c>
      <c r="K880" s="5">
        <v>55.75</v>
      </c>
      <c r="L880" s="5">
        <v>43.27</v>
      </c>
      <c r="M880">
        <v>41</v>
      </c>
      <c r="N880">
        <v>21</v>
      </c>
      <c r="O880">
        <v>6</v>
      </c>
      <c r="P880">
        <v>4</v>
      </c>
      <c r="Q880">
        <v>33</v>
      </c>
      <c r="R880">
        <v>4</v>
      </c>
      <c r="S880">
        <v>3</v>
      </c>
      <c r="T880">
        <v>0</v>
      </c>
      <c r="U880">
        <v>0</v>
      </c>
      <c r="V880">
        <v>1</v>
      </c>
      <c r="W880" t="s">
        <v>52</v>
      </c>
      <c r="X880">
        <v>-6</v>
      </c>
      <c r="Y880">
        <v>1</v>
      </c>
      <c r="Z880">
        <f t="shared" si="78"/>
        <v>100</v>
      </c>
      <c r="AA880">
        <f t="shared" si="79"/>
        <v>1.15625</v>
      </c>
      <c r="AB880">
        <f t="shared" si="80"/>
        <v>29</v>
      </c>
      <c r="AC880" t="str">
        <f t="shared" si="81"/>
        <v>Low</v>
      </c>
      <c r="AD880" t="str">
        <f t="shared" si="82"/>
        <v>Upsell premium bundle</v>
      </c>
      <c r="AE880">
        <f t="shared" si="83"/>
        <v>0</v>
      </c>
    </row>
    <row r="881" spans="1:31" x14ac:dyDescent="0.35">
      <c r="A881" t="s">
        <v>939</v>
      </c>
      <c r="B881" s="4">
        <v>45463</v>
      </c>
      <c r="C881" s="4">
        <v>46143</v>
      </c>
      <c r="D881" t="s">
        <v>72</v>
      </c>
      <c r="E881">
        <v>68</v>
      </c>
      <c r="F881" t="s">
        <v>77</v>
      </c>
      <c r="G881" t="s">
        <v>85</v>
      </c>
      <c r="H881" t="s">
        <v>58</v>
      </c>
      <c r="I881" t="s">
        <v>36</v>
      </c>
      <c r="J881">
        <v>22</v>
      </c>
      <c r="K881" s="5">
        <v>4123.37</v>
      </c>
      <c r="L881" s="5">
        <v>4443.6499999999996</v>
      </c>
      <c r="M881">
        <v>40</v>
      </c>
      <c r="N881">
        <v>19</v>
      </c>
      <c r="O881">
        <v>10</v>
      </c>
      <c r="P881">
        <v>2</v>
      </c>
      <c r="Q881">
        <v>36</v>
      </c>
      <c r="R881">
        <v>2</v>
      </c>
      <c r="S881">
        <v>1</v>
      </c>
      <c r="T881">
        <v>1</v>
      </c>
      <c r="U881">
        <v>0</v>
      </c>
      <c r="V881">
        <v>0</v>
      </c>
      <c r="W881" t="s">
        <v>45</v>
      </c>
      <c r="X881">
        <v>26</v>
      </c>
      <c r="Y881">
        <v>0</v>
      </c>
      <c r="Z881">
        <f t="shared" si="78"/>
        <v>100</v>
      </c>
      <c r="AA881">
        <f t="shared" si="79"/>
        <v>1.4615384615384615</v>
      </c>
      <c r="AB881">
        <f t="shared" si="80"/>
        <v>0</v>
      </c>
      <c r="AC881" t="str">
        <f t="shared" si="81"/>
        <v>Low</v>
      </c>
      <c r="AD881" t="str">
        <f t="shared" si="82"/>
        <v>Upsell premium bundle</v>
      </c>
      <c r="AE881">
        <f t="shared" si="83"/>
        <v>0</v>
      </c>
    </row>
    <row r="882" spans="1:31" x14ac:dyDescent="0.35">
      <c r="A882" t="s">
        <v>940</v>
      </c>
      <c r="B882" s="4">
        <v>45765</v>
      </c>
      <c r="C882" s="4">
        <v>46143</v>
      </c>
      <c r="D882" t="s">
        <v>39</v>
      </c>
      <c r="E882">
        <v>38</v>
      </c>
      <c r="F882" t="s">
        <v>33</v>
      </c>
      <c r="G882" t="s">
        <v>63</v>
      </c>
      <c r="H882" t="s">
        <v>41</v>
      </c>
      <c r="I882" t="s">
        <v>36</v>
      </c>
      <c r="J882">
        <v>12</v>
      </c>
      <c r="K882" s="5">
        <v>666.4</v>
      </c>
      <c r="L882" s="5">
        <v>306.26</v>
      </c>
      <c r="M882">
        <v>24</v>
      </c>
      <c r="N882">
        <v>8</v>
      </c>
      <c r="O882">
        <v>2</v>
      </c>
      <c r="P882">
        <v>0</v>
      </c>
      <c r="Q882">
        <v>13</v>
      </c>
      <c r="R882">
        <v>2</v>
      </c>
      <c r="S882">
        <v>1</v>
      </c>
      <c r="T882">
        <v>0</v>
      </c>
      <c r="U882">
        <v>0</v>
      </c>
      <c r="V882">
        <v>0</v>
      </c>
      <c r="W882" t="s">
        <v>50</v>
      </c>
      <c r="X882">
        <v>43</v>
      </c>
      <c r="Y882">
        <v>0</v>
      </c>
      <c r="Z882">
        <f t="shared" si="78"/>
        <v>46</v>
      </c>
      <c r="AA882">
        <f t="shared" si="79"/>
        <v>0.88095238095238093</v>
      </c>
      <c r="AB882">
        <f t="shared" si="80"/>
        <v>23</v>
      </c>
      <c r="AC882" t="str">
        <f t="shared" si="81"/>
        <v>Low</v>
      </c>
      <c r="AD882" t="str">
        <f t="shared" si="82"/>
        <v>Upsell premium bundle</v>
      </c>
      <c r="AE882">
        <f t="shared" si="83"/>
        <v>54</v>
      </c>
    </row>
    <row r="883" spans="1:31" x14ac:dyDescent="0.35">
      <c r="A883" t="s">
        <v>941</v>
      </c>
      <c r="B883" s="4">
        <v>45672</v>
      </c>
      <c r="C883" s="4">
        <v>46143</v>
      </c>
      <c r="D883" t="s">
        <v>32</v>
      </c>
      <c r="E883">
        <v>55</v>
      </c>
      <c r="F883" t="s">
        <v>57</v>
      </c>
      <c r="G883" t="s">
        <v>40</v>
      </c>
      <c r="H883" t="s">
        <v>41</v>
      </c>
      <c r="I883" t="s">
        <v>36</v>
      </c>
      <c r="J883">
        <v>15</v>
      </c>
      <c r="K883" s="5">
        <v>1322.06</v>
      </c>
      <c r="L883" s="5">
        <v>1366.54</v>
      </c>
      <c r="M883">
        <v>19</v>
      </c>
      <c r="N883">
        <v>11</v>
      </c>
      <c r="O883">
        <v>1</v>
      </c>
      <c r="P883">
        <v>0</v>
      </c>
      <c r="Q883">
        <v>19</v>
      </c>
      <c r="R883">
        <v>1</v>
      </c>
      <c r="S883">
        <v>1</v>
      </c>
      <c r="T883">
        <v>0</v>
      </c>
      <c r="U883">
        <v>0</v>
      </c>
      <c r="V883">
        <v>1</v>
      </c>
      <c r="W883" t="s">
        <v>52</v>
      </c>
      <c r="X883">
        <v>10</v>
      </c>
      <c r="Y883">
        <v>0</v>
      </c>
      <c r="Z883">
        <f t="shared" si="78"/>
        <v>54</v>
      </c>
      <c r="AA883">
        <f t="shared" si="79"/>
        <v>0.84444444444444444</v>
      </c>
      <c r="AB883">
        <f t="shared" si="80"/>
        <v>38</v>
      </c>
      <c r="AC883" t="str">
        <f t="shared" si="81"/>
        <v>Low</v>
      </c>
      <c r="AD883" t="str">
        <f t="shared" si="82"/>
        <v>Upsell premium bundle</v>
      </c>
      <c r="AE883">
        <f t="shared" si="83"/>
        <v>46</v>
      </c>
    </row>
    <row r="884" spans="1:31" x14ac:dyDescent="0.35">
      <c r="A884" t="s">
        <v>942</v>
      </c>
      <c r="B884" s="4">
        <v>45166</v>
      </c>
      <c r="C884" s="4">
        <v>46143</v>
      </c>
      <c r="D884" t="s">
        <v>60</v>
      </c>
      <c r="E884">
        <v>70</v>
      </c>
      <c r="F884" t="s">
        <v>57</v>
      </c>
      <c r="G884" t="s">
        <v>34</v>
      </c>
      <c r="H884" t="s">
        <v>44</v>
      </c>
      <c r="I884" t="s">
        <v>36</v>
      </c>
      <c r="J884">
        <v>32</v>
      </c>
      <c r="K884" s="5">
        <v>1676.2</v>
      </c>
      <c r="L884" s="5">
        <v>336.45</v>
      </c>
      <c r="M884">
        <v>31</v>
      </c>
      <c r="N884">
        <v>16</v>
      </c>
      <c r="O884">
        <v>4</v>
      </c>
      <c r="P884">
        <v>2</v>
      </c>
      <c r="Q884">
        <v>19</v>
      </c>
      <c r="R884">
        <v>1</v>
      </c>
      <c r="S884">
        <v>2</v>
      </c>
      <c r="T884">
        <v>0</v>
      </c>
      <c r="U884">
        <v>1</v>
      </c>
      <c r="V884">
        <v>0</v>
      </c>
      <c r="W884" t="s">
        <v>50</v>
      </c>
      <c r="X884">
        <v>11</v>
      </c>
      <c r="Y884">
        <v>0</v>
      </c>
      <c r="Z884">
        <f t="shared" si="78"/>
        <v>78</v>
      </c>
      <c r="AA884">
        <f t="shared" si="79"/>
        <v>0.80645161290322576</v>
      </c>
      <c r="AB884">
        <f t="shared" si="80"/>
        <v>26</v>
      </c>
      <c r="AC884" t="str">
        <f t="shared" si="81"/>
        <v>Low</v>
      </c>
      <c r="AD884" t="str">
        <f t="shared" si="82"/>
        <v>Upsell premium bundle</v>
      </c>
      <c r="AE884">
        <f t="shared" si="83"/>
        <v>22</v>
      </c>
    </row>
    <row r="885" spans="1:31" x14ac:dyDescent="0.35">
      <c r="A885" t="s">
        <v>943</v>
      </c>
      <c r="B885" s="4">
        <v>45465</v>
      </c>
      <c r="C885" s="4">
        <v>46143</v>
      </c>
      <c r="D885" t="s">
        <v>72</v>
      </c>
      <c r="E885">
        <v>67</v>
      </c>
      <c r="F885" t="s">
        <v>43</v>
      </c>
      <c r="G885" t="s">
        <v>40</v>
      </c>
      <c r="H885" t="s">
        <v>41</v>
      </c>
      <c r="I885" t="s">
        <v>36</v>
      </c>
      <c r="J885">
        <v>22</v>
      </c>
      <c r="K885" s="5">
        <v>105.88</v>
      </c>
      <c r="L885" s="5">
        <v>69.16</v>
      </c>
      <c r="M885">
        <v>12</v>
      </c>
      <c r="N885">
        <v>5</v>
      </c>
      <c r="O885">
        <v>2</v>
      </c>
      <c r="P885">
        <v>0</v>
      </c>
      <c r="Q885">
        <v>5</v>
      </c>
      <c r="R885">
        <v>1</v>
      </c>
      <c r="S885">
        <v>0</v>
      </c>
      <c r="T885">
        <v>1</v>
      </c>
      <c r="U885">
        <v>1</v>
      </c>
      <c r="V885">
        <v>1</v>
      </c>
      <c r="W885" t="s">
        <v>45</v>
      </c>
      <c r="X885">
        <v>-2</v>
      </c>
      <c r="Y885">
        <v>1</v>
      </c>
      <c r="Z885">
        <f t="shared" si="78"/>
        <v>39</v>
      </c>
      <c r="AA885">
        <f t="shared" si="79"/>
        <v>0.32692307692307693</v>
      </c>
      <c r="AB885">
        <f t="shared" si="80"/>
        <v>42</v>
      </c>
      <c r="AC885" t="str">
        <f t="shared" si="81"/>
        <v>Medium</v>
      </c>
      <c r="AD885" t="str">
        <f t="shared" si="82"/>
        <v>Nudge core feature adoption</v>
      </c>
      <c r="AE885">
        <f t="shared" si="83"/>
        <v>61</v>
      </c>
    </row>
    <row r="886" spans="1:31" x14ac:dyDescent="0.35">
      <c r="A886" t="s">
        <v>944</v>
      </c>
      <c r="B886" s="4">
        <v>45857</v>
      </c>
      <c r="C886" s="4">
        <v>46143</v>
      </c>
      <c r="D886" t="s">
        <v>72</v>
      </c>
      <c r="E886">
        <v>18</v>
      </c>
      <c r="F886" t="s">
        <v>43</v>
      </c>
      <c r="G886" t="s">
        <v>67</v>
      </c>
      <c r="H886" t="s">
        <v>41</v>
      </c>
      <c r="I886" t="s">
        <v>36</v>
      </c>
      <c r="J886">
        <v>9</v>
      </c>
      <c r="K886" s="5">
        <v>125.68</v>
      </c>
      <c r="L886" s="5">
        <v>78.8</v>
      </c>
      <c r="M886">
        <v>8</v>
      </c>
      <c r="N886">
        <v>5</v>
      </c>
      <c r="O886">
        <v>1</v>
      </c>
      <c r="P886">
        <v>1</v>
      </c>
      <c r="Q886">
        <v>4</v>
      </c>
      <c r="R886">
        <v>1</v>
      </c>
      <c r="S886">
        <v>0</v>
      </c>
      <c r="T886">
        <v>0</v>
      </c>
      <c r="U886">
        <v>0</v>
      </c>
      <c r="V886">
        <v>0</v>
      </c>
      <c r="W886" t="s">
        <v>45</v>
      </c>
      <c r="X886">
        <v>38</v>
      </c>
      <c r="Y886">
        <v>1</v>
      </c>
      <c r="Z886">
        <f t="shared" si="78"/>
        <v>19</v>
      </c>
      <c r="AA886">
        <f t="shared" si="79"/>
        <v>0.30769230769230771</v>
      </c>
      <c r="AB886">
        <f t="shared" si="80"/>
        <v>30</v>
      </c>
      <c r="AC886" t="str">
        <f t="shared" si="81"/>
        <v>Low</v>
      </c>
      <c r="AD886" t="str">
        <f t="shared" si="82"/>
        <v>Upsell premium bundle</v>
      </c>
      <c r="AE886">
        <f t="shared" si="83"/>
        <v>81</v>
      </c>
    </row>
    <row r="887" spans="1:31" x14ac:dyDescent="0.35">
      <c r="A887" t="s">
        <v>945</v>
      </c>
      <c r="B887" s="4">
        <v>45109</v>
      </c>
      <c r="C887" s="4">
        <v>46143</v>
      </c>
      <c r="D887" t="s">
        <v>39</v>
      </c>
      <c r="E887">
        <v>44</v>
      </c>
      <c r="F887" t="s">
        <v>57</v>
      </c>
      <c r="G887" t="s">
        <v>34</v>
      </c>
      <c r="H887" t="s">
        <v>41</v>
      </c>
      <c r="I887" t="s">
        <v>36</v>
      </c>
      <c r="J887">
        <v>34</v>
      </c>
      <c r="K887" s="5">
        <v>2011.13</v>
      </c>
      <c r="L887" s="5">
        <v>926.93</v>
      </c>
      <c r="M887">
        <v>24</v>
      </c>
      <c r="N887">
        <v>8</v>
      </c>
      <c r="O887">
        <v>1</v>
      </c>
      <c r="P887">
        <v>1</v>
      </c>
      <c r="Q887">
        <v>22</v>
      </c>
      <c r="R887">
        <v>1</v>
      </c>
      <c r="S887">
        <v>0</v>
      </c>
      <c r="T887">
        <v>0</v>
      </c>
      <c r="U887">
        <v>0</v>
      </c>
      <c r="V887">
        <v>1</v>
      </c>
      <c r="W887" t="s">
        <v>45</v>
      </c>
      <c r="X887">
        <v>47</v>
      </c>
      <c r="Y887">
        <v>0</v>
      </c>
      <c r="Z887">
        <f t="shared" si="78"/>
        <v>61</v>
      </c>
      <c r="AA887">
        <f t="shared" si="79"/>
        <v>0.71875</v>
      </c>
      <c r="AB887">
        <f t="shared" si="80"/>
        <v>9</v>
      </c>
      <c r="AC887" t="str">
        <f t="shared" si="81"/>
        <v>Low</v>
      </c>
      <c r="AD887" t="str">
        <f t="shared" si="82"/>
        <v>Upsell premium bundle</v>
      </c>
      <c r="AE887">
        <f t="shared" si="83"/>
        <v>39</v>
      </c>
    </row>
    <row r="888" spans="1:31" x14ac:dyDescent="0.35">
      <c r="A888" t="s">
        <v>946</v>
      </c>
      <c r="B888" s="4">
        <v>45829</v>
      </c>
      <c r="C888" s="4">
        <v>46143</v>
      </c>
      <c r="D888" t="s">
        <v>47</v>
      </c>
      <c r="E888">
        <v>51</v>
      </c>
      <c r="F888" t="s">
        <v>57</v>
      </c>
      <c r="G888" t="s">
        <v>85</v>
      </c>
      <c r="H888" t="s">
        <v>58</v>
      </c>
      <c r="I888" t="s">
        <v>49</v>
      </c>
      <c r="J888">
        <v>10</v>
      </c>
      <c r="K888" s="5">
        <v>1920.26</v>
      </c>
      <c r="L888" s="5">
        <v>1763.35</v>
      </c>
      <c r="M888">
        <v>50</v>
      </c>
      <c r="N888">
        <v>21</v>
      </c>
      <c r="O888">
        <v>2</v>
      </c>
      <c r="P888">
        <v>10</v>
      </c>
      <c r="Q888">
        <v>32</v>
      </c>
      <c r="R888">
        <v>3</v>
      </c>
      <c r="S888">
        <v>1</v>
      </c>
      <c r="T888">
        <v>0</v>
      </c>
      <c r="U888">
        <v>0</v>
      </c>
      <c r="V888">
        <v>0</v>
      </c>
      <c r="W888" t="s">
        <v>45</v>
      </c>
      <c r="X888">
        <v>17</v>
      </c>
      <c r="Y888">
        <v>0</v>
      </c>
      <c r="Z888">
        <f t="shared" si="78"/>
        <v>100</v>
      </c>
      <c r="AA888">
        <f t="shared" si="79"/>
        <v>2.0499999999999998</v>
      </c>
      <c r="AB888">
        <f t="shared" si="80"/>
        <v>9</v>
      </c>
      <c r="AC888" t="str">
        <f t="shared" si="81"/>
        <v>Low</v>
      </c>
      <c r="AD888" t="str">
        <f t="shared" si="82"/>
        <v>Upsell premium bundle</v>
      </c>
      <c r="AE888">
        <f t="shared" si="83"/>
        <v>0</v>
      </c>
    </row>
    <row r="889" spans="1:31" x14ac:dyDescent="0.35">
      <c r="A889" t="s">
        <v>947</v>
      </c>
      <c r="B889" s="4">
        <v>45269</v>
      </c>
      <c r="C889" s="4">
        <v>46143</v>
      </c>
      <c r="D889" t="s">
        <v>47</v>
      </c>
      <c r="E889">
        <v>70</v>
      </c>
      <c r="F889" t="s">
        <v>43</v>
      </c>
      <c r="G889" t="s">
        <v>34</v>
      </c>
      <c r="H889" t="s">
        <v>58</v>
      </c>
      <c r="I889" t="s">
        <v>36</v>
      </c>
      <c r="J889">
        <v>29</v>
      </c>
      <c r="K889" s="5">
        <v>47.7</v>
      </c>
      <c r="L889" s="5">
        <v>108.49</v>
      </c>
      <c r="M889">
        <v>43</v>
      </c>
      <c r="N889">
        <v>11</v>
      </c>
      <c r="O889">
        <v>3</v>
      </c>
      <c r="P889">
        <v>7</v>
      </c>
      <c r="Q889">
        <v>30</v>
      </c>
      <c r="R889">
        <v>1</v>
      </c>
      <c r="S889">
        <v>0</v>
      </c>
      <c r="T889">
        <v>1</v>
      </c>
      <c r="U889">
        <v>1</v>
      </c>
      <c r="V889">
        <v>1</v>
      </c>
      <c r="W889" t="s">
        <v>52</v>
      </c>
      <c r="X889">
        <v>33</v>
      </c>
      <c r="Y889">
        <v>0</v>
      </c>
      <c r="Z889">
        <f t="shared" si="78"/>
        <v>100</v>
      </c>
      <c r="AA889">
        <f t="shared" si="79"/>
        <v>1.2372881355932204</v>
      </c>
      <c r="AB889">
        <f t="shared" si="80"/>
        <v>0</v>
      </c>
      <c r="AC889" t="str">
        <f t="shared" si="81"/>
        <v>Low</v>
      </c>
      <c r="AD889" t="str">
        <f t="shared" si="82"/>
        <v>Upsell premium bundle</v>
      </c>
      <c r="AE889">
        <f t="shared" si="83"/>
        <v>0</v>
      </c>
    </row>
    <row r="890" spans="1:31" x14ac:dyDescent="0.35">
      <c r="A890" t="s">
        <v>948</v>
      </c>
      <c r="B890" s="4">
        <v>45673</v>
      </c>
      <c r="C890" s="4">
        <v>46143</v>
      </c>
      <c r="D890" t="s">
        <v>66</v>
      </c>
      <c r="E890">
        <v>63</v>
      </c>
      <c r="F890" t="s">
        <v>33</v>
      </c>
      <c r="G890" t="s">
        <v>67</v>
      </c>
      <c r="H890" t="s">
        <v>58</v>
      </c>
      <c r="I890" t="s">
        <v>36</v>
      </c>
      <c r="J890">
        <v>15</v>
      </c>
      <c r="K890" s="5">
        <v>540.71</v>
      </c>
      <c r="L890" s="5">
        <v>596.54999999999995</v>
      </c>
      <c r="M890">
        <v>43</v>
      </c>
      <c r="N890">
        <v>32</v>
      </c>
      <c r="O890">
        <v>6</v>
      </c>
      <c r="P890">
        <v>0</v>
      </c>
      <c r="Q890">
        <v>28</v>
      </c>
      <c r="R890">
        <v>0</v>
      </c>
      <c r="S890">
        <v>0</v>
      </c>
      <c r="T890">
        <v>1</v>
      </c>
      <c r="U890">
        <v>0</v>
      </c>
      <c r="V890">
        <v>1</v>
      </c>
      <c r="W890" t="s">
        <v>52</v>
      </c>
      <c r="X890">
        <v>57</v>
      </c>
      <c r="Y890">
        <v>0</v>
      </c>
      <c r="Z890">
        <f t="shared" si="78"/>
        <v>100</v>
      </c>
      <c r="AA890">
        <f t="shared" si="79"/>
        <v>1.5777777777777777</v>
      </c>
      <c r="AB890">
        <f t="shared" si="80"/>
        <v>0</v>
      </c>
      <c r="AC890" t="str">
        <f t="shared" si="81"/>
        <v>Low</v>
      </c>
      <c r="AD890" t="str">
        <f t="shared" si="82"/>
        <v>Upsell premium bundle</v>
      </c>
      <c r="AE890">
        <f t="shared" si="83"/>
        <v>0</v>
      </c>
    </row>
    <row r="891" spans="1:31" x14ac:dyDescent="0.35">
      <c r="A891" t="s">
        <v>949</v>
      </c>
      <c r="B891" s="4">
        <v>45382</v>
      </c>
      <c r="C891" s="4">
        <v>46143</v>
      </c>
      <c r="D891" t="s">
        <v>60</v>
      </c>
      <c r="E891">
        <v>71</v>
      </c>
      <c r="F891" t="s">
        <v>57</v>
      </c>
      <c r="G891" t="s">
        <v>67</v>
      </c>
      <c r="H891" t="s">
        <v>58</v>
      </c>
      <c r="I891" t="s">
        <v>36</v>
      </c>
      <c r="J891">
        <v>25</v>
      </c>
      <c r="K891" s="5">
        <v>0</v>
      </c>
      <c r="L891" s="5">
        <v>1788.05</v>
      </c>
      <c r="M891">
        <v>34</v>
      </c>
      <c r="N891">
        <v>22</v>
      </c>
      <c r="O891">
        <v>7</v>
      </c>
      <c r="P891">
        <v>3</v>
      </c>
      <c r="Q891">
        <v>21</v>
      </c>
      <c r="R891">
        <v>1</v>
      </c>
      <c r="S891">
        <v>0</v>
      </c>
      <c r="T891">
        <v>0</v>
      </c>
      <c r="U891">
        <v>1</v>
      </c>
      <c r="V891">
        <v>1</v>
      </c>
      <c r="W891" t="s">
        <v>55</v>
      </c>
      <c r="X891">
        <v>55</v>
      </c>
      <c r="Y891">
        <v>0</v>
      </c>
      <c r="Z891">
        <f t="shared" si="78"/>
        <v>99</v>
      </c>
      <c r="AA891">
        <f t="shared" si="79"/>
        <v>1</v>
      </c>
      <c r="AB891">
        <f t="shared" si="80"/>
        <v>0</v>
      </c>
      <c r="AC891" t="str">
        <f t="shared" si="81"/>
        <v>Low</v>
      </c>
      <c r="AD891" t="str">
        <f t="shared" si="82"/>
        <v>Upsell premium bundle</v>
      </c>
      <c r="AE891">
        <f t="shared" si="83"/>
        <v>1</v>
      </c>
    </row>
    <row r="892" spans="1:31" x14ac:dyDescent="0.35">
      <c r="A892" t="s">
        <v>950</v>
      </c>
      <c r="B892" s="4">
        <v>45274</v>
      </c>
      <c r="C892" s="4">
        <v>46143</v>
      </c>
      <c r="D892" t="s">
        <v>39</v>
      </c>
      <c r="E892">
        <v>65</v>
      </c>
      <c r="F892" t="s">
        <v>43</v>
      </c>
      <c r="G892" t="s">
        <v>34</v>
      </c>
      <c r="H892" t="s">
        <v>35</v>
      </c>
      <c r="I892" t="s">
        <v>49</v>
      </c>
      <c r="J892">
        <v>28</v>
      </c>
      <c r="K892" s="5">
        <v>123.27</v>
      </c>
      <c r="L892" s="5">
        <v>42.99</v>
      </c>
      <c r="M892">
        <v>34</v>
      </c>
      <c r="N892">
        <v>13</v>
      </c>
      <c r="O892">
        <v>4</v>
      </c>
      <c r="P892">
        <v>1</v>
      </c>
      <c r="Q892">
        <v>29</v>
      </c>
      <c r="R892">
        <v>1</v>
      </c>
      <c r="S892">
        <v>2</v>
      </c>
      <c r="T892">
        <v>1</v>
      </c>
      <c r="U892">
        <v>0</v>
      </c>
      <c r="V892">
        <v>1</v>
      </c>
      <c r="W892" t="s">
        <v>55</v>
      </c>
      <c r="X892">
        <v>49</v>
      </c>
      <c r="Y892">
        <v>0</v>
      </c>
      <c r="Z892">
        <f t="shared" si="78"/>
        <v>86</v>
      </c>
      <c r="AA892">
        <f t="shared" si="79"/>
        <v>1.0862068965517242</v>
      </c>
      <c r="AB892">
        <f t="shared" si="80"/>
        <v>20</v>
      </c>
      <c r="AC892" t="str">
        <f t="shared" si="81"/>
        <v>Low</v>
      </c>
      <c r="AD892" t="str">
        <f t="shared" si="82"/>
        <v>Upsell premium bundle</v>
      </c>
      <c r="AE892">
        <f t="shared" si="83"/>
        <v>14</v>
      </c>
    </row>
    <row r="893" spans="1:31" x14ac:dyDescent="0.35">
      <c r="A893" t="s">
        <v>951</v>
      </c>
      <c r="B893" s="4">
        <v>45924</v>
      </c>
      <c r="C893" s="4">
        <v>46143</v>
      </c>
      <c r="D893" t="s">
        <v>60</v>
      </c>
      <c r="E893">
        <v>43</v>
      </c>
      <c r="F893" t="s">
        <v>57</v>
      </c>
      <c r="G893" t="s">
        <v>63</v>
      </c>
      <c r="H893" t="s">
        <v>58</v>
      </c>
      <c r="I893" t="s">
        <v>36</v>
      </c>
      <c r="J893">
        <v>7</v>
      </c>
      <c r="K893" s="5">
        <v>429.99</v>
      </c>
      <c r="L893" s="5">
        <v>1884.59</v>
      </c>
      <c r="M893">
        <v>18</v>
      </c>
      <c r="N893">
        <v>12</v>
      </c>
      <c r="O893">
        <v>2</v>
      </c>
      <c r="P893">
        <v>2</v>
      </c>
      <c r="Q893">
        <v>12</v>
      </c>
      <c r="R893">
        <v>1</v>
      </c>
      <c r="S893">
        <v>0</v>
      </c>
      <c r="T893">
        <v>1</v>
      </c>
      <c r="U893">
        <v>1</v>
      </c>
      <c r="V893">
        <v>0</v>
      </c>
      <c r="W893" t="s">
        <v>52</v>
      </c>
      <c r="X893">
        <v>36</v>
      </c>
      <c r="Y893">
        <v>0</v>
      </c>
      <c r="Z893">
        <f t="shared" si="78"/>
        <v>52</v>
      </c>
      <c r="AA893">
        <f t="shared" si="79"/>
        <v>0.81081081081081086</v>
      </c>
      <c r="AB893">
        <f t="shared" si="80"/>
        <v>0</v>
      </c>
      <c r="AC893" t="str">
        <f t="shared" si="81"/>
        <v>Low</v>
      </c>
      <c r="AD893" t="str">
        <f t="shared" si="82"/>
        <v>Upsell premium bundle</v>
      </c>
      <c r="AE893">
        <f t="shared" si="83"/>
        <v>48</v>
      </c>
    </row>
    <row r="894" spans="1:31" x14ac:dyDescent="0.35">
      <c r="A894" t="s">
        <v>952</v>
      </c>
      <c r="B894" s="4">
        <v>45937</v>
      </c>
      <c r="C894" s="4">
        <v>46143</v>
      </c>
      <c r="D894" t="s">
        <v>47</v>
      </c>
      <c r="E894">
        <v>25</v>
      </c>
      <c r="F894" t="s">
        <v>33</v>
      </c>
      <c r="G894" t="s">
        <v>48</v>
      </c>
      <c r="H894" t="s">
        <v>41</v>
      </c>
      <c r="I894" t="s">
        <v>36</v>
      </c>
      <c r="J894">
        <v>6</v>
      </c>
      <c r="K894" s="5">
        <v>711.9</v>
      </c>
      <c r="L894" s="5">
        <v>582.5</v>
      </c>
      <c r="M894">
        <v>16</v>
      </c>
      <c r="N894">
        <v>8</v>
      </c>
      <c r="O894">
        <v>1</v>
      </c>
      <c r="P894">
        <v>1</v>
      </c>
      <c r="Q894">
        <v>9</v>
      </c>
      <c r="R894">
        <v>3</v>
      </c>
      <c r="S894">
        <v>1</v>
      </c>
      <c r="T894">
        <v>1</v>
      </c>
      <c r="U894">
        <v>1</v>
      </c>
      <c r="V894">
        <v>0</v>
      </c>
      <c r="W894" t="s">
        <v>50</v>
      </c>
      <c r="X894">
        <v>26</v>
      </c>
      <c r="Y894">
        <v>1</v>
      </c>
      <c r="Z894">
        <f t="shared" si="78"/>
        <v>42</v>
      </c>
      <c r="AA894">
        <f t="shared" si="79"/>
        <v>0.69444444444444442</v>
      </c>
      <c r="AB894">
        <f t="shared" si="80"/>
        <v>32</v>
      </c>
      <c r="AC894" t="str">
        <f t="shared" si="81"/>
        <v>Low</v>
      </c>
      <c r="AD894" t="str">
        <f t="shared" si="82"/>
        <v>Upsell premium bundle</v>
      </c>
      <c r="AE894">
        <f t="shared" si="83"/>
        <v>58</v>
      </c>
    </row>
    <row r="895" spans="1:31" x14ac:dyDescent="0.35">
      <c r="A895" t="s">
        <v>953</v>
      </c>
      <c r="B895" s="4">
        <v>45959</v>
      </c>
      <c r="C895" s="4">
        <v>46143</v>
      </c>
      <c r="D895" t="s">
        <v>47</v>
      </c>
      <c r="E895">
        <v>43</v>
      </c>
      <c r="F895" t="s">
        <v>33</v>
      </c>
      <c r="G895" t="s">
        <v>67</v>
      </c>
      <c r="H895" t="s">
        <v>41</v>
      </c>
      <c r="I895" t="s">
        <v>49</v>
      </c>
      <c r="J895">
        <v>6</v>
      </c>
      <c r="K895" s="5">
        <v>298.79000000000002</v>
      </c>
      <c r="L895" s="5">
        <v>244.79</v>
      </c>
      <c r="M895">
        <v>8</v>
      </c>
      <c r="N895">
        <v>3</v>
      </c>
      <c r="O895">
        <v>0</v>
      </c>
      <c r="P895">
        <v>0</v>
      </c>
      <c r="Q895">
        <v>14</v>
      </c>
      <c r="R895">
        <v>1</v>
      </c>
      <c r="S895">
        <v>2</v>
      </c>
      <c r="T895">
        <v>0</v>
      </c>
      <c r="U895">
        <v>0</v>
      </c>
      <c r="V895">
        <v>1</v>
      </c>
      <c r="W895" t="s">
        <v>52</v>
      </c>
      <c r="X895">
        <v>-37</v>
      </c>
      <c r="Y895">
        <v>1</v>
      </c>
      <c r="Z895">
        <f t="shared" si="78"/>
        <v>31</v>
      </c>
      <c r="AA895">
        <f t="shared" si="79"/>
        <v>0.61111111111111116</v>
      </c>
      <c r="AB895">
        <f t="shared" si="80"/>
        <v>95</v>
      </c>
      <c r="AC895" t="str">
        <f t="shared" si="81"/>
        <v>High</v>
      </c>
      <c r="AD895" t="str">
        <f t="shared" si="82"/>
        <v>Retention call</v>
      </c>
      <c r="AE895">
        <f t="shared" si="83"/>
        <v>69</v>
      </c>
    </row>
    <row r="896" spans="1:31" x14ac:dyDescent="0.35">
      <c r="A896" t="s">
        <v>954</v>
      </c>
      <c r="B896" s="4">
        <v>44739</v>
      </c>
      <c r="C896" s="4">
        <v>46143</v>
      </c>
      <c r="D896" t="s">
        <v>47</v>
      </c>
      <c r="E896">
        <v>28</v>
      </c>
      <c r="F896" t="s">
        <v>57</v>
      </c>
      <c r="G896" t="s">
        <v>48</v>
      </c>
      <c r="H896" t="s">
        <v>41</v>
      </c>
      <c r="I896" t="s">
        <v>36</v>
      </c>
      <c r="J896">
        <v>46</v>
      </c>
      <c r="K896" s="5">
        <v>658.38</v>
      </c>
      <c r="L896" s="5">
        <v>400.52</v>
      </c>
      <c r="M896">
        <v>10</v>
      </c>
      <c r="N896">
        <v>5</v>
      </c>
      <c r="O896">
        <v>0</v>
      </c>
      <c r="P896">
        <v>0</v>
      </c>
      <c r="Q896">
        <v>14</v>
      </c>
      <c r="R896">
        <v>1</v>
      </c>
      <c r="S896">
        <v>0</v>
      </c>
      <c r="T896">
        <v>0</v>
      </c>
      <c r="U896">
        <v>0</v>
      </c>
      <c r="V896">
        <v>0</v>
      </c>
      <c r="W896" t="s">
        <v>55</v>
      </c>
      <c r="X896">
        <v>-2</v>
      </c>
      <c r="Y896">
        <v>1</v>
      </c>
      <c r="Z896">
        <f t="shared" si="78"/>
        <v>27</v>
      </c>
      <c r="AA896">
        <f t="shared" si="79"/>
        <v>0.31578947368421051</v>
      </c>
      <c r="AB896">
        <f t="shared" si="80"/>
        <v>47</v>
      </c>
      <c r="AC896" t="str">
        <f t="shared" si="81"/>
        <v>Medium</v>
      </c>
      <c r="AD896" t="str">
        <f t="shared" si="82"/>
        <v>Nudge core feature adoption</v>
      </c>
      <c r="AE896">
        <f t="shared" si="83"/>
        <v>73</v>
      </c>
    </row>
    <row r="897" spans="1:31" x14ac:dyDescent="0.35">
      <c r="A897" t="s">
        <v>955</v>
      </c>
      <c r="B897" s="4">
        <v>45818</v>
      </c>
      <c r="C897" s="4">
        <v>46143</v>
      </c>
      <c r="D897" t="s">
        <v>66</v>
      </c>
      <c r="E897">
        <v>40</v>
      </c>
      <c r="F897" t="s">
        <v>61</v>
      </c>
      <c r="G897" t="s">
        <v>63</v>
      </c>
      <c r="H897" t="s">
        <v>41</v>
      </c>
      <c r="I897" t="s">
        <v>49</v>
      </c>
      <c r="J897">
        <v>10</v>
      </c>
      <c r="K897" s="5">
        <v>0</v>
      </c>
      <c r="L897" s="5">
        <v>1366.83</v>
      </c>
      <c r="M897">
        <v>24</v>
      </c>
      <c r="N897">
        <v>14</v>
      </c>
      <c r="O897">
        <v>6</v>
      </c>
      <c r="P897">
        <v>4</v>
      </c>
      <c r="Q897">
        <v>16</v>
      </c>
      <c r="R897">
        <v>1</v>
      </c>
      <c r="S897">
        <v>1</v>
      </c>
      <c r="T897">
        <v>0</v>
      </c>
      <c r="U897">
        <v>0</v>
      </c>
      <c r="V897">
        <v>1</v>
      </c>
      <c r="W897" t="s">
        <v>52</v>
      </c>
      <c r="X897">
        <v>43</v>
      </c>
      <c r="Y897">
        <v>0</v>
      </c>
      <c r="Z897">
        <f t="shared" si="78"/>
        <v>70</v>
      </c>
      <c r="AA897">
        <f t="shared" si="79"/>
        <v>1</v>
      </c>
      <c r="AB897">
        <f t="shared" si="80"/>
        <v>31</v>
      </c>
      <c r="AC897" t="str">
        <f t="shared" si="81"/>
        <v>Low</v>
      </c>
      <c r="AD897" t="str">
        <f t="shared" si="82"/>
        <v>Upsell premium bundle</v>
      </c>
      <c r="AE897">
        <f t="shared" si="83"/>
        <v>30</v>
      </c>
    </row>
    <row r="898" spans="1:31" x14ac:dyDescent="0.35">
      <c r="A898" t="s">
        <v>956</v>
      </c>
      <c r="B898" s="4">
        <v>45880</v>
      </c>
      <c r="C898" s="4">
        <v>46143</v>
      </c>
      <c r="D898" t="s">
        <v>60</v>
      </c>
      <c r="E898">
        <v>38</v>
      </c>
      <c r="F898" t="s">
        <v>33</v>
      </c>
      <c r="G898" t="s">
        <v>40</v>
      </c>
      <c r="H898" t="s">
        <v>44</v>
      </c>
      <c r="I898" t="s">
        <v>36</v>
      </c>
      <c r="J898">
        <v>8</v>
      </c>
      <c r="K898" s="5">
        <v>104.96</v>
      </c>
      <c r="L898" s="5">
        <v>408.92</v>
      </c>
      <c r="M898">
        <v>45</v>
      </c>
      <c r="N898">
        <v>32</v>
      </c>
      <c r="O898">
        <v>4</v>
      </c>
      <c r="P898">
        <v>4</v>
      </c>
      <c r="Q898">
        <v>30</v>
      </c>
      <c r="R898">
        <v>0</v>
      </c>
      <c r="S898">
        <v>1</v>
      </c>
      <c r="T898">
        <v>0</v>
      </c>
      <c r="U898">
        <v>1</v>
      </c>
      <c r="V898">
        <v>0</v>
      </c>
      <c r="W898" t="s">
        <v>55</v>
      </c>
      <c r="X898">
        <v>29</v>
      </c>
      <c r="Y898">
        <v>0</v>
      </c>
      <c r="Z898">
        <f t="shared" ref="Z898:Z961" si="84">MIN(100,ROUND((M898*1.1+N898*0.7+O898*1.2+P898*1.4+Q898*0.9+U898*8+V898*7),0))</f>
        <v>100</v>
      </c>
      <c r="AA898">
        <f t="shared" ref="AA898:AA961" si="85">IFERROR((M898+Q898)/(30+J898),0)</f>
        <v>1.9736842105263157</v>
      </c>
      <c r="AB898">
        <f t="shared" ref="AB898:AB961" si="86">ROUND(MIN(100,MAX(0,60-Z898*0.4-R898*1.5+S898*8-IF(L898&gt;1500,10,0)-X898*0.5+IF(I898="Completed",-8,8)+IF(H898="Free",6,-4))),0)</f>
        <v>2</v>
      </c>
      <c r="AC898" t="str">
        <f t="shared" ref="AC898:AC961" si="87">IF(AB898&gt;=70,"High",IF(AB898&gt;=40,"Medium","Low"))</f>
        <v>Low</v>
      </c>
      <c r="AD898" t="str">
        <f t="shared" ref="AD898:AD961" si="88">IF(AC898="High",IF(Q898&lt;5,"Re-engage with app usage offer",IF(K898&lt;100,"Deposit incentive","Retention call")),IF(AC898="Medium","Nudge core feature adoption","Upsell premium bundle"))</f>
        <v>Upsell premium bundle</v>
      </c>
      <c r="AE898">
        <f t="shared" ref="AE898:AE961" si="89">100-Z898</f>
        <v>0</v>
      </c>
    </row>
    <row r="899" spans="1:31" x14ac:dyDescent="0.35">
      <c r="A899" t="s">
        <v>957</v>
      </c>
      <c r="B899" s="4">
        <v>45830</v>
      </c>
      <c r="C899" s="4">
        <v>46143</v>
      </c>
      <c r="D899" t="s">
        <v>39</v>
      </c>
      <c r="E899">
        <v>52</v>
      </c>
      <c r="F899" t="s">
        <v>33</v>
      </c>
      <c r="G899" t="s">
        <v>67</v>
      </c>
      <c r="H899" t="s">
        <v>44</v>
      </c>
      <c r="I899" t="s">
        <v>36</v>
      </c>
      <c r="J899">
        <v>10</v>
      </c>
      <c r="K899" s="5">
        <v>311.2</v>
      </c>
      <c r="L899" s="5">
        <v>0</v>
      </c>
      <c r="M899">
        <v>36</v>
      </c>
      <c r="N899">
        <v>18</v>
      </c>
      <c r="O899">
        <v>5</v>
      </c>
      <c r="P899">
        <v>0</v>
      </c>
      <c r="Q899">
        <v>24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45</v>
      </c>
      <c r="X899">
        <v>38</v>
      </c>
      <c r="Y899">
        <v>0</v>
      </c>
      <c r="Z899">
        <f t="shared" si="84"/>
        <v>80</v>
      </c>
      <c r="AA899">
        <f t="shared" si="85"/>
        <v>1.5</v>
      </c>
      <c r="AB899">
        <f t="shared" si="86"/>
        <v>0</v>
      </c>
      <c r="AC899" t="str">
        <f t="shared" si="87"/>
        <v>Low</v>
      </c>
      <c r="AD899" t="str">
        <f t="shared" si="88"/>
        <v>Upsell premium bundle</v>
      </c>
      <c r="AE899">
        <f t="shared" si="89"/>
        <v>20</v>
      </c>
    </row>
    <row r="900" spans="1:31" x14ac:dyDescent="0.35">
      <c r="A900" t="s">
        <v>958</v>
      </c>
      <c r="B900" s="4">
        <v>45402</v>
      </c>
      <c r="C900" s="4">
        <v>46143</v>
      </c>
      <c r="D900" t="s">
        <v>72</v>
      </c>
      <c r="E900">
        <v>62</v>
      </c>
      <c r="F900" t="s">
        <v>43</v>
      </c>
      <c r="G900" t="s">
        <v>34</v>
      </c>
      <c r="H900" t="s">
        <v>58</v>
      </c>
      <c r="I900" t="s">
        <v>36</v>
      </c>
      <c r="J900">
        <v>24</v>
      </c>
      <c r="K900" s="5">
        <v>19.09</v>
      </c>
      <c r="L900" s="5">
        <v>25.46</v>
      </c>
      <c r="M900">
        <v>28</v>
      </c>
      <c r="N900">
        <v>17</v>
      </c>
      <c r="O900">
        <v>7</v>
      </c>
      <c r="P900">
        <v>0</v>
      </c>
      <c r="Q900">
        <v>18</v>
      </c>
      <c r="R900">
        <v>0</v>
      </c>
      <c r="S900">
        <v>0</v>
      </c>
      <c r="T900">
        <v>0</v>
      </c>
      <c r="U900">
        <v>1</v>
      </c>
      <c r="V900">
        <v>0</v>
      </c>
      <c r="W900" t="s">
        <v>55</v>
      </c>
      <c r="X900">
        <v>27</v>
      </c>
      <c r="Y900">
        <v>0</v>
      </c>
      <c r="Z900">
        <f t="shared" si="84"/>
        <v>75</v>
      </c>
      <c r="AA900">
        <f t="shared" si="85"/>
        <v>0.85185185185185186</v>
      </c>
      <c r="AB900">
        <f t="shared" si="86"/>
        <v>5</v>
      </c>
      <c r="AC900" t="str">
        <f t="shared" si="87"/>
        <v>Low</v>
      </c>
      <c r="AD900" t="str">
        <f t="shared" si="88"/>
        <v>Upsell premium bundle</v>
      </c>
      <c r="AE900">
        <f t="shared" si="89"/>
        <v>25</v>
      </c>
    </row>
    <row r="901" spans="1:31" x14ac:dyDescent="0.35">
      <c r="A901" t="s">
        <v>959</v>
      </c>
      <c r="B901" s="4">
        <v>45982</v>
      </c>
      <c r="C901" s="4">
        <v>46143</v>
      </c>
      <c r="D901" t="s">
        <v>32</v>
      </c>
      <c r="E901">
        <v>41</v>
      </c>
      <c r="F901" t="s">
        <v>57</v>
      </c>
      <c r="G901" t="s">
        <v>34</v>
      </c>
      <c r="H901" t="s">
        <v>58</v>
      </c>
      <c r="I901" t="s">
        <v>36</v>
      </c>
      <c r="J901">
        <v>5</v>
      </c>
      <c r="K901" s="5">
        <v>428.73</v>
      </c>
      <c r="L901" s="5">
        <v>518.96</v>
      </c>
      <c r="M901">
        <v>21</v>
      </c>
      <c r="N901">
        <v>10</v>
      </c>
      <c r="O901">
        <v>1</v>
      </c>
      <c r="P901">
        <v>4</v>
      </c>
      <c r="Q901">
        <v>30</v>
      </c>
      <c r="R901">
        <v>1</v>
      </c>
      <c r="S901">
        <v>0</v>
      </c>
      <c r="T901">
        <v>0</v>
      </c>
      <c r="U901">
        <v>0</v>
      </c>
      <c r="V901">
        <v>0</v>
      </c>
      <c r="W901" t="s">
        <v>37</v>
      </c>
      <c r="X901">
        <v>46</v>
      </c>
      <c r="Y901">
        <v>1</v>
      </c>
      <c r="Z901">
        <f t="shared" si="84"/>
        <v>64</v>
      </c>
      <c r="AA901">
        <f t="shared" si="85"/>
        <v>1.4571428571428571</v>
      </c>
      <c r="AB901">
        <f t="shared" si="86"/>
        <v>0</v>
      </c>
      <c r="AC901" t="str">
        <f t="shared" si="87"/>
        <v>Low</v>
      </c>
      <c r="AD901" t="str">
        <f t="shared" si="88"/>
        <v>Upsell premium bundle</v>
      </c>
      <c r="AE901">
        <f t="shared" si="89"/>
        <v>36</v>
      </c>
    </row>
    <row r="902" spans="1:31" x14ac:dyDescent="0.35">
      <c r="A902" t="s">
        <v>960</v>
      </c>
      <c r="B902" s="4">
        <v>45259</v>
      </c>
      <c r="C902" s="4">
        <v>46143</v>
      </c>
      <c r="D902" t="s">
        <v>47</v>
      </c>
      <c r="E902">
        <v>70</v>
      </c>
      <c r="F902" t="s">
        <v>57</v>
      </c>
      <c r="G902" t="s">
        <v>40</v>
      </c>
      <c r="H902" t="s">
        <v>41</v>
      </c>
      <c r="I902" t="s">
        <v>36</v>
      </c>
      <c r="J902">
        <v>29</v>
      </c>
      <c r="K902" s="5">
        <v>604.66</v>
      </c>
      <c r="L902" s="5">
        <v>800.4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 t="s">
        <v>45</v>
      </c>
      <c r="X902">
        <v>94</v>
      </c>
      <c r="Y902">
        <v>0</v>
      </c>
      <c r="Z902">
        <f t="shared" si="84"/>
        <v>7</v>
      </c>
      <c r="AA902">
        <f t="shared" si="85"/>
        <v>0</v>
      </c>
      <c r="AB902">
        <f t="shared" si="86"/>
        <v>8</v>
      </c>
      <c r="AC902" t="str">
        <f t="shared" si="87"/>
        <v>Low</v>
      </c>
      <c r="AD902" t="str">
        <f t="shared" si="88"/>
        <v>Upsell premium bundle</v>
      </c>
      <c r="AE902">
        <f t="shared" si="89"/>
        <v>93</v>
      </c>
    </row>
    <row r="903" spans="1:31" x14ac:dyDescent="0.35">
      <c r="A903" t="s">
        <v>961</v>
      </c>
      <c r="B903" s="4">
        <v>45263</v>
      </c>
      <c r="C903" s="4">
        <v>46143</v>
      </c>
      <c r="D903" t="s">
        <v>72</v>
      </c>
      <c r="E903">
        <v>38</v>
      </c>
      <c r="F903" t="s">
        <v>77</v>
      </c>
      <c r="G903" t="s">
        <v>67</v>
      </c>
      <c r="H903" t="s">
        <v>41</v>
      </c>
      <c r="I903" t="s">
        <v>36</v>
      </c>
      <c r="J903">
        <v>29</v>
      </c>
      <c r="K903" s="5">
        <v>20105.95</v>
      </c>
      <c r="L903" s="5">
        <v>1516.26</v>
      </c>
      <c r="M903">
        <v>11</v>
      </c>
      <c r="N903">
        <v>4</v>
      </c>
      <c r="O903">
        <v>1</v>
      </c>
      <c r="P903">
        <v>1</v>
      </c>
      <c r="Q903">
        <v>16</v>
      </c>
      <c r="R903">
        <v>1</v>
      </c>
      <c r="S903">
        <v>3</v>
      </c>
      <c r="T903">
        <v>1</v>
      </c>
      <c r="U903">
        <v>1</v>
      </c>
      <c r="V903">
        <v>1</v>
      </c>
      <c r="W903" t="s">
        <v>52</v>
      </c>
      <c r="X903">
        <v>-4</v>
      </c>
      <c r="Y903">
        <v>1</v>
      </c>
      <c r="Z903">
        <f t="shared" si="84"/>
        <v>47</v>
      </c>
      <c r="AA903">
        <f t="shared" si="85"/>
        <v>0.4576271186440678</v>
      </c>
      <c r="AB903">
        <f t="shared" si="86"/>
        <v>54</v>
      </c>
      <c r="AC903" t="str">
        <f t="shared" si="87"/>
        <v>Medium</v>
      </c>
      <c r="AD903" t="str">
        <f t="shared" si="88"/>
        <v>Nudge core feature adoption</v>
      </c>
      <c r="AE903">
        <f t="shared" si="89"/>
        <v>53</v>
      </c>
    </row>
    <row r="904" spans="1:31" x14ac:dyDescent="0.35">
      <c r="A904" t="s">
        <v>962</v>
      </c>
      <c r="B904" s="4">
        <v>45412</v>
      </c>
      <c r="C904" s="4">
        <v>46143</v>
      </c>
      <c r="D904" t="s">
        <v>32</v>
      </c>
      <c r="E904">
        <v>53</v>
      </c>
      <c r="F904" t="s">
        <v>61</v>
      </c>
      <c r="G904" t="s">
        <v>63</v>
      </c>
      <c r="H904" t="s">
        <v>58</v>
      </c>
      <c r="I904" t="s">
        <v>36</v>
      </c>
      <c r="J904">
        <v>24</v>
      </c>
      <c r="K904" s="5">
        <v>1955.32</v>
      </c>
      <c r="L904" s="5">
        <v>1512.35</v>
      </c>
      <c r="M904">
        <v>23</v>
      </c>
      <c r="N904">
        <v>6</v>
      </c>
      <c r="O904">
        <v>5</v>
      </c>
      <c r="P904">
        <v>3</v>
      </c>
      <c r="Q904">
        <v>21</v>
      </c>
      <c r="R904">
        <v>1</v>
      </c>
      <c r="S904">
        <v>0</v>
      </c>
      <c r="T904">
        <v>1</v>
      </c>
      <c r="U904">
        <v>0</v>
      </c>
      <c r="V904">
        <v>0</v>
      </c>
      <c r="W904" t="s">
        <v>50</v>
      </c>
      <c r="X904">
        <v>9</v>
      </c>
      <c r="Y904">
        <v>0</v>
      </c>
      <c r="Z904">
        <f t="shared" si="84"/>
        <v>59</v>
      </c>
      <c r="AA904">
        <f t="shared" si="85"/>
        <v>0.81481481481481477</v>
      </c>
      <c r="AB904">
        <f t="shared" si="86"/>
        <v>8</v>
      </c>
      <c r="AC904" t="str">
        <f t="shared" si="87"/>
        <v>Low</v>
      </c>
      <c r="AD904" t="str">
        <f t="shared" si="88"/>
        <v>Upsell premium bundle</v>
      </c>
      <c r="AE904">
        <f t="shared" si="89"/>
        <v>41</v>
      </c>
    </row>
    <row r="905" spans="1:31" x14ac:dyDescent="0.35">
      <c r="A905" t="s">
        <v>963</v>
      </c>
      <c r="B905" s="4">
        <v>45683</v>
      </c>
      <c r="C905" s="4">
        <v>46143</v>
      </c>
      <c r="D905" t="s">
        <v>66</v>
      </c>
      <c r="E905">
        <v>62</v>
      </c>
      <c r="F905" t="s">
        <v>33</v>
      </c>
      <c r="G905" t="s">
        <v>67</v>
      </c>
      <c r="H905" t="s">
        <v>41</v>
      </c>
      <c r="I905" t="s">
        <v>36</v>
      </c>
      <c r="J905">
        <v>15</v>
      </c>
      <c r="K905" s="5">
        <v>213.85</v>
      </c>
      <c r="L905" s="5">
        <v>168.03</v>
      </c>
      <c r="M905">
        <v>30</v>
      </c>
      <c r="N905">
        <v>17</v>
      </c>
      <c r="O905">
        <v>3</v>
      </c>
      <c r="P905">
        <v>4</v>
      </c>
      <c r="Q905">
        <v>28</v>
      </c>
      <c r="R905">
        <v>0</v>
      </c>
      <c r="S905">
        <v>0</v>
      </c>
      <c r="T905">
        <v>0</v>
      </c>
      <c r="U905">
        <v>1</v>
      </c>
      <c r="V905">
        <v>0</v>
      </c>
      <c r="W905" t="s">
        <v>45</v>
      </c>
      <c r="X905">
        <v>91</v>
      </c>
      <c r="Y905">
        <v>0</v>
      </c>
      <c r="Z905">
        <f t="shared" si="84"/>
        <v>87</v>
      </c>
      <c r="AA905">
        <f t="shared" si="85"/>
        <v>1.288888888888889</v>
      </c>
      <c r="AB905">
        <f t="shared" si="86"/>
        <v>0</v>
      </c>
      <c r="AC905" t="str">
        <f t="shared" si="87"/>
        <v>Low</v>
      </c>
      <c r="AD905" t="str">
        <f t="shared" si="88"/>
        <v>Upsell premium bundle</v>
      </c>
      <c r="AE905">
        <f t="shared" si="89"/>
        <v>13</v>
      </c>
    </row>
    <row r="906" spans="1:31" x14ac:dyDescent="0.35">
      <c r="A906" t="s">
        <v>964</v>
      </c>
      <c r="B906" s="4">
        <v>45509</v>
      </c>
      <c r="C906" s="4">
        <v>46143</v>
      </c>
      <c r="D906" t="s">
        <v>47</v>
      </c>
      <c r="E906">
        <v>22</v>
      </c>
      <c r="F906" t="s">
        <v>61</v>
      </c>
      <c r="G906" t="s">
        <v>63</v>
      </c>
      <c r="H906" t="s">
        <v>58</v>
      </c>
      <c r="I906" t="s">
        <v>36</v>
      </c>
      <c r="J906">
        <v>21</v>
      </c>
      <c r="K906" s="5">
        <v>5130.92</v>
      </c>
      <c r="L906" s="5">
        <v>3368.46</v>
      </c>
      <c r="M906">
        <v>19</v>
      </c>
      <c r="N906">
        <v>4</v>
      </c>
      <c r="O906">
        <v>2</v>
      </c>
      <c r="P906">
        <v>3</v>
      </c>
      <c r="Q906">
        <v>26</v>
      </c>
      <c r="R906">
        <v>0</v>
      </c>
      <c r="S906">
        <v>0</v>
      </c>
      <c r="T906">
        <v>1</v>
      </c>
      <c r="U906">
        <v>1</v>
      </c>
      <c r="V906">
        <v>1</v>
      </c>
      <c r="W906" t="s">
        <v>37</v>
      </c>
      <c r="X906">
        <v>66</v>
      </c>
      <c r="Y906">
        <v>0</v>
      </c>
      <c r="Z906">
        <f t="shared" si="84"/>
        <v>69</v>
      </c>
      <c r="AA906">
        <f t="shared" si="85"/>
        <v>0.88235294117647056</v>
      </c>
      <c r="AB906">
        <f t="shared" si="86"/>
        <v>0</v>
      </c>
      <c r="AC906" t="str">
        <f t="shared" si="87"/>
        <v>Low</v>
      </c>
      <c r="AD906" t="str">
        <f t="shared" si="88"/>
        <v>Upsell premium bundle</v>
      </c>
      <c r="AE906">
        <f t="shared" si="89"/>
        <v>31</v>
      </c>
    </row>
    <row r="907" spans="1:31" x14ac:dyDescent="0.35">
      <c r="A907" t="s">
        <v>965</v>
      </c>
      <c r="B907" s="4">
        <v>44931</v>
      </c>
      <c r="C907" s="4">
        <v>46143</v>
      </c>
      <c r="D907" t="s">
        <v>47</v>
      </c>
      <c r="E907">
        <v>58</v>
      </c>
      <c r="F907" t="s">
        <v>43</v>
      </c>
      <c r="G907" t="s">
        <v>48</v>
      </c>
      <c r="H907" t="s">
        <v>41</v>
      </c>
      <c r="I907" t="s">
        <v>36</v>
      </c>
      <c r="J907">
        <v>40</v>
      </c>
      <c r="K907" s="5">
        <v>164.97</v>
      </c>
      <c r="L907" s="5">
        <v>75.86</v>
      </c>
      <c r="M907">
        <v>38</v>
      </c>
      <c r="N907">
        <v>14</v>
      </c>
      <c r="O907">
        <v>1</v>
      </c>
      <c r="P907">
        <v>1</v>
      </c>
      <c r="Q907">
        <v>25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45</v>
      </c>
      <c r="X907">
        <v>-9</v>
      </c>
      <c r="Y907">
        <v>0</v>
      </c>
      <c r="Z907">
        <f t="shared" si="84"/>
        <v>77</v>
      </c>
      <c r="AA907">
        <f t="shared" si="85"/>
        <v>0.9</v>
      </c>
      <c r="AB907">
        <f t="shared" si="86"/>
        <v>32</v>
      </c>
      <c r="AC907" t="str">
        <f t="shared" si="87"/>
        <v>Low</v>
      </c>
      <c r="AD907" t="str">
        <f t="shared" si="88"/>
        <v>Upsell premium bundle</v>
      </c>
      <c r="AE907">
        <f t="shared" si="89"/>
        <v>23</v>
      </c>
    </row>
    <row r="908" spans="1:31" x14ac:dyDescent="0.35">
      <c r="A908" t="s">
        <v>966</v>
      </c>
      <c r="B908" s="4">
        <v>44804</v>
      </c>
      <c r="C908" s="4">
        <v>46143</v>
      </c>
      <c r="D908" t="s">
        <v>32</v>
      </c>
      <c r="E908">
        <v>61</v>
      </c>
      <c r="F908" t="s">
        <v>61</v>
      </c>
      <c r="G908" t="s">
        <v>40</v>
      </c>
      <c r="H908" t="s">
        <v>41</v>
      </c>
      <c r="I908" t="s">
        <v>36</v>
      </c>
      <c r="J908">
        <v>44</v>
      </c>
      <c r="K908" s="5">
        <v>2.99</v>
      </c>
      <c r="L908" s="5">
        <v>0</v>
      </c>
      <c r="M908">
        <v>22</v>
      </c>
      <c r="N908">
        <v>12</v>
      </c>
      <c r="O908">
        <v>3</v>
      </c>
      <c r="P908">
        <v>4</v>
      </c>
      <c r="Q908">
        <v>19</v>
      </c>
      <c r="R908">
        <v>1</v>
      </c>
      <c r="S908">
        <v>1</v>
      </c>
      <c r="T908">
        <v>0</v>
      </c>
      <c r="U908">
        <v>0</v>
      </c>
      <c r="V908">
        <v>1</v>
      </c>
      <c r="W908" t="s">
        <v>55</v>
      </c>
      <c r="X908">
        <v>8</v>
      </c>
      <c r="Y908">
        <v>0</v>
      </c>
      <c r="Z908">
        <f t="shared" si="84"/>
        <v>66</v>
      </c>
      <c r="AA908">
        <f t="shared" si="85"/>
        <v>0.55405405405405406</v>
      </c>
      <c r="AB908">
        <f t="shared" si="86"/>
        <v>34</v>
      </c>
      <c r="AC908" t="str">
        <f t="shared" si="87"/>
        <v>Low</v>
      </c>
      <c r="AD908" t="str">
        <f t="shared" si="88"/>
        <v>Upsell premium bundle</v>
      </c>
      <c r="AE908">
        <f t="shared" si="89"/>
        <v>34</v>
      </c>
    </row>
    <row r="909" spans="1:31" x14ac:dyDescent="0.35">
      <c r="A909" t="s">
        <v>967</v>
      </c>
      <c r="B909" s="4">
        <v>45587</v>
      </c>
      <c r="C909" s="4">
        <v>46143</v>
      </c>
      <c r="D909" t="s">
        <v>72</v>
      </c>
      <c r="E909">
        <v>18</v>
      </c>
      <c r="F909" t="s">
        <v>61</v>
      </c>
      <c r="G909" t="s">
        <v>34</v>
      </c>
      <c r="H909" t="s">
        <v>41</v>
      </c>
      <c r="I909" t="s">
        <v>54</v>
      </c>
      <c r="J909">
        <v>18</v>
      </c>
      <c r="K909" s="5">
        <v>0</v>
      </c>
      <c r="L909" s="5">
        <v>2115.9699999999998</v>
      </c>
      <c r="M909">
        <v>23</v>
      </c>
      <c r="N909">
        <v>10</v>
      </c>
      <c r="O909">
        <v>2</v>
      </c>
      <c r="P909">
        <v>1</v>
      </c>
      <c r="Q909">
        <v>6</v>
      </c>
      <c r="R909">
        <v>0</v>
      </c>
      <c r="S909">
        <v>1</v>
      </c>
      <c r="T909">
        <v>1</v>
      </c>
      <c r="U909">
        <v>0</v>
      </c>
      <c r="V909">
        <v>0</v>
      </c>
      <c r="W909" t="s">
        <v>50</v>
      </c>
      <c r="X909">
        <v>9</v>
      </c>
      <c r="Y909">
        <v>1</v>
      </c>
      <c r="Z909">
        <f t="shared" si="84"/>
        <v>42</v>
      </c>
      <c r="AA909">
        <f t="shared" si="85"/>
        <v>0.60416666666666663</v>
      </c>
      <c r="AB909">
        <f t="shared" si="86"/>
        <v>51</v>
      </c>
      <c r="AC909" t="str">
        <f t="shared" si="87"/>
        <v>Medium</v>
      </c>
      <c r="AD909" t="str">
        <f t="shared" si="88"/>
        <v>Nudge core feature adoption</v>
      </c>
      <c r="AE909">
        <f t="shared" si="89"/>
        <v>58</v>
      </c>
    </row>
    <row r="910" spans="1:31" x14ac:dyDescent="0.35">
      <c r="A910" t="s">
        <v>968</v>
      </c>
      <c r="B910" s="4">
        <v>45318</v>
      </c>
      <c r="C910" s="4">
        <v>46143</v>
      </c>
      <c r="D910" t="s">
        <v>32</v>
      </c>
      <c r="E910">
        <v>35</v>
      </c>
      <c r="F910" t="s">
        <v>57</v>
      </c>
      <c r="G910" t="s">
        <v>67</v>
      </c>
      <c r="H910" t="s">
        <v>41</v>
      </c>
      <c r="I910" t="s">
        <v>49</v>
      </c>
      <c r="J910">
        <v>27</v>
      </c>
      <c r="K910" s="5">
        <v>803.52</v>
      </c>
      <c r="L910" s="5">
        <v>1127.1600000000001</v>
      </c>
      <c r="M910">
        <v>11</v>
      </c>
      <c r="N910">
        <v>5</v>
      </c>
      <c r="O910">
        <v>1</v>
      </c>
      <c r="P910">
        <v>1</v>
      </c>
      <c r="Q910">
        <v>14</v>
      </c>
      <c r="R910">
        <v>0</v>
      </c>
      <c r="S910">
        <v>0</v>
      </c>
      <c r="T910">
        <v>1</v>
      </c>
      <c r="U910">
        <v>0</v>
      </c>
      <c r="V910">
        <v>1</v>
      </c>
      <c r="W910" t="s">
        <v>52</v>
      </c>
      <c r="X910">
        <v>25</v>
      </c>
      <c r="Y910">
        <v>1</v>
      </c>
      <c r="Z910">
        <f t="shared" si="84"/>
        <v>38</v>
      </c>
      <c r="AA910">
        <f t="shared" si="85"/>
        <v>0.43859649122807015</v>
      </c>
      <c r="AB910">
        <f t="shared" si="86"/>
        <v>46</v>
      </c>
      <c r="AC910" t="str">
        <f t="shared" si="87"/>
        <v>Medium</v>
      </c>
      <c r="AD910" t="str">
        <f t="shared" si="88"/>
        <v>Nudge core feature adoption</v>
      </c>
      <c r="AE910">
        <f t="shared" si="89"/>
        <v>62</v>
      </c>
    </row>
    <row r="911" spans="1:31" x14ac:dyDescent="0.35">
      <c r="A911" t="s">
        <v>969</v>
      </c>
      <c r="B911" s="4">
        <v>45426</v>
      </c>
      <c r="C911" s="4">
        <v>46143</v>
      </c>
      <c r="D911" t="s">
        <v>60</v>
      </c>
      <c r="E911">
        <v>31</v>
      </c>
      <c r="F911" t="s">
        <v>33</v>
      </c>
      <c r="G911" t="s">
        <v>34</v>
      </c>
      <c r="H911" t="s">
        <v>35</v>
      </c>
      <c r="I911" t="s">
        <v>36</v>
      </c>
      <c r="J911">
        <v>23</v>
      </c>
      <c r="K911" s="5">
        <v>212.65</v>
      </c>
      <c r="L911" s="5">
        <v>336.43</v>
      </c>
      <c r="M911">
        <v>34</v>
      </c>
      <c r="N911">
        <v>12</v>
      </c>
      <c r="O911">
        <v>8</v>
      </c>
      <c r="P911">
        <v>4</v>
      </c>
      <c r="Q911">
        <v>32</v>
      </c>
      <c r="R911">
        <v>0</v>
      </c>
      <c r="S911">
        <v>0</v>
      </c>
      <c r="T911">
        <v>0</v>
      </c>
      <c r="U911">
        <v>1</v>
      </c>
      <c r="V911">
        <v>0</v>
      </c>
      <c r="W911" t="s">
        <v>45</v>
      </c>
      <c r="X911">
        <v>33</v>
      </c>
      <c r="Y911">
        <v>0</v>
      </c>
      <c r="Z911">
        <f t="shared" si="84"/>
        <v>98</v>
      </c>
      <c r="AA911">
        <f t="shared" si="85"/>
        <v>1.2452830188679245</v>
      </c>
      <c r="AB911">
        <f t="shared" si="86"/>
        <v>0</v>
      </c>
      <c r="AC911" t="str">
        <f t="shared" si="87"/>
        <v>Low</v>
      </c>
      <c r="AD911" t="str">
        <f t="shared" si="88"/>
        <v>Upsell premium bundle</v>
      </c>
      <c r="AE911">
        <f t="shared" si="89"/>
        <v>2</v>
      </c>
    </row>
    <row r="912" spans="1:31" x14ac:dyDescent="0.35">
      <c r="A912" t="s">
        <v>970</v>
      </c>
      <c r="B912" s="4">
        <v>44714</v>
      </c>
      <c r="C912" s="4">
        <v>46143</v>
      </c>
      <c r="D912" t="s">
        <v>32</v>
      </c>
      <c r="E912">
        <v>23</v>
      </c>
      <c r="F912" t="s">
        <v>33</v>
      </c>
      <c r="G912" t="s">
        <v>48</v>
      </c>
      <c r="H912" t="s">
        <v>41</v>
      </c>
      <c r="I912" t="s">
        <v>36</v>
      </c>
      <c r="J912">
        <v>47</v>
      </c>
      <c r="K912" s="5">
        <v>321.14</v>
      </c>
      <c r="L912" s="5">
        <v>259.08999999999997</v>
      </c>
      <c r="M912">
        <v>17</v>
      </c>
      <c r="N912">
        <v>6</v>
      </c>
      <c r="O912">
        <v>1</v>
      </c>
      <c r="P912">
        <v>1</v>
      </c>
      <c r="Q912">
        <v>5</v>
      </c>
      <c r="R912">
        <v>2</v>
      </c>
      <c r="S912">
        <v>0</v>
      </c>
      <c r="T912">
        <v>1</v>
      </c>
      <c r="U912">
        <v>1</v>
      </c>
      <c r="V912">
        <v>1</v>
      </c>
      <c r="W912" t="s">
        <v>52</v>
      </c>
      <c r="X912">
        <v>56</v>
      </c>
      <c r="Y912">
        <v>0</v>
      </c>
      <c r="Z912">
        <f t="shared" si="84"/>
        <v>45</v>
      </c>
      <c r="AA912">
        <f t="shared" si="85"/>
        <v>0.2857142857142857</v>
      </c>
      <c r="AB912">
        <f t="shared" si="86"/>
        <v>9</v>
      </c>
      <c r="AC912" t="str">
        <f t="shared" si="87"/>
        <v>Low</v>
      </c>
      <c r="AD912" t="str">
        <f t="shared" si="88"/>
        <v>Upsell premium bundle</v>
      </c>
      <c r="AE912">
        <f t="shared" si="89"/>
        <v>55</v>
      </c>
    </row>
    <row r="913" spans="1:31" x14ac:dyDescent="0.35">
      <c r="A913" t="s">
        <v>971</v>
      </c>
      <c r="B913" s="4">
        <v>45919</v>
      </c>
      <c r="C913" s="4">
        <v>46143</v>
      </c>
      <c r="D913" t="s">
        <v>32</v>
      </c>
      <c r="E913">
        <v>38</v>
      </c>
      <c r="F913" t="s">
        <v>61</v>
      </c>
      <c r="G913" t="s">
        <v>48</v>
      </c>
      <c r="H913" t="s">
        <v>41</v>
      </c>
      <c r="I913" t="s">
        <v>36</v>
      </c>
      <c r="J913">
        <v>7</v>
      </c>
      <c r="K913" s="5">
        <v>5044.43</v>
      </c>
      <c r="L913" s="5">
        <v>1463.52</v>
      </c>
      <c r="M913">
        <v>7</v>
      </c>
      <c r="N913">
        <v>3</v>
      </c>
      <c r="O913">
        <v>1</v>
      </c>
      <c r="P913">
        <v>0</v>
      </c>
      <c r="Q913">
        <v>11</v>
      </c>
      <c r="R913">
        <v>4</v>
      </c>
      <c r="S913">
        <v>0</v>
      </c>
      <c r="T913">
        <v>1</v>
      </c>
      <c r="U913">
        <v>1</v>
      </c>
      <c r="V913">
        <v>0</v>
      </c>
      <c r="W913" t="s">
        <v>50</v>
      </c>
      <c r="X913">
        <v>-8</v>
      </c>
      <c r="Y913">
        <v>1</v>
      </c>
      <c r="Z913">
        <f t="shared" si="84"/>
        <v>29</v>
      </c>
      <c r="AA913">
        <f t="shared" si="85"/>
        <v>0.48648648648648651</v>
      </c>
      <c r="AB913">
        <f t="shared" si="86"/>
        <v>44</v>
      </c>
      <c r="AC913" t="str">
        <f t="shared" si="87"/>
        <v>Medium</v>
      </c>
      <c r="AD913" t="str">
        <f t="shared" si="88"/>
        <v>Nudge core feature adoption</v>
      </c>
      <c r="AE913">
        <f t="shared" si="89"/>
        <v>71</v>
      </c>
    </row>
    <row r="914" spans="1:31" x14ac:dyDescent="0.35">
      <c r="A914" t="s">
        <v>972</v>
      </c>
      <c r="B914" s="4">
        <v>44801</v>
      </c>
      <c r="C914" s="4">
        <v>46143</v>
      </c>
      <c r="D914" t="s">
        <v>39</v>
      </c>
      <c r="E914">
        <v>62</v>
      </c>
      <c r="F914" t="s">
        <v>61</v>
      </c>
      <c r="G914" t="s">
        <v>48</v>
      </c>
      <c r="H914" t="s">
        <v>44</v>
      </c>
      <c r="I914" t="s">
        <v>36</v>
      </c>
      <c r="J914">
        <v>44</v>
      </c>
      <c r="K914" s="5">
        <v>2830.91</v>
      </c>
      <c r="L914" s="5">
        <v>0</v>
      </c>
      <c r="M914">
        <v>48</v>
      </c>
      <c r="N914">
        <v>12</v>
      </c>
      <c r="O914">
        <v>5</v>
      </c>
      <c r="P914">
        <v>8</v>
      </c>
      <c r="Q914">
        <v>39</v>
      </c>
      <c r="R914">
        <v>0</v>
      </c>
      <c r="S914">
        <v>0</v>
      </c>
      <c r="T914">
        <v>1</v>
      </c>
      <c r="U914">
        <v>0</v>
      </c>
      <c r="V914">
        <v>1</v>
      </c>
      <c r="W914" t="s">
        <v>52</v>
      </c>
      <c r="X914">
        <v>52</v>
      </c>
      <c r="Y914">
        <v>0</v>
      </c>
      <c r="Z914">
        <f t="shared" si="84"/>
        <v>100</v>
      </c>
      <c r="AA914">
        <f t="shared" si="85"/>
        <v>1.1756756756756757</v>
      </c>
      <c r="AB914">
        <f t="shared" si="86"/>
        <v>0</v>
      </c>
      <c r="AC914" t="str">
        <f t="shared" si="87"/>
        <v>Low</v>
      </c>
      <c r="AD914" t="str">
        <f t="shared" si="88"/>
        <v>Upsell premium bundle</v>
      </c>
      <c r="AE914">
        <f t="shared" si="89"/>
        <v>0</v>
      </c>
    </row>
    <row r="915" spans="1:31" x14ac:dyDescent="0.35">
      <c r="A915" t="s">
        <v>973</v>
      </c>
      <c r="B915" s="4">
        <v>45420</v>
      </c>
      <c r="C915" s="4">
        <v>46143</v>
      </c>
      <c r="D915" t="s">
        <v>39</v>
      </c>
      <c r="E915">
        <v>53</v>
      </c>
      <c r="F915" t="s">
        <v>61</v>
      </c>
      <c r="G915" t="s">
        <v>34</v>
      </c>
      <c r="H915" t="s">
        <v>41</v>
      </c>
      <c r="I915" t="s">
        <v>36</v>
      </c>
      <c r="J915">
        <v>24</v>
      </c>
      <c r="K915" s="5">
        <v>4698.1499999999996</v>
      </c>
      <c r="L915" s="5">
        <v>3616.97</v>
      </c>
      <c r="M915">
        <v>40</v>
      </c>
      <c r="N915">
        <v>14</v>
      </c>
      <c r="O915">
        <v>10</v>
      </c>
      <c r="P915">
        <v>4</v>
      </c>
      <c r="Q915">
        <v>34</v>
      </c>
      <c r="R915">
        <v>0</v>
      </c>
      <c r="S915">
        <v>2</v>
      </c>
      <c r="T915">
        <v>0</v>
      </c>
      <c r="U915">
        <v>0</v>
      </c>
      <c r="V915">
        <v>1</v>
      </c>
      <c r="W915" t="s">
        <v>45</v>
      </c>
      <c r="X915">
        <v>-9</v>
      </c>
      <c r="Y915">
        <v>0</v>
      </c>
      <c r="Z915">
        <f t="shared" si="84"/>
        <v>100</v>
      </c>
      <c r="AA915">
        <f t="shared" si="85"/>
        <v>1.3703703703703705</v>
      </c>
      <c r="AB915">
        <f t="shared" si="86"/>
        <v>29</v>
      </c>
      <c r="AC915" t="str">
        <f t="shared" si="87"/>
        <v>Low</v>
      </c>
      <c r="AD915" t="str">
        <f t="shared" si="88"/>
        <v>Upsell premium bundle</v>
      </c>
      <c r="AE915">
        <f t="shared" si="89"/>
        <v>0</v>
      </c>
    </row>
    <row r="916" spans="1:31" x14ac:dyDescent="0.35">
      <c r="A916" t="s">
        <v>974</v>
      </c>
      <c r="B916" s="4">
        <v>44794</v>
      </c>
      <c r="C916" s="4">
        <v>46143</v>
      </c>
      <c r="D916" t="s">
        <v>66</v>
      </c>
      <c r="E916">
        <v>37</v>
      </c>
      <c r="F916" t="s">
        <v>43</v>
      </c>
      <c r="G916" t="s">
        <v>34</v>
      </c>
      <c r="H916" t="s">
        <v>41</v>
      </c>
      <c r="I916" t="s">
        <v>36</v>
      </c>
      <c r="J916">
        <v>44</v>
      </c>
      <c r="K916" s="5">
        <v>87.73</v>
      </c>
      <c r="L916" s="5">
        <v>30.12</v>
      </c>
      <c r="M916">
        <v>27</v>
      </c>
      <c r="N916">
        <v>14</v>
      </c>
      <c r="O916">
        <v>6</v>
      </c>
      <c r="P916">
        <v>5</v>
      </c>
      <c r="Q916">
        <v>10</v>
      </c>
      <c r="R916">
        <v>0</v>
      </c>
      <c r="S916">
        <v>0</v>
      </c>
      <c r="T916">
        <v>1</v>
      </c>
      <c r="U916">
        <v>0</v>
      </c>
      <c r="V916">
        <v>1</v>
      </c>
      <c r="W916" t="s">
        <v>55</v>
      </c>
      <c r="X916">
        <v>50</v>
      </c>
      <c r="Y916">
        <v>0</v>
      </c>
      <c r="Z916">
        <f t="shared" si="84"/>
        <v>70</v>
      </c>
      <c r="AA916">
        <f t="shared" si="85"/>
        <v>0.5</v>
      </c>
      <c r="AB916">
        <f t="shared" si="86"/>
        <v>5</v>
      </c>
      <c r="AC916" t="str">
        <f t="shared" si="87"/>
        <v>Low</v>
      </c>
      <c r="AD916" t="str">
        <f t="shared" si="88"/>
        <v>Upsell premium bundle</v>
      </c>
      <c r="AE916">
        <f t="shared" si="89"/>
        <v>30</v>
      </c>
    </row>
    <row r="917" spans="1:31" x14ac:dyDescent="0.35">
      <c r="A917" t="s">
        <v>975</v>
      </c>
      <c r="B917" s="4">
        <v>45726</v>
      </c>
      <c r="C917" s="4">
        <v>46143</v>
      </c>
      <c r="D917" t="s">
        <v>60</v>
      </c>
      <c r="E917">
        <v>69</v>
      </c>
      <c r="F917" t="s">
        <v>57</v>
      </c>
      <c r="G917" t="s">
        <v>34</v>
      </c>
      <c r="H917" t="s">
        <v>58</v>
      </c>
      <c r="I917" t="s">
        <v>36</v>
      </c>
      <c r="J917">
        <v>13</v>
      </c>
      <c r="K917" s="5">
        <v>1951.39</v>
      </c>
      <c r="L917" s="5">
        <v>114.68</v>
      </c>
      <c r="M917">
        <v>28</v>
      </c>
      <c r="N917">
        <v>10</v>
      </c>
      <c r="O917">
        <v>3</v>
      </c>
      <c r="P917">
        <v>1</v>
      </c>
      <c r="Q917">
        <v>12</v>
      </c>
      <c r="R917">
        <v>0</v>
      </c>
      <c r="S917">
        <v>0</v>
      </c>
      <c r="T917">
        <v>0</v>
      </c>
      <c r="U917">
        <v>0</v>
      </c>
      <c r="V917">
        <v>1</v>
      </c>
      <c r="W917" t="s">
        <v>50</v>
      </c>
      <c r="X917">
        <v>30</v>
      </c>
      <c r="Y917">
        <v>0</v>
      </c>
      <c r="Z917">
        <f t="shared" si="84"/>
        <v>61</v>
      </c>
      <c r="AA917">
        <f t="shared" si="85"/>
        <v>0.93023255813953487</v>
      </c>
      <c r="AB917">
        <f t="shared" si="86"/>
        <v>9</v>
      </c>
      <c r="AC917" t="str">
        <f t="shared" si="87"/>
        <v>Low</v>
      </c>
      <c r="AD917" t="str">
        <f t="shared" si="88"/>
        <v>Upsell premium bundle</v>
      </c>
      <c r="AE917">
        <f t="shared" si="89"/>
        <v>39</v>
      </c>
    </row>
    <row r="918" spans="1:31" x14ac:dyDescent="0.35">
      <c r="A918" t="s">
        <v>976</v>
      </c>
      <c r="B918" s="4">
        <v>45777</v>
      </c>
      <c r="C918" s="4">
        <v>46143</v>
      </c>
      <c r="D918" t="s">
        <v>47</v>
      </c>
      <c r="E918">
        <v>38</v>
      </c>
      <c r="F918" t="s">
        <v>43</v>
      </c>
      <c r="G918" t="s">
        <v>34</v>
      </c>
      <c r="H918" t="s">
        <v>58</v>
      </c>
      <c r="I918" t="s">
        <v>36</v>
      </c>
      <c r="J918">
        <v>12</v>
      </c>
      <c r="K918" s="5">
        <v>0</v>
      </c>
      <c r="L918" s="5">
        <v>86.13</v>
      </c>
      <c r="M918">
        <v>48</v>
      </c>
      <c r="N918">
        <v>25</v>
      </c>
      <c r="O918">
        <v>5</v>
      </c>
      <c r="P918">
        <v>2</v>
      </c>
      <c r="Q918">
        <v>32</v>
      </c>
      <c r="R918">
        <v>1</v>
      </c>
      <c r="S918">
        <v>0</v>
      </c>
      <c r="T918">
        <v>1</v>
      </c>
      <c r="U918">
        <v>1</v>
      </c>
      <c r="V918">
        <v>0</v>
      </c>
      <c r="W918" t="s">
        <v>37</v>
      </c>
      <c r="X918">
        <v>60</v>
      </c>
      <c r="Y918">
        <v>0</v>
      </c>
      <c r="Z918">
        <f t="shared" si="84"/>
        <v>100</v>
      </c>
      <c r="AA918">
        <f t="shared" si="85"/>
        <v>1.9047619047619047</v>
      </c>
      <c r="AB918">
        <f t="shared" si="86"/>
        <v>0</v>
      </c>
      <c r="AC918" t="str">
        <f t="shared" si="87"/>
        <v>Low</v>
      </c>
      <c r="AD918" t="str">
        <f t="shared" si="88"/>
        <v>Upsell premium bundle</v>
      </c>
      <c r="AE918">
        <f t="shared" si="89"/>
        <v>0</v>
      </c>
    </row>
    <row r="919" spans="1:31" x14ac:dyDescent="0.35">
      <c r="A919" t="s">
        <v>977</v>
      </c>
      <c r="B919" s="4">
        <v>45440</v>
      </c>
      <c r="C919" s="4">
        <v>46143</v>
      </c>
      <c r="D919" t="s">
        <v>39</v>
      </c>
      <c r="E919">
        <v>23</v>
      </c>
      <c r="F919" t="s">
        <v>33</v>
      </c>
      <c r="G919" t="s">
        <v>48</v>
      </c>
      <c r="H919" t="s">
        <v>41</v>
      </c>
      <c r="I919" t="s">
        <v>36</v>
      </c>
      <c r="J919">
        <v>23</v>
      </c>
      <c r="K919" s="5">
        <v>0</v>
      </c>
      <c r="L919" s="5">
        <v>254.69</v>
      </c>
      <c r="M919">
        <v>35</v>
      </c>
      <c r="N919">
        <v>15</v>
      </c>
      <c r="O919">
        <v>4</v>
      </c>
      <c r="P919">
        <v>5</v>
      </c>
      <c r="Q919">
        <v>13</v>
      </c>
      <c r="R919">
        <v>2</v>
      </c>
      <c r="S919">
        <v>1</v>
      </c>
      <c r="T919">
        <v>0</v>
      </c>
      <c r="U919">
        <v>1</v>
      </c>
      <c r="V919">
        <v>0</v>
      </c>
      <c r="W919" t="s">
        <v>45</v>
      </c>
      <c r="X919">
        <v>28</v>
      </c>
      <c r="Y919">
        <v>0</v>
      </c>
      <c r="Z919">
        <f t="shared" si="84"/>
        <v>81</v>
      </c>
      <c r="AA919">
        <f t="shared" si="85"/>
        <v>0.90566037735849059</v>
      </c>
      <c r="AB919">
        <f t="shared" si="86"/>
        <v>17</v>
      </c>
      <c r="AC919" t="str">
        <f t="shared" si="87"/>
        <v>Low</v>
      </c>
      <c r="AD919" t="str">
        <f t="shared" si="88"/>
        <v>Upsell premium bundle</v>
      </c>
      <c r="AE919">
        <f t="shared" si="89"/>
        <v>19</v>
      </c>
    </row>
    <row r="920" spans="1:31" x14ac:dyDescent="0.35">
      <c r="A920" t="s">
        <v>978</v>
      </c>
      <c r="B920" s="4">
        <v>45545</v>
      </c>
      <c r="C920" s="4">
        <v>46143</v>
      </c>
      <c r="D920" t="s">
        <v>66</v>
      </c>
      <c r="E920">
        <v>70</v>
      </c>
      <c r="F920" t="s">
        <v>43</v>
      </c>
      <c r="G920" t="s">
        <v>63</v>
      </c>
      <c r="H920" t="s">
        <v>58</v>
      </c>
      <c r="I920" t="s">
        <v>36</v>
      </c>
      <c r="J920">
        <v>19</v>
      </c>
      <c r="K920" s="5">
        <v>84.53</v>
      </c>
      <c r="L920" s="5">
        <v>0</v>
      </c>
      <c r="M920">
        <v>18</v>
      </c>
      <c r="N920">
        <v>11</v>
      </c>
      <c r="O920">
        <v>2</v>
      </c>
      <c r="P920">
        <v>0</v>
      </c>
      <c r="Q920">
        <v>21</v>
      </c>
      <c r="R920">
        <v>3</v>
      </c>
      <c r="S920">
        <v>2</v>
      </c>
      <c r="T920">
        <v>0</v>
      </c>
      <c r="U920">
        <v>0</v>
      </c>
      <c r="V920">
        <v>1</v>
      </c>
      <c r="W920" t="s">
        <v>52</v>
      </c>
      <c r="X920">
        <v>-8</v>
      </c>
      <c r="Y920">
        <v>1</v>
      </c>
      <c r="Z920">
        <f t="shared" si="84"/>
        <v>56</v>
      </c>
      <c r="AA920">
        <f t="shared" si="85"/>
        <v>0.79591836734693877</v>
      </c>
      <c r="AB920">
        <f t="shared" si="86"/>
        <v>41</v>
      </c>
      <c r="AC920" t="str">
        <f t="shared" si="87"/>
        <v>Medium</v>
      </c>
      <c r="AD920" t="str">
        <f t="shared" si="88"/>
        <v>Nudge core feature adoption</v>
      </c>
      <c r="AE920">
        <f t="shared" si="89"/>
        <v>44</v>
      </c>
    </row>
    <row r="921" spans="1:31" x14ac:dyDescent="0.35">
      <c r="A921" t="s">
        <v>979</v>
      </c>
      <c r="B921" s="4">
        <v>45960</v>
      </c>
      <c r="C921" s="4">
        <v>46143</v>
      </c>
      <c r="D921" t="s">
        <v>47</v>
      </c>
      <c r="E921">
        <v>23</v>
      </c>
      <c r="F921" t="s">
        <v>61</v>
      </c>
      <c r="G921" t="s">
        <v>34</v>
      </c>
      <c r="H921" t="s">
        <v>41</v>
      </c>
      <c r="I921" t="s">
        <v>36</v>
      </c>
      <c r="J921">
        <v>6</v>
      </c>
      <c r="K921" s="5">
        <v>2062.31</v>
      </c>
      <c r="L921" s="5">
        <v>126.68</v>
      </c>
      <c r="M921">
        <v>6</v>
      </c>
      <c r="N921">
        <v>3</v>
      </c>
      <c r="O921">
        <v>1</v>
      </c>
      <c r="P921">
        <v>0</v>
      </c>
      <c r="Q921">
        <v>11</v>
      </c>
      <c r="R921">
        <v>0</v>
      </c>
      <c r="S921">
        <v>1</v>
      </c>
      <c r="T921">
        <v>1</v>
      </c>
      <c r="U921">
        <v>0</v>
      </c>
      <c r="V921">
        <v>0</v>
      </c>
      <c r="W921" t="s">
        <v>55</v>
      </c>
      <c r="X921">
        <v>45</v>
      </c>
      <c r="Y921">
        <v>1</v>
      </c>
      <c r="Z921">
        <f t="shared" si="84"/>
        <v>20</v>
      </c>
      <c r="AA921">
        <f t="shared" si="85"/>
        <v>0.47222222222222221</v>
      </c>
      <c r="AB921">
        <f t="shared" si="86"/>
        <v>36</v>
      </c>
      <c r="AC921" t="str">
        <f t="shared" si="87"/>
        <v>Low</v>
      </c>
      <c r="AD921" t="str">
        <f t="shared" si="88"/>
        <v>Upsell premium bundle</v>
      </c>
      <c r="AE921">
        <f t="shared" si="89"/>
        <v>80</v>
      </c>
    </row>
    <row r="922" spans="1:31" x14ac:dyDescent="0.35">
      <c r="A922" t="s">
        <v>980</v>
      </c>
      <c r="B922" s="4">
        <v>45089</v>
      </c>
      <c r="C922" s="4">
        <v>46143</v>
      </c>
      <c r="D922" t="s">
        <v>32</v>
      </c>
      <c r="E922">
        <v>37</v>
      </c>
      <c r="F922" t="s">
        <v>61</v>
      </c>
      <c r="G922" t="s">
        <v>85</v>
      </c>
      <c r="H922" t="s">
        <v>58</v>
      </c>
      <c r="I922" t="s">
        <v>36</v>
      </c>
      <c r="J922">
        <v>35</v>
      </c>
      <c r="K922" s="5">
        <v>3493.69</v>
      </c>
      <c r="L922" s="5">
        <v>2188.64</v>
      </c>
      <c r="M922">
        <v>43</v>
      </c>
      <c r="N922">
        <v>11</v>
      </c>
      <c r="O922">
        <v>3</v>
      </c>
      <c r="P922">
        <v>7</v>
      </c>
      <c r="Q922">
        <v>27</v>
      </c>
      <c r="R922">
        <v>0</v>
      </c>
      <c r="S922">
        <v>0</v>
      </c>
      <c r="T922">
        <v>1</v>
      </c>
      <c r="U922">
        <v>1</v>
      </c>
      <c r="V922">
        <v>0</v>
      </c>
      <c r="W922" t="s">
        <v>52</v>
      </c>
      <c r="X922">
        <v>97</v>
      </c>
      <c r="Y922">
        <v>0</v>
      </c>
      <c r="Z922">
        <f t="shared" si="84"/>
        <v>100</v>
      </c>
      <c r="AA922">
        <f t="shared" si="85"/>
        <v>1.0769230769230769</v>
      </c>
      <c r="AB922">
        <f t="shared" si="86"/>
        <v>0</v>
      </c>
      <c r="AC922" t="str">
        <f t="shared" si="87"/>
        <v>Low</v>
      </c>
      <c r="AD922" t="str">
        <f t="shared" si="88"/>
        <v>Upsell premium bundle</v>
      </c>
      <c r="AE922">
        <f t="shared" si="89"/>
        <v>0</v>
      </c>
    </row>
    <row r="923" spans="1:31" x14ac:dyDescent="0.35">
      <c r="A923" t="s">
        <v>981</v>
      </c>
      <c r="B923" s="4">
        <v>44797</v>
      </c>
      <c r="C923" s="4">
        <v>46143</v>
      </c>
      <c r="D923" t="s">
        <v>60</v>
      </c>
      <c r="E923">
        <v>40</v>
      </c>
      <c r="F923" t="s">
        <v>57</v>
      </c>
      <c r="G923" t="s">
        <v>40</v>
      </c>
      <c r="H923" t="s">
        <v>41</v>
      </c>
      <c r="I923" t="s">
        <v>36</v>
      </c>
      <c r="J923">
        <v>44</v>
      </c>
      <c r="K923" s="5">
        <v>1942.44</v>
      </c>
      <c r="L923" s="5">
        <v>858.24</v>
      </c>
      <c r="M923">
        <v>15</v>
      </c>
      <c r="N923">
        <v>4</v>
      </c>
      <c r="O923">
        <v>2</v>
      </c>
      <c r="P923">
        <v>2</v>
      </c>
      <c r="Q923">
        <v>26</v>
      </c>
      <c r="R923">
        <v>0</v>
      </c>
      <c r="S923">
        <v>2</v>
      </c>
      <c r="T923">
        <v>1</v>
      </c>
      <c r="U923">
        <v>0</v>
      </c>
      <c r="V923">
        <v>0</v>
      </c>
      <c r="W923" t="s">
        <v>52</v>
      </c>
      <c r="X923">
        <v>-27</v>
      </c>
      <c r="Y923">
        <v>0</v>
      </c>
      <c r="Z923">
        <f t="shared" si="84"/>
        <v>48</v>
      </c>
      <c r="AA923">
        <f t="shared" si="85"/>
        <v>0.55405405405405406</v>
      </c>
      <c r="AB923">
        <f t="shared" si="86"/>
        <v>68</v>
      </c>
      <c r="AC923" t="str">
        <f t="shared" si="87"/>
        <v>Medium</v>
      </c>
      <c r="AD923" t="str">
        <f t="shared" si="88"/>
        <v>Nudge core feature adoption</v>
      </c>
      <c r="AE923">
        <f t="shared" si="89"/>
        <v>52</v>
      </c>
    </row>
    <row r="924" spans="1:31" x14ac:dyDescent="0.35">
      <c r="A924" t="s">
        <v>982</v>
      </c>
      <c r="B924" s="4">
        <v>44845</v>
      </c>
      <c r="C924" s="4">
        <v>46143</v>
      </c>
      <c r="D924" t="s">
        <v>66</v>
      </c>
      <c r="E924">
        <v>32</v>
      </c>
      <c r="F924" t="s">
        <v>57</v>
      </c>
      <c r="G924" t="s">
        <v>48</v>
      </c>
      <c r="H924" t="s">
        <v>41</v>
      </c>
      <c r="I924" t="s">
        <v>36</v>
      </c>
      <c r="J924">
        <v>43</v>
      </c>
      <c r="K924" s="5">
        <v>221.05</v>
      </c>
      <c r="L924" s="5">
        <v>1025.26</v>
      </c>
      <c r="M924">
        <v>12</v>
      </c>
      <c r="N924">
        <v>3</v>
      </c>
      <c r="O924">
        <v>0</v>
      </c>
      <c r="P924">
        <v>1</v>
      </c>
      <c r="Q924">
        <v>3</v>
      </c>
      <c r="R924">
        <v>1</v>
      </c>
      <c r="S924">
        <v>0</v>
      </c>
      <c r="T924">
        <v>1</v>
      </c>
      <c r="U924">
        <v>0</v>
      </c>
      <c r="V924">
        <v>1</v>
      </c>
      <c r="W924" t="s">
        <v>50</v>
      </c>
      <c r="X924">
        <v>-7</v>
      </c>
      <c r="Y924">
        <v>1</v>
      </c>
      <c r="Z924">
        <f t="shared" si="84"/>
        <v>26</v>
      </c>
      <c r="AA924">
        <f t="shared" si="85"/>
        <v>0.20547945205479451</v>
      </c>
      <c r="AB924">
        <f t="shared" si="86"/>
        <v>50</v>
      </c>
      <c r="AC924" t="str">
        <f t="shared" si="87"/>
        <v>Medium</v>
      </c>
      <c r="AD924" t="str">
        <f t="shared" si="88"/>
        <v>Nudge core feature adoption</v>
      </c>
      <c r="AE924">
        <f t="shared" si="89"/>
        <v>74</v>
      </c>
    </row>
    <row r="925" spans="1:31" x14ac:dyDescent="0.35">
      <c r="A925" t="s">
        <v>983</v>
      </c>
      <c r="B925" s="4">
        <v>45147</v>
      </c>
      <c r="C925" s="4">
        <v>46143</v>
      </c>
      <c r="D925" t="s">
        <v>60</v>
      </c>
      <c r="E925">
        <v>65</v>
      </c>
      <c r="F925" t="s">
        <v>61</v>
      </c>
      <c r="G925" t="s">
        <v>63</v>
      </c>
      <c r="H925" t="s">
        <v>41</v>
      </c>
      <c r="I925" t="s">
        <v>36</v>
      </c>
      <c r="J925">
        <v>33</v>
      </c>
      <c r="K925" s="5">
        <v>4660.8599999999997</v>
      </c>
      <c r="L925" s="5">
        <v>0</v>
      </c>
      <c r="M925">
        <v>32</v>
      </c>
      <c r="N925">
        <v>9</v>
      </c>
      <c r="O925">
        <v>2</v>
      </c>
      <c r="P925">
        <v>0</v>
      </c>
      <c r="Q925">
        <v>3</v>
      </c>
      <c r="R925">
        <v>1</v>
      </c>
      <c r="S925">
        <v>0</v>
      </c>
      <c r="T925">
        <v>1</v>
      </c>
      <c r="U925">
        <v>0</v>
      </c>
      <c r="V925">
        <v>0</v>
      </c>
      <c r="W925" t="s">
        <v>50</v>
      </c>
      <c r="X925">
        <v>5</v>
      </c>
      <c r="Y925">
        <v>1</v>
      </c>
      <c r="Z925">
        <f t="shared" si="84"/>
        <v>47</v>
      </c>
      <c r="AA925">
        <f t="shared" si="85"/>
        <v>0.55555555555555558</v>
      </c>
      <c r="AB925">
        <f t="shared" si="86"/>
        <v>35</v>
      </c>
      <c r="AC925" t="str">
        <f t="shared" si="87"/>
        <v>Low</v>
      </c>
      <c r="AD925" t="str">
        <f t="shared" si="88"/>
        <v>Upsell premium bundle</v>
      </c>
      <c r="AE925">
        <f t="shared" si="89"/>
        <v>53</v>
      </c>
    </row>
    <row r="926" spans="1:31" x14ac:dyDescent="0.35">
      <c r="A926" t="s">
        <v>984</v>
      </c>
      <c r="B926" s="4">
        <v>45776</v>
      </c>
      <c r="C926" s="4">
        <v>46143</v>
      </c>
      <c r="D926" t="s">
        <v>39</v>
      </c>
      <c r="E926">
        <v>48</v>
      </c>
      <c r="F926" t="s">
        <v>77</v>
      </c>
      <c r="G926" t="s">
        <v>67</v>
      </c>
      <c r="H926" t="s">
        <v>44</v>
      </c>
      <c r="I926" t="s">
        <v>36</v>
      </c>
      <c r="J926">
        <v>12</v>
      </c>
      <c r="K926" s="5">
        <v>0</v>
      </c>
      <c r="L926" s="5">
        <v>8547.35</v>
      </c>
      <c r="M926">
        <v>33</v>
      </c>
      <c r="N926">
        <v>23</v>
      </c>
      <c r="O926">
        <v>3</v>
      </c>
      <c r="P926">
        <v>4</v>
      </c>
      <c r="Q926">
        <v>30</v>
      </c>
      <c r="R926">
        <v>1</v>
      </c>
      <c r="S926">
        <v>0</v>
      </c>
      <c r="T926">
        <v>0</v>
      </c>
      <c r="U926">
        <v>0</v>
      </c>
      <c r="V926">
        <v>0</v>
      </c>
      <c r="W926" t="s">
        <v>52</v>
      </c>
      <c r="X926">
        <v>41</v>
      </c>
      <c r="Y926">
        <v>0</v>
      </c>
      <c r="Z926">
        <f t="shared" si="84"/>
        <v>89</v>
      </c>
      <c r="AA926">
        <f t="shared" si="85"/>
        <v>1.5</v>
      </c>
      <c r="AB926">
        <f t="shared" si="86"/>
        <v>0</v>
      </c>
      <c r="AC926" t="str">
        <f t="shared" si="87"/>
        <v>Low</v>
      </c>
      <c r="AD926" t="str">
        <f t="shared" si="88"/>
        <v>Upsell premium bundle</v>
      </c>
      <c r="AE926">
        <f t="shared" si="89"/>
        <v>11</v>
      </c>
    </row>
    <row r="927" spans="1:31" x14ac:dyDescent="0.35">
      <c r="A927" t="s">
        <v>985</v>
      </c>
      <c r="B927" s="4">
        <v>45709</v>
      </c>
      <c r="C927" s="4">
        <v>46143</v>
      </c>
      <c r="D927" t="s">
        <v>66</v>
      </c>
      <c r="E927">
        <v>53</v>
      </c>
      <c r="F927" t="s">
        <v>33</v>
      </c>
      <c r="G927" t="s">
        <v>67</v>
      </c>
      <c r="H927" t="s">
        <v>44</v>
      </c>
      <c r="I927" t="s">
        <v>36</v>
      </c>
      <c r="J927">
        <v>14</v>
      </c>
      <c r="K927" s="5">
        <v>308.39</v>
      </c>
      <c r="L927" s="5">
        <v>147.02000000000001</v>
      </c>
      <c r="M927">
        <v>19</v>
      </c>
      <c r="N927">
        <v>5</v>
      </c>
      <c r="O927">
        <v>4</v>
      </c>
      <c r="P927">
        <v>3</v>
      </c>
      <c r="Q927">
        <v>11</v>
      </c>
      <c r="R927">
        <v>2</v>
      </c>
      <c r="S927">
        <v>1</v>
      </c>
      <c r="T927">
        <v>1</v>
      </c>
      <c r="U927">
        <v>0</v>
      </c>
      <c r="V927">
        <v>0</v>
      </c>
      <c r="W927" t="s">
        <v>45</v>
      </c>
      <c r="X927">
        <v>3</v>
      </c>
      <c r="Y927">
        <v>0</v>
      </c>
      <c r="Z927">
        <f t="shared" si="84"/>
        <v>43</v>
      </c>
      <c r="AA927">
        <f t="shared" si="85"/>
        <v>0.68181818181818177</v>
      </c>
      <c r="AB927">
        <f t="shared" si="86"/>
        <v>34</v>
      </c>
      <c r="AC927" t="str">
        <f t="shared" si="87"/>
        <v>Low</v>
      </c>
      <c r="AD927" t="str">
        <f t="shared" si="88"/>
        <v>Upsell premium bundle</v>
      </c>
      <c r="AE927">
        <f t="shared" si="89"/>
        <v>57</v>
      </c>
    </row>
    <row r="928" spans="1:31" x14ac:dyDescent="0.35">
      <c r="A928" t="s">
        <v>986</v>
      </c>
      <c r="B928" s="4">
        <v>45578</v>
      </c>
      <c r="C928" s="4">
        <v>46143</v>
      </c>
      <c r="D928" t="s">
        <v>32</v>
      </c>
      <c r="E928">
        <v>33</v>
      </c>
      <c r="F928" t="s">
        <v>61</v>
      </c>
      <c r="G928" t="s">
        <v>40</v>
      </c>
      <c r="H928" t="s">
        <v>44</v>
      </c>
      <c r="I928" t="s">
        <v>36</v>
      </c>
      <c r="J928">
        <v>18</v>
      </c>
      <c r="K928" s="5">
        <v>1980.88</v>
      </c>
      <c r="L928" s="5">
        <v>2008.75</v>
      </c>
      <c r="M928">
        <v>41</v>
      </c>
      <c r="N928">
        <v>13</v>
      </c>
      <c r="O928">
        <v>5</v>
      </c>
      <c r="P928">
        <v>6</v>
      </c>
      <c r="Q928">
        <v>23</v>
      </c>
      <c r="R928">
        <v>1</v>
      </c>
      <c r="S928">
        <v>2</v>
      </c>
      <c r="T928">
        <v>1</v>
      </c>
      <c r="U928">
        <v>0</v>
      </c>
      <c r="V928">
        <v>1</v>
      </c>
      <c r="W928" t="s">
        <v>37</v>
      </c>
      <c r="X928">
        <v>31</v>
      </c>
      <c r="Y928">
        <v>0</v>
      </c>
      <c r="Z928">
        <f t="shared" si="84"/>
        <v>96</v>
      </c>
      <c r="AA928">
        <f t="shared" si="85"/>
        <v>1.3333333333333333</v>
      </c>
      <c r="AB928">
        <f t="shared" si="86"/>
        <v>0</v>
      </c>
      <c r="AC928" t="str">
        <f t="shared" si="87"/>
        <v>Low</v>
      </c>
      <c r="AD928" t="str">
        <f t="shared" si="88"/>
        <v>Upsell premium bundle</v>
      </c>
      <c r="AE928">
        <f t="shared" si="89"/>
        <v>4</v>
      </c>
    </row>
    <row r="929" spans="1:31" x14ac:dyDescent="0.35">
      <c r="A929" t="s">
        <v>987</v>
      </c>
      <c r="B929" s="4">
        <v>45717</v>
      </c>
      <c r="C929" s="4">
        <v>46143</v>
      </c>
      <c r="D929" t="s">
        <v>47</v>
      </c>
      <c r="E929">
        <v>46</v>
      </c>
      <c r="F929" t="s">
        <v>57</v>
      </c>
      <c r="G929" t="s">
        <v>48</v>
      </c>
      <c r="H929" t="s">
        <v>41</v>
      </c>
      <c r="I929" t="s">
        <v>36</v>
      </c>
      <c r="J929">
        <v>14</v>
      </c>
      <c r="K929" s="5">
        <v>2530.38</v>
      </c>
      <c r="L929" s="5">
        <v>1825.49</v>
      </c>
      <c r="M929">
        <v>37</v>
      </c>
      <c r="N929">
        <v>23</v>
      </c>
      <c r="O929">
        <v>10</v>
      </c>
      <c r="P929">
        <v>0</v>
      </c>
      <c r="Q929">
        <v>11</v>
      </c>
      <c r="R929">
        <v>0</v>
      </c>
      <c r="S929">
        <v>0</v>
      </c>
      <c r="T929">
        <v>1</v>
      </c>
      <c r="U929">
        <v>0</v>
      </c>
      <c r="V929">
        <v>0</v>
      </c>
      <c r="W929" t="s">
        <v>45</v>
      </c>
      <c r="X929">
        <v>-7</v>
      </c>
      <c r="Y929">
        <v>0</v>
      </c>
      <c r="Z929">
        <f t="shared" si="84"/>
        <v>79</v>
      </c>
      <c r="AA929">
        <f t="shared" si="85"/>
        <v>1.0909090909090908</v>
      </c>
      <c r="AB929">
        <f t="shared" si="86"/>
        <v>20</v>
      </c>
      <c r="AC929" t="str">
        <f t="shared" si="87"/>
        <v>Low</v>
      </c>
      <c r="AD929" t="str">
        <f t="shared" si="88"/>
        <v>Upsell premium bundle</v>
      </c>
      <c r="AE929">
        <f t="shared" si="89"/>
        <v>21</v>
      </c>
    </row>
    <row r="930" spans="1:31" x14ac:dyDescent="0.35">
      <c r="A930" t="s">
        <v>988</v>
      </c>
      <c r="B930" s="4">
        <v>45288</v>
      </c>
      <c r="C930" s="4">
        <v>46143</v>
      </c>
      <c r="D930" t="s">
        <v>60</v>
      </c>
      <c r="E930">
        <v>35</v>
      </c>
      <c r="F930" t="s">
        <v>61</v>
      </c>
      <c r="G930" t="s">
        <v>85</v>
      </c>
      <c r="H930" t="s">
        <v>41</v>
      </c>
      <c r="I930" t="s">
        <v>36</v>
      </c>
      <c r="J930">
        <v>28</v>
      </c>
      <c r="K930" s="5">
        <v>3569.42</v>
      </c>
      <c r="L930" s="5">
        <v>1432.45</v>
      </c>
      <c r="M930">
        <v>26</v>
      </c>
      <c r="N930">
        <v>13</v>
      </c>
      <c r="O930">
        <v>6</v>
      </c>
      <c r="P930">
        <v>3</v>
      </c>
      <c r="Q930">
        <v>20</v>
      </c>
      <c r="R930">
        <v>1</v>
      </c>
      <c r="S930">
        <v>1</v>
      </c>
      <c r="T930">
        <v>0</v>
      </c>
      <c r="U930">
        <v>0</v>
      </c>
      <c r="V930">
        <v>0</v>
      </c>
      <c r="W930" t="s">
        <v>50</v>
      </c>
      <c r="X930">
        <v>19</v>
      </c>
      <c r="Y930">
        <v>0</v>
      </c>
      <c r="Z930">
        <f t="shared" si="84"/>
        <v>67</v>
      </c>
      <c r="AA930">
        <f t="shared" si="85"/>
        <v>0.7931034482758621</v>
      </c>
      <c r="AB930">
        <f t="shared" si="86"/>
        <v>28</v>
      </c>
      <c r="AC930" t="str">
        <f t="shared" si="87"/>
        <v>Low</v>
      </c>
      <c r="AD930" t="str">
        <f t="shared" si="88"/>
        <v>Upsell premium bundle</v>
      </c>
      <c r="AE930">
        <f t="shared" si="89"/>
        <v>33</v>
      </c>
    </row>
    <row r="931" spans="1:31" x14ac:dyDescent="0.35">
      <c r="A931" t="s">
        <v>989</v>
      </c>
      <c r="B931" s="4">
        <v>45204</v>
      </c>
      <c r="C931" s="4">
        <v>46143</v>
      </c>
      <c r="D931" t="s">
        <v>32</v>
      </c>
      <c r="E931">
        <v>54</v>
      </c>
      <c r="F931" t="s">
        <v>57</v>
      </c>
      <c r="G931" t="s">
        <v>40</v>
      </c>
      <c r="H931" t="s">
        <v>58</v>
      </c>
      <c r="I931" t="s">
        <v>36</v>
      </c>
      <c r="J931">
        <v>31</v>
      </c>
      <c r="K931" s="5">
        <v>1779.96</v>
      </c>
      <c r="L931" s="5">
        <v>166.74</v>
      </c>
      <c r="M931">
        <v>32</v>
      </c>
      <c r="N931">
        <v>12</v>
      </c>
      <c r="O931">
        <v>8</v>
      </c>
      <c r="P931">
        <v>6</v>
      </c>
      <c r="Q931">
        <v>21</v>
      </c>
      <c r="R931">
        <v>1</v>
      </c>
      <c r="S931">
        <v>2</v>
      </c>
      <c r="T931">
        <v>1</v>
      </c>
      <c r="U931">
        <v>0</v>
      </c>
      <c r="V931">
        <v>1</v>
      </c>
      <c r="W931" t="s">
        <v>55</v>
      </c>
      <c r="X931">
        <v>4</v>
      </c>
      <c r="Y931">
        <v>0</v>
      </c>
      <c r="Z931">
        <f t="shared" si="84"/>
        <v>88</v>
      </c>
      <c r="AA931">
        <f t="shared" si="85"/>
        <v>0.86885245901639341</v>
      </c>
      <c r="AB931">
        <f t="shared" si="86"/>
        <v>25</v>
      </c>
      <c r="AC931" t="str">
        <f t="shared" si="87"/>
        <v>Low</v>
      </c>
      <c r="AD931" t="str">
        <f t="shared" si="88"/>
        <v>Upsell premium bundle</v>
      </c>
      <c r="AE931">
        <f t="shared" si="89"/>
        <v>12</v>
      </c>
    </row>
    <row r="932" spans="1:31" x14ac:dyDescent="0.35">
      <c r="A932" t="s">
        <v>990</v>
      </c>
      <c r="B932" s="4">
        <v>45882</v>
      </c>
      <c r="C932" s="4">
        <v>46143</v>
      </c>
      <c r="D932" t="s">
        <v>32</v>
      </c>
      <c r="E932">
        <v>58</v>
      </c>
      <c r="F932" t="s">
        <v>61</v>
      </c>
      <c r="G932" t="s">
        <v>34</v>
      </c>
      <c r="H932" t="s">
        <v>41</v>
      </c>
      <c r="I932" t="s">
        <v>49</v>
      </c>
      <c r="J932">
        <v>8</v>
      </c>
      <c r="K932" s="5">
        <v>454.07</v>
      </c>
      <c r="L932" s="5">
        <v>1402.58</v>
      </c>
      <c r="M932">
        <v>39</v>
      </c>
      <c r="N932">
        <v>25</v>
      </c>
      <c r="O932">
        <v>5</v>
      </c>
      <c r="P932">
        <v>2</v>
      </c>
      <c r="Q932">
        <v>27</v>
      </c>
      <c r="R932">
        <v>1</v>
      </c>
      <c r="S932">
        <v>0</v>
      </c>
      <c r="T932">
        <v>1</v>
      </c>
      <c r="U932">
        <v>0</v>
      </c>
      <c r="V932">
        <v>0</v>
      </c>
      <c r="W932" t="s">
        <v>50</v>
      </c>
      <c r="X932">
        <v>22</v>
      </c>
      <c r="Y932">
        <v>0</v>
      </c>
      <c r="Z932">
        <f t="shared" si="84"/>
        <v>94</v>
      </c>
      <c r="AA932">
        <f t="shared" si="85"/>
        <v>1.736842105263158</v>
      </c>
      <c r="AB932">
        <f t="shared" si="86"/>
        <v>24</v>
      </c>
      <c r="AC932" t="str">
        <f t="shared" si="87"/>
        <v>Low</v>
      </c>
      <c r="AD932" t="str">
        <f t="shared" si="88"/>
        <v>Upsell premium bundle</v>
      </c>
      <c r="AE932">
        <f t="shared" si="89"/>
        <v>6</v>
      </c>
    </row>
    <row r="933" spans="1:31" x14ac:dyDescent="0.35">
      <c r="A933" t="s">
        <v>991</v>
      </c>
      <c r="B933" s="4">
        <v>46016</v>
      </c>
      <c r="C933" s="4">
        <v>46143</v>
      </c>
      <c r="D933" t="s">
        <v>39</v>
      </c>
      <c r="E933">
        <v>37</v>
      </c>
      <c r="F933" t="s">
        <v>33</v>
      </c>
      <c r="G933" t="s">
        <v>67</v>
      </c>
      <c r="H933" t="s">
        <v>44</v>
      </c>
      <c r="I933" t="s">
        <v>36</v>
      </c>
      <c r="J933">
        <v>4</v>
      </c>
      <c r="K933" s="5">
        <v>225.55</v>
      </c>
      <c r="L933" s="5">
        <v>152.37</v>
      </c>
      <c r="M933">
        <v>42</v>
      </c>
      <c r="N933">
        <v>17</v>
      </c>
      <c r="O933">
        <v>6</v>
      </c>
      <c r="P933">
        <v>2</v>
      </c>
      <c r="Q933">
        <v>27</v>
      </c>
      <c r="R933">
        <v>1</v>
      </c>
      <c r="S933">
        <v>0</v>
      </c>
      <c r="T933">
        <v>1</v>
      </c>
      <c r="U933">
        <v>1</v>
      </c>
      <c r="V933">
        <v>1</v>
      </c>
      <c r="W933" t="s">
        <v>45</v>
      </c>
      <c r="X933">
        <v>1</v>
      </c>
      <c r="Y933">
        <v>0</v>
      </c>
      <c r="Z933">
        <f t="shared" si="84"/>
        <v>100</v>
      </c>
      <c r="AA933">
        <f t="shared" si="85"/>
        <v>2.0294117647058822</v>
      </c>
      <c r="AB933">
        <f t="shared" si="86"/>
        <v>6</v>
      </c>
      <c r="AC933" t="str">
        <f t="shared" si="87"/>
        <v>Low</v>
      </c>
      <c r="AD933" t="str">
        <f t="shared" si="88"/>
        <v>Upsell premium bundle</v>
      </c>
      <c r="AE933">
        <f t="shared" si="89"/>
        <v>0</v>
      </c>
    </row>
    <row r="934" spans="1:31" x14ac:dyDescent="0.35">
      <c r="A934" t="s">
        <v>992</v>
      </c>
      <c r="B934" s="4">
        <v>44882</v>
      </c>
      <c r="C934" s="4">
        <v>46143</v>
      </c>
      <c r="D934" t="s">
        <v>47</v>
      </c>
      <c r="E934">
        <v>63</v>
      </c>
      <c r="F934" t="s">
        <v>33</v>
      </c>
      <c r="G934" t="s">
        <v>48</v>
      </c>
      <c r="H934" t="s">
        <v>41</v>
      </c>
      <c r="I934" t="s">
        <v>36</v>
      </c>
      <c r="J934">
        <v>42</v>
      </c>
      <c r="K934" s="5">
        <v>857.57</v>
      </c>
      <c r="L934" s="5">
        <v>295.85000000000002</v>
      </c>
      <c r="M934">
        <v>20</v>
      </c>
      <c r="N934">
        <v>9</v>
      </c>
      <c r="O934">
        <v>1</v>
      </c>
      <c r="P934">
        <v>1</v>
      </c>
      <c r="Q934">
        <v>17</v>
      </c>
      <c r="R934">
        <v>0</v>
      </c>
      <c r="S934">
        <v>0</v>
      </c>
      <c r="T934">
        <v>1</v>
      </c>
      <c r="U934">
        <v>0</v>
      </c>
      <c r="V934">
        <v>0</v>
      </c>
      <c r="W934" t="s">
        <v>45</v>
      </c>
      <c r="X934">
        <v>32</v>
      </c>
      <c r="Y934">
        <v>1</v>
      </c>
      <c r="Z934">
        <f t="shared" si="84"/>
        <v>46</v>
      </c>
      <c r="AA934">
        <f t="shared" si="85"/>
        <v>0.51388888888888884</v>
      </c>
      <c r="AB934">
        <f t="shared" si="86"/>
        <v>24</v>
      </c>
      <c r="AC934" t="str">
        <f t="shared" si="87"/>
        <v>Low</v>
      </c>
      <c r="AD934" t="str">
        <f t="shared" si="88"/>
        <v>Upsell premium bundle</v>
      </c>
      <c r="AE934">
        <f t="shared" si="89"/>
        <v>54</v>
      </c>
    </row>
    <row r="935" spans="1:31" x14ac:dyDescent="0.35">
      <c r="A935" t="s">
        <v>993</v>
      </c>
      <c r="B935" s="4">
        <v>46053</v>
      </c>
      <c r="C935" s="4">
        <v>46143</v>
      </c>
      <c r="D935" t="s">
        <v>32</v>
      </c>
      <c r="E935">
        <v>45</v>
      </c>
      <c r="F935" t="s">
        <v>57</v>
      </c>
      <c r="G935" t="s">
        <v>40</v>
      </c>
      <c r="H935" t="s">
        <v>44</v>
      </c>
      <c r="I935" t="s">
        <v>36</v>
      </c>
      <c r="J935">
        <v>3</v>
      </c>
      <c r="K935" s="5">
        <v>1194.17</v>
      </c>
      <c r="L935" s="5">
        <v>480.2</v>
      </c>
      <c r="M935">
        <v>26</v>
      </c>
      <c r="N935">
        <v>13</v>
      </c>
      <c r="O935">
        <v>4</v>
      </c>
      <c r="P935">
        <v>0</v>
      </c>
      <c r="Q935">
        <v>30</v>
      </c>
      <c r="R935">
        <v>1</v>
      </c>
      <c r="S935">
        <v>3</v>
      </c>
      <c r="T935">
        <v>0</v>
      </c>
      <c r="U935">
        <v>1</v>
      </c>
      <c r="V935">
        <v>0</v>
      </c>
      <c r="W935" t="s">
        <v>45</v>
      </c>
      <c r="X935">
        <v>56</v>
      </c>
      <c r="Y935">
        <v>0</v>
      </c>
      <c r="Z935">
        <f t="shared" si="84"/>
        <v>78</v>
      </c>
      <c r="AA935">
        <f t="shared" si="85"/>
        <v>1.696969696969697</v>
      </c>
      <c r="AB935">
        <f t="shared" si="86"/>
        <v>11</v>
      </c>
      <c r="AC935" t="str">
        <f t="shared" si="87"/>
        <v>Low</v>
      </c>
      <c r="AD935" t="str">
        <f t="shared" si="88"/>
        <v>Upsell premium bundle</v>
      </c>
      <c r="AE935">
        <f t="shared" si="89"/>
        <v>22</v>
      </c>
    </row>
    <row r="936" spans="1:31" x14ac:dyDescent="0.35">
      <c r="A936" t="s">
        <v>994</v>
      </c>
      <c r="B936" s="4">
        <v>45437</v>
      </c>
      <c r="C936" s="4">
        <v>46143</v>
      </c>
      <c r="D936" t="s">
        <v>32</v>
      </c>
      <c r="E936">
        <v>39</v>
      </c>
      <c r="F936" t="s">
        <v>43</v>
      </c>
      <c r="G936" t="s">
        <v>40</v>
      </c>
      <c r="H936" t="s">
        <v>58</v>
      </c>
      <c r="I936" t="s">
        <v>36</v>
      </c>
      <c r="J936">
        <v>23</v>
      </c>
      <c r="K936" s="5">
        <v>158.09</v>
      </c>
      <c r="L936" s="5">
        <v>31.25</v>
      </c>
      <c r="M936">
        <v>14</v>
      </c>
      <c r="N936">
        <v>9</v>
      </c>
      <c r="O936">
        <v>4</v>
      </c>
      <c r="P936">
        <v>1</v>
      </c>
      <c r="Q936">
        <v>25</v>
      </c>
      <c r="R936">
        <v>0</v>
      </c>
      <c r="S936">
        <v>1</v>
      </c>
      <c r="T936">
        <v>1</v>
      </c>
      <c r="U936">
        <v>1</v>
      </c>
      <c r="V936">
        <v>0</v>
      </c>
      <c r="W936" t="s">
        <v>50</v>
      </c>
      <c r="X936">
        <v>46</v>
      </c>
      <c r="Y936">
        <v>0</v>
      </c>
      <c r="Z936">
        <f t="shared" si="84"/>
        <v>58</v>
      </c>
      <c r="AA936">
        <f t="shared" si="85"/>
        <v>0.73584905660377353</v>
      </c>
      <c r="AB936">
        <f t="shared" si="86"/>
        <v>10</v>
      </c>
      <c r="AC936" t="str">
        <f t="shared" si="87"/>
        <v>Low</v>
      </c>
      <c r="AD936" t="str">
        <f t="shared" si="88"/>
        <v>Upsell premium bundle</v>
      </c>
      <c r="AE936">
        <f t="shared" si="89"/>
        <v>42</v>
      </c>
    </row>
    <row r="937" spans="1:31" x14ac:dyDescent="0.35">
      <c r="A937" t="s">
        <v>995</v>
      </c>
      <c r="B937" s="4">
        <v>45213</v>
      </c>
      <c r="C937" s="4">
        <v>46143</v>
      </c>
      <c r="D937" t="s">
        <v>72</v>
      </c>
      <c r="E937">
        <v>23</v>
      </c>
      <c r="F937" t="s">
        <v>61</v>
      </c>
      <c r="G937" t="s">
        <v>85</v>
      </c>
      <c r="H937" t="s">
        <v>58</v>
      </c>
      <c r="I937" t="s">
        <v>54</v>
      </c>
      <c r="J937">
        <v>31</v>
      </c>
      <c r="K937" s="5">
        <v>6303.83</v>
      </c>
      <c r="L937" s="5">
        <v>1094.75</v>
      </c>
      <c r="M937">
        <v>26</v>
      </c>
      <c r="N937">
        <v>13</v>
      </c>
      <c r="O937">
        <v>3</v>
      </c>
      <c r="P937">
        <v>2</v>
      </c>
      <c r="Q937">
        <v>26</v>
      </c>
      <c r="R937">
        <v>4</v>
      </c>
      <c r="S937">
        <v>0</v>
      </c>
      <c r="T937">
        <v>0</v>
      </c>
      <c r="U937">
        <v>0</v>
      </c>
      <c r="V937">
        <v>1</v>
      </c>
      <c r="W937" t="s">
        <v>52</v>
      </c>
      <c r="X937">
        <v>7</v>
      </c>
      <c r="Y937">
        <v>0</v>
      </c>
      <c r="Z937">
        <f t="shared" si="84"/>
        <v>75</v>
      </c>
      <c r="AA937">
        <f t="shared" si="85"/>
        <v>0.85245901639344257</v>
      </c>
      <c r="AB937">
        <f t="shared" si="86"/>
        <v>25</v>
      </c>
      <c r="AC937" t="str">
        <f t="shared" si="87"/>
        <v>Low</v>
      </c>
      <c r="AD937" t="str">
        <f t="shared" si="88"/>
        <v>Upsell premium bundle</v>
      </c>
      <c r="AE937">
        <f t="shared" si="89"/>
        <v>25</v>
      </c>
    </row>
    <row r="938" spans="1:31" x14ac:dyDescent="0.35">
      <c r="A938" t="s">
        <v>996</v>
      </c>
      <c r="B938" s="4">
        <v>45421</v>
      </c>
      <c r="C938" s="4">
        <v>46143</v>
      </c>
      <c r="D938" t="s">
        <v>60</v>
      </c>
      <c r="E938">
        <v>68</v>
      </c>
      <c r="F938" t="s">
        <v>57</v>
      </c>
      <c r="G938" t="s">
        <v>34</v>
      </c>
      <c r="H938" t="s">
        <v>41</v>
      </c>
      <c r="I938" t="s">
        <v>36</v>
      </c>
      <c r="J938">
        <v>24</v>
      </c>
      <c r="K938" s="5">
        <v>352.61</v>
      </c>
      <c r="L938" s="5">
        <v>1520.69</v>
      </c>
      <c r="M938">
        <v>33</v>
      </c>
      <c r="N938">
        <v>17</v>
      </c>
      <c r="O938">
        <v>4</v>
      </c>
      <c r="P938">
        <v>4</v>
      </c>
      <c r="Q938">
        <v>32</v>
      </c>
      <c r="R938">
        <v>3</v>
      </c>
      <c r="S938">
        <v>0</v>
      </c>
      <c r="T938">
        <v>0</v>
      </c>
      <c r="U938">
        <v>1</v>
      </c>
      <c r="V938">
        <v>1</v>
      </c>
      <c r="W938" t="s">
        <v>52</v>
      </c>
      <c r="X938">
        <v>21</v>
      </c>
      <c r="Y938">
        <v>0</v>
      </c>
      <c r="Z938">
        <f t="shared" si="84"/>
        <v>100</v>
      </c>
      <c r="AA938">
        <f t="shared" si="85"/>
        <v>1.2037037037037037</v>
      </c>
      <c r="AB938">
        <f t="shared" si="86"/>
        <v>0</v>
      </c>
      <c r="AC938" t="str">
        <f t="shared" si="87"/>
        <v>Low</v>
      </c>
      <c r="AD938" t="str">
        <f t="shared" si="88"/>
        <v>Upsell premium bundle</v>
      </c>
      <c r="AE938">
        <f t="shared" si="89"/>
        <v>0</v>
      </c>
    </row>
    <row r="939" spans="1:31" x14ac:dyDescent="0.35">
      <c r="A939" t="s">
        <v>997</v>
      </c>
      <c r="B939" s="4">
        <v>45680</v>
      </c>
      <c r="C939" s="4">
        <v>46143</v>
      </c>
      <c r="D939" t="s">
        <v>39</v>
      </c>
      <c r="E939">
        <v>36</v>
      </c>
      <c r="F939" t="s">
        <v>43</v>
      </c>
      <c r="G939" t="s">
        <v>34</v>
      </c>
      <c r="H939" t="s">
        <v>41</v>
      </c>
      <c r="I939" t="s">
        <v>49</v>
      </c>
      <c r="J939">
        <v>15</v>
      </c>
      <c r="K939" s="5">
        <v>86.53</v>
      </c>
      <c r="L939" s="5">
        <v>0</v>
      </c>
      <c r="M939">
        <v>31</v>
      </c>
      <c r="N939">
        <v>18</v>
      </c>
      <c r="O939">
        <v>4</v>
      </c>
      <c r="P939">
        <v>1</v>
      </c>
      <c r="Q939">
        <v>24</v>
      </c>
      <c r="R939">
        <v>1</v>
      </c>
      <c r="S939">
        <v>1</v>
      </c>
      <c r="T939">
        <v>1</v>
      </c>
      <c r="U939">
        <v>1</v>
      </c>
      <c r="V939">
        <v>0</v>
      </c>
      <c r="W939" t="s">
        <v>52</v>
      </c>
      <c r="X939">
        <v>5</v>
      </c>
      <c r="Y939">
        <v>0</v>
      </c>
      <c r="Z939">
        <f t="shared" si="84"/>
        <v>83</v>
      </c>
      <c r="AA939">
        <f t="shared" si="85"/>
        <v>1.2222222222222223</v>
      </c>
      <c r="AB939">
        <f t="shared" si="86"/>
        <v>45</v>
      </c>
      <c r="AC939" t="str">
        <f t="shared" si="87"/>
        <v>Medium</v>
      </c>
      <c r="AD939" t="str">
        <f t="shared" si="88"/>
        <v>Nudge core feature adoption</v>
      </c>
      <c r="AE939">
        <f t="shared" si="89"/>
        <v>17</v>
      </c>
    </row>
    <row r="940" spans="1:31" x14ac:dyDescent="0.35">
      <c r="A940" t="s">
        <v>998</v>
      </c>
      <c r="B940" s="4">
        <v>45127</v>
      </c>
      <c r="C940" s="4">
        <v>46143</v>
      </c>
      <c r="D940" t="s">
        <v>66</v>
      </c>
      <c r="E940">
        <v>61</v>
      </c>
      <c r="F940" t="s">
        <v>33</v>
      </c>
      <c r="G940" t="s">
        <v>48</v>
      </c>
      <c r="H940" t="s">
        <v>35</v>
      </c>
      <c r="I940" t="s">
        <v>49</v>
      </c>
      <c r="J940">
        <v>33</v>
      </c>
      <c r="K940" s="5">
        <v>592.04</v>
      </c>
      <c r="L940" s="5">
        <v>376.04</v>
      </c>
      <c r="M940">
        <v>34</v>
      </c>
      <c r="N940">
        <v>10</v>
      </c>
      <c r="O940">
        <v>6</v>
      </c>
      <c r="P940">
        <v>6</v>
      </c>
      <c r="Q940">
        <v>25</v>
      </c>
      <c r="R940">
        <v>4</v>
      </c>
      <c r="S940">
        <v>2</v>
      </c>
      <c r="T940">
        <v>0</v>
      </c>
      <c r="U940">
        <v>1</v>
      </c>
      <c r="V940">
        <v>0</v>
      </c>
      <c r="W940" t="s">
        <v>50</v>
      </c>
      <c r="X940">
        <v>36</v>
      </c>
      <c r="Y940">
        <v>1</v>
      </c>
      <c r="Z940">
        <f t="shared" si="84"/>
        <v>91</v>
      </c>
      <c r="AA940">
        <f t="shared" si="85"/>
        <v>0.93650793650793651</v>
      </c>
      <c r="AB940">
        <f t="shared" si="86"/>
        <v>20</v>
      </c>
      <c r="AC940" t="str">
        <f t="shared" si="87"/>
        <v>Low</v>
      </c>
      <c r="AD940" t="str">
        <f t="shared" si="88"/>
        <v>Upsell premium bundle</v>
      </c>
      <c r="AE940">
        <f t="shared" si="89"/>
        <v>9</v>
      </c>
    </row>
    <row r="941" spans="1:31" x14ac:dyDescent="0.35">
      <c r="A941" t="s">
        <v>999</v>
      </c>
      <c r="B941" s="4">
        <v>45410</v>
      </c>
      <c r="C941" s="4">
        <v>46143</v>
      </c>
      <c r="D941" t="s">
        <v>66</v>
      </c>
      <c r="E941">
        <v>49</v>
      </c>
      <c r="F941" t="s">
        <v>57</v>
      </c>
      <c r="G941" t="s">
        <v>34</v>
      </c>
      <c r="H941" t="s">
        <v>41</v>
      </c>
      <c r="I941" t="s">
        <v>36</v>
      </c>
      <c r="J941">
        <v>24</v>
      </c>
      <c r="K941" s="5">
        <v>0</v>
      </c>
      <c r="L941" s="5">
        <v>1675.26</v>
      </c>
      <c r="M941">
        <v>31</v>
      </c>
      <c r="N941">
        <v>22</v>
      </c>
      <c r="O941">
        <v>6</v>
      </c>
      <c r="P941">
        <v>1</v>
      </c>
      <c r="Q941">
        <v>19</v>
      </c>
      <c r="R941">
        <v>2</v>
      </c>
      <c r="S941">
        <v>1</v>
      </c>
      <c r="T941">
        <v>0</v>
      </c>
      <c r="U941">
        <v>1</v>
      </c>
      <c r="V941">
        <v>0</v>
      </c>
      <c r="W941" t="s">
        <v>45</v>
      </c>
      <c r="X941">
        <v>9</v>
      </c>
      <c r="Y941">
        <v>0</v>
      </c>
      <c r="Z941">
        <f t="shared" si="84"/>
        <v>83</v>
      </c>
      <c r="AA941">
        <f t="shared" si="85"/>
        <v>0.92592592592592593</v>
      </c>
      <c r="AB941">
        <f t="shared" si="86"/>
        <v>15</v>
      </c>
      <c r="AC941" t="str">
        <f t="shared" si="87"/>
        <v>Low</v>
      </c>
      <c r="AD941" t="str">
        <f t="shared" si="88"/>
        <v>Upsell premium bundle</v>
      </c>
      <c r="AE941">
        <f t="shared" si="89"/>
        <v>17</v>
      </c>
    </row>
    <row r="942" spans="1:31" x14ac:dyDescent="0.35">
      <c r="A942" t="s">
        <v>1000</v>
      </c>
      <c r="B942" s="4">
        <v>45929</v>
      </c>
      <c r="C942" s="4">
        <v>46143</v>
      </c>
      <c r="D942" t="s">
        <v>66</v>
      </c>
      <c r="E942">
        <v>53</v>
      </c>
      <c r="F942" t="s">
        <v>57</v>
      </c>
      <c r="G942" t="s">
        <v>48</v>
      </c>
      <c r="H942" t="s">
        <v>41</v>
      </c>
      <c r="I942" t="s">
        <v>49</v>
      </c>
      <c r="J942">
        <v>7</v>
      </c>
      <c r="K942" s="5">
        <v>0</v>
      </c>
      <c r="L942" s="5">
        <v>1090.5899999999999</v>
      </c>
      <c r="M942">
        <v>21</v>
      </c>
      <c r="N942">
        <v>9</v>
      </c>
      <c r="O942">
        <v>4</v>
      </c>
      <c r="P942">
        <v>2</v>
      </c>
      <c r="Q942">
        <v>18</v>
      </c>
      <c r="R942">
        <v>1</v>
      </c>
      <c r="S942">
        <v>0</v>
      </c>
      <c r="T942">
        <v>0</v>
      </c>
      <c r="U942">
        <v>0</v>
      </c>
      <c r="V942">
        <v>1</v>
      </c>
      <c r="W942" t="s">
        <v>52</v>
      </c>
      <c r="X942">
        <v>7</v>
      </c>
      <c r="Y942">
        <v>0</v>
      </c>
      <c r="Z942">
        <f t="shared" si="84"/>
        <v>60</v>
      </c>
      <c r="AA942">
        <f t="shared" si="85"/>
        <v>1.0540540540540539</v>
      </c>
      <c r="AB942">
        <f t="shared" si="86"/>
        <v>45</v>
      </c>
      <c r="AC942" t="str">
        <f t="shared" si="87"/>
        <v>Medium</v>
      </c>
      <c r="AD942" t="str">
        <f t="shared" si="88"/>
        <v>Nudge core feature adoption</v>
      </c>
      <c r="AE942">
        <f t="shared" si="89"/>
        <v>40</v>
      </c>
    </row>
    <row r="943" spans="1:31" x14ac:dyDescent="0.35">
      <c r="A943" t="s">
        <v>1001</v>
      </c>
      <c r="B943" s="4">
        <v>46007</v>
      </c>
      <c r="C943" s="4">
        <v>46143</v>
      </c>
      <c r="D943" t="s">
        <v>47</v>
      </c>
      <c r="E943">
        <v>32</v>
      </c>
      <c r="F943" t="s">
        <v>33</v>
      </c>
      <c r="G943" t="s">
        <v>48</v>
      </c>
      <c r="H943" t="s">
        <v>58</v>
      </c>
      <c r="I943" t="s">
        <v>36</v>
      </c>
      <c r="J943">
        <v>4</v>
      </c>
      <c r="K943" s="5">
        <v>1.32</v>
      </c>
      <c r="L943" s="5">
        <v>110.22</v>
      </c>
      <c r="M943">
        <v>25</v>
      </c>
      <c r="N943">
        <v>8</v>
      </c>
      <c r="O943">
        <v>7</v>
      </c>
      <c r="P943">
        <v>3</v>
      </c>
      <c r="Q943">
        <v>16</v>
      </c>
      <c r="R943">
        <v>1</v>
      </c>
      <c r="S943">
        <v>0</v>
      </c>
      <c r="T943">
        <v>0</v>
      </c>
      <c r="U943">
        <v>0</v>
      </c>
      <c r="V943">
        <v>0</v>
      </c>
      <c r="W943" t="s">
        <v>45</v>
      </c>
      <c r="X943">
        <v>11</v>
      </c>
      <c r="Y943">
        <v>0</v>
      </c>
      <c r="Z943">
        <f t="shared" si="84"/>
        <v>60</v>
      </c>
      <c r="AA943">
        <f t="shared" si="85"/>
        <v>1.2058823529411764</v>
      </c>
      <c r="AB943">
        <f t="shared" si="86"/>
        <v>17</v>
      </c>
      <c r="AC943" t="str">
        <f t="shared" si="87"/>
        <v>Low</v>
      </c>
      <c r="AD943" t="str">
        <f t="shared" si="88"/>
        <v>Upsell premium bundle</v>
      </c>
      <c r="AE943">
        <f t="shared" si="89"/>
        <v>40</v>
      </c>
    </row>
    <row r="944" spans="1:31" x14ac:dyDescent="0.35">
      <c r="A944" t="s">
        <v>1002</v>
      </c>
      <c r="B944" s="4">
        <v>45175</v>
      </c>
      <c r="C944" s="4">
        <v>46143</v>
      </c>
      <c r="D944" t="s">
        <v>47</v>
      </c>
      <c r="E944">
        <v>23</v>
      </c>
      <c r="F944" t="s">
        <v>61</v>
      </c>
      <c r="G944" t="s">
        <v>34</v>
      </c>
      <c r="H944" t="s">
        <v>41</v>
      </c>
      <c r="I944" t="s">
        <v>36</v>
      </c>
      <c r="J944">
        <v>32</v>
      </c>
      <c r="K944" s="5">
        <v>3908.59</v>
      </c>
      <c r="L944" s="5">
        <v>1576.94</v>
      </c>
      <c r="M944">
        <v>21</v>
      </c>
      <c r="N944">
        <v>10</v>
      </c>
      <c r="O944">
        <v>2</v>
      </c>
      <c r="P944">
        <v>0</v>
      </c>
      <c r="Q944">
        <v>24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55</v>
      </c>
      <c r="X944">
        <v>26</v>
      </c>
      <c r="Y944">
        <v>0</v>
      </c>
      <c r="Z944">
        <f t="shared" si="84"/>
        <v>54</v>
      </c>
      <c r="AA944">
        <f t="shared" si="85"/>
        <v>0.72580645161290325</v>
      </c>
      <c r="AB944">
        <f t="shared" si="86"/>
        <v>13</v>
      </c>
      <c r="AC944" t="str">
        <f t="shared" si="87"/>
        <v>Low</v>
      </c>
      <c r="AD944" t="str">
        <f t="shared" si="88"/>
        <v>Upsell premium bundle</v>
      </c>
      <c r="AE944">
        <f t="shared" si="89"/>
        <v>46</v>
      </c>
    </row>
    <row r="945" spans="1:31" x14ac:dyDescent="0.35">
      <c r="A945" t="s">
        <v>1003</v>
      </c>
      <c r="B945" s="4">
        <v>45242</v>
      </c>
      <c r="C945" s="4">
        <v>46143</v>
      </c>
      <c r="D945" t="s">
        <v>39</v>
      </c>
      <c r="E945">
        <v>69</v>
      </c>
      <c r="F945" t="s">
        <v>57</v>
      </c>
      <c r="G945" t="s">
        <v>48</v>
      </c>
      <c r="H945" t="s">
        <v>58</v>
      </c>
      <c r="I945" t="s">
        <v>36</v>
      </c>
      <c r="J945">
        <v>30</v>
      </c>
      <c r="K945" s="5">
        <v>2027.5</v>
      </c>
      <c r="L945" s="5">
        <v>553.13</v>
      </c>
      <c r="M945">
        <v>34</v>
      </c>
      <c r="N945">
        <v>11</v>
      </c>
      <c r="O945">
        <v>8</v>
      </c>
      <c r="P945">
        <v>3</v>
      </c>
      <c r="Q945">
        <v>29</v>
      </c>
      <c r="R945">
        <v>0</v>
      </c>
      <c r="S945">
        <v>1</v>
      </c>
      <c r="T945">
        <v>0</v>
      </c>
      <c r="U945">
        <v>0</v>
      </c>
      <c r="V945">
        <v>1</v>
      </c>
      <c r="W945" t="s">
        <v>45</v>
      </c>
      <c r="X945">
        <v>55</v>
      </c>
      <c r="Y945">
        <v>0</v>
      </c>
      <c r="Z945">
        <f t="shared" si="84"/>
        <v>92</v>
      </c>
      <c r="AA945">
        <f t="shared" si="85"/>
        <v>1.05</v>
      </c>
      <c r="AB945">
        <f t="shared" si="86"/>
        <v>0</v>
      </c>
      <c r="AC945" t="str">
        <f t="shared" si="87"/>
        <v>Low</v>
      </c>
      <c r="AD945" t="str">
        <f t="shared" si="88"/>
        <v>Upsell premium bundle</v>
      </c>
      <c r="AE945">
        <f t="shared" si="89"/>
        <v>8</v>
      </c>
    </row>
    <row r="946" spans="1:31" x14ac:dyDescent="0.35">
      <c r="A946" t="s">
        <v>1004</v>
      </c>
      <c r="B946" s="4">
        <v>45858</v>
      </c>
      <c r="C946" s="4">
        <v>46143</v>
      </c>
      <c r="D946" t="s">
        <v>32</v>
      </c>
      <c r="E946">
        <v>23</v>
      </c>
      <c r="F946" t="s">
        <v>57</v>
      </c>
      <c r="G946" t="s">
        <v>48</v>
      </c>
      <c r="H946" t="s">
        <v>44</v>
      </c>
      <c r="I946" t="s">
        <v>36</v>
      </c>
      <c r="J946">
        <v>9</v>
      </c>
      <c r="K946" s="5">
        <v>1142.6400000000001</v>
      </c>
      <c r="L946" s="5">
        <v>1060.23</v>
      </c>
      <c r="M946">
        <v>18</v>
      </c>
      <c r="N946">
        <v>12</v>
      </c>
      <c r="O946">
        <v>2</v>
      </c>
      <c r="P946">
        <v>2</v>
      </c>
      <c r="Q946">
        <v>12</v>
      </c>
      <c r="R946">
        <v>0</v>
      </c>
      <c r="S946">
        <v>1</v>
      </c>
      <c r="T946">
        <v>1</v>
      </c>
      <c r="U946">
        <v>1</v>
      </c>
      <c r="V946">
        <v>1</v>
      </c>
      <c r="W946" t="s">
        <v>45</v>
      </c>
      <c r="X946">
        <v>10</v>
      </c>
      <c r="Y946">
        <v>0</v>
      </c>
      <c r="Z946">
        <f t="shared" si="84"/>
        <v>59</v>
      </c>
      <c r="AA946">
        <f t="shared" si="85"/>
        <v>0.76923076923076927</v>
      </c>
      <c r="AB946">
        <f t="shared" si="86"/>
        <v>27</v>
      </c>
      <c r="AC946" t="str">
        <f t="shared" si="87"/>
        <v>Low</v>
      </c>
      <c r="AD946" t="str">
        <f t="shared" si="88"/>
        <v>Upsell premium bundle</v>
      </c>
      <c r="AE946">
        <f t="shared" si="89"/>
        <v>41</v>
      </c>
    </row>
    <row r="947" spans="1:31" x14ac:dyDescent="0.35">
      <c r="A947" t="s">
        <v>1005</v>
      </c>
      <c r="B947" s="4">
        <v>45573</v>
      </c>
      <c r="C947" s="4">
        <v>46143</v>
      </c>
      <c r="D947" t="s">
        <v>60</v>
      </c>
      <c r="E947">
        <v>21</v>
      </c>
      <c r="F947" t="s">
        <v>43</v>
      </c>
      <c r="G947" t="s">
        <v>63</v>
      </c>
      <c r="H947" t="s">
        <v>44</v>
      </c>
      <c r="I947" t="s">
        <v>36</v>
      </c>
      <c r="J947">
        <v>19</v>
      </c>
      <c r="K947" s="5">
        <v>37.65</v>
      </c>
      <c r="L947" s="5">
        <v>64.98</v>
      </c>
      <c r="M947">
        <v>43</v>
      </c>
      <c r="N947">
        <v>13</v>
      </c>
      <c r="O947">
        <v>10</v>
      </c>
      <c r="P947">
        <v>5</v>
      </c>
      <c r="Q947">
        <v>28</v>
      </c>
      <c r="R947">
        <v>1</v>
      </c>
      <c r="S947">
        <v>0</v>
      </c>
      <c r="T947">
        <v>1</v>
      </c>
      <c r="U947">
        <v>0</v>
      </c>
      <c r="V947">
        <v>1</v>
      </c>
      <c r="W947" t="s">
        <v>37</v>
      </c>
      <c r="X947">
        <v>81</v>
      </c>
      <c r="Y947">
        <v>0</v>
      </c>
      <c r="Z947">
        <f t="shared" si="84"/>
        <v>100</v>
      </c>
      <c r="AA947">
        <f t="shared" si="85"/>
        <v>1.4489795918367347</v>
      </c>
      <c r="AB947">
        <f t="shared" si="86"/>
        <v>0</v>
      </c>
      <c r="AC947" t="str">
        <f t="shared" si="87"/>
        <v>Low</v>
      </c>
      <c r="AD947" t="str">
        <f t="shared" si="88"/>
        <v>Upsell premium bundle</v>
      </c>
      <c r="AE947">
        <f t="shared" si="89"/>
        <v>0</v>
      </c>
    </row>
    <row r="948" spans="1:31" x14ac:dyDescent="0.35">
      <c r="A948" t="s">
        <v>1006</v>
      </c>
      <c r="B948" s="4">
        <v>46009</v>
      </c>
      <c r="C948" s="4">
        <v>46143</v>
      </c>
      <c r="D948" t="s">
        <v>47</v>
      </c>
      <c r="E948">
        <v>49</v>
      </c>
      <c r="F948" t="s">
        <v>43</v>
      </c>
      <c r="G948" t="s">
        <v>40</v>
      </c>
      <c r="H948" t="s">
        <v>44</v>
      </c>
      <c r="I948" t="s">
        <v>36</v>
      </c>
      <c r="J948">
        <v>4</v>
      </c>
      <c r="K948" s="5">
        <v>90.3</v>
      </c>
      <c r="L948" s="5">
        <v>107.31</v>
      </c>
      <c r="M948">
        <v>46</v>
      </c>
      <c r="N948">
        <v>13</v>
      </c>
      <c r="O948">
        <v>7</v>
      </c>
      <c r="P948">
        <v>5</v>
      </c>
      <c r="Q948">
        <v>16</v>
      </c>
      <c r="R948">
        <v>1</v>
      </c>
      <c r="S948">
        <v>0</v>
      </c>
      <c r="T948">
        <v>1</v>
      </c>
      <c r="U948">
        <v>0</v>
      </c>
      <c r="V948">
        <v>1</v>
      </c>
      <c r="W948" t="s">
        <v>50</v>
      </c>
      <c r="X948">
        <v>81</v>
      </c>
      <c r="Y948">
        <v>0</v>
      </c>
      <c r="Z948">
        <f t="shared" si="84"/>
        <v>97</v>
      </c>
      <c r="AA948">
        <f t="shared" si="85"/>
        <v>1.8235294117647058</v>
      </c>
      <c r="AB948">
        <f t="shared" si="86"/>
        <v>0</v>
      </c>
      <c r="AC948" t="str">
        <f t="shared" si="87"/>
        <v>Low</v>
      </c>
      <c r="AD948" t="str">
        <f t="shared" si="88"/>
        <v>Upsell premium bundle</v>
      </c>
      <c r="AE948">
        <f t="shared" si="89"/>
        <v>3</v>
      </c>
    </row>
    <row r="949" spans="1:31" x14ac:dyDescent="0.35">
      <c r="A949" t="s">
        <v>1007</v>
      </c>
      <c r="B949" s="4">
        <v>45180</v>
      </c>
      <c r="C949" s="4">
        <v>46143</v>
      </c>
      <c r="D949" t="s">
        <v>47</v>
      </c>
      <c r="E949">
        <v>37</v>
      </c>
      <c r="F949" t="s">
        <v>77</v>
      </c>
      <c r="G949" t="s">
        <v>40</v>
      </c>
      <c r="H949" t="s">
        <v>58</v>
      </c>
      <c r="I949" t="s">
        <v>36</v>
      </c>
      <c r="J949">
        <v>32</v>
      </c>
      <c r="K949" s="5">
        <v>8018.32</v>
      </c>
      <c r="L949" s="5">
        <v>5629.27</v>
      </c>
      <c r="M949">
        <v>26</v>
      </c>
      <c r="N949">
        <v>8</v>
      </c>
      <c r="O949">
        <v>2</v>
      </c>
      <c r="P949">
        <v>2</v>
      </c>
      <c r="Q949">
        <v>13</v>
      </c>
      <c r="R949">
        <v>1</v>
      </c>
      <c r="S949">
        <v>0</v>
      </c>
      <c r="T949">
        <v>0</v>
      </c>
      <c r="U949">
        <v>0</v>
      </c>
      <c r="V949">
        <v>0</v>
      </c>
      <c r="W949" t="s">
        <v>37</v>
      </c>
      <c r="X949">
        <v>87</v>
      </c>
      <c r="Y949">
        <v>0</v>
      </c>
      <c r="Z949">
        <f t="shared" si="84"/>
        <v>51</v>
      </c>
      <c r="AA949">
        <f t="shared" si="85"/>
        <v>0.62903225806451613</v>
      </c>
      <c r="AB949">
        <f t="shared" si="86"/>
        <v>0</v>
      </c>
      <c r="AC949" t="str">
        <f t="shared" si="87"/>
        <v>Low</v>
      </c>
      <c r="AD949" t="str">
        <f t="shared" si="88"/>
        <v>Upsell premium bundle</v>
      </c>
      <c r="AE949">
        <f t="shared" si="89"/>
        <v>49</v>
      </c>
    </row>
    <row r="950" spans="1:31" x14ac:dyDescent="0.35">
      <c r="A950" t="s">
        <v>1008</v>
      </c>
      <c r="B950" s="4">
        <v>45330</v>
      </c>
      <c r="C950" s="4">
        <v>46143</v>
      </c>
      <c r="D950" t="s">
        <v>47</v>
      </c>
      <c r="E950">
        <v>35</v>
      </c>
      <c r="F950" t="s">
        <v>33</v>
      </c>
      <c r="G950" t="s">
        <v>63</v>
      </c>
      <c r="H950" t="s">
        <v>41</v>
      </c>
      <c r="I950" t="s">
        <v>36</v>
      </c>
      <c r="J950">
        <v>27</v>
      </c>
      <c r="K950" s="5">
        <v>370.73</v>
      </c>
      <c r="L950" s="5">
        <v>284.68</v>
      </c>
      <c r="M950">
        <v>25</v>
      </c>
      <c r="N950">
        <v>18</v>
      </c>
      <c r="O950">
        <v>6</v>
      </c>
      <c r="P950">
        <v>4</v>
      </c>
      <c r="Q950">
        <v>20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37</v>
      </c>
      <c r="X950">
        <v>97</v>
      </c>
      <c r="Y950">
        <v>0</v>
      </c>
      <c r="Z950">
        <f t="shared" si="84"/>
        <v>71</v>
      </c>
      <c r="AA950">
        <f t="shared" si="85"/>
        <v>0.78947368421052633</v>
      </c>
      <c r="AB950">
        <f t="shared" si="86"/>
        <v>0</v>
      </c>
      <c r="AC950" t="str">
        <f t="shared" si="87"/>
        <v>Low</v>
      </c>
      <c r="AD950" t="str">
        <f t="shared" si="88"/>
        <v>Upsell premium bundle</v>
      </c>
      <c r="AE950">
        <f t="shared" si="89"/>
        <v>29</v>
      </c>
    </row>
    <row r="951" spans="1:31" x14ac:dyDescent="0.35">
      <c r="A951" t="s">
        <v>1009</v>
      </c>
      <c r="B951" s="4">
        <v>46027</v>
      </c>
      <c r="C951" s="4">
        <v>46143</v>
      </c>
      <c r="D951" t="s">
        <v>47</v>
      </c>
      <c r="E951">
        <v>54</v>
      </c>
      <c r="F951" t="s">
        <v>43</v>
      </c>
      <c r="G951" t="s">
        <v>48</v>
      </c>
      <c r="H951" t="s">
        <v>44</v>
      </c>
      <c r="I951" t="s">
        <v>36</v>
      </c>
      <c r="J951">
        <v>3</v>
      </c>
      <c r="K951" s="5">
        <v>0</v>
      </c>
      <c r="L951" s="5">
        <v>20.73</v>
      </c>
      <c r="M951">
        <v>39</v>
      </c>
      <c r="N951">
        <v>15</v>
      </c>
      <c r="O951">
        <v>3</v>
      </c>
      <c r="P951">
        <v>6</v>
      </c>
      <c r="Q951">
        <v>37</v>
      </c>
      <c r="R951">
        <v>1</v>
      </c>
      <c r="S951">
        <v>1</v>
      </c>
      <c r="T951">
        <v>0</v>
      </c>
      <c r="U951">
        <v>0</v>
      </c>
      <c r="V951">
        <v>1</v>
      </c>
      <c r="W951" t="s">
        <v>45</v>
      </c>
      <c r="X951">
        <v>29</v>
      </c>
      <c r="Y951">
        <v>0</v>
      </c>
      <c r="Z951">
        <f t="shared" si="84"/>
        <v>100</v>
      </c>
      <c r="AA951">
        <f t="shared" si="85"/>
        <v>2.3030303030303032</v>
      </c>
      <c r="AB951">
        <f t="shared" si="86"/>
        <v>0</v>
      </c>
      <c r="AC951" t="str">
        <f t="shared" si="87"/>
        <v>Low</v>
      </c>
      <c r="AD951" t="str">
        <f t="shared" si="88"/>
        <v>Upsell premium bundle</v>
      </c>
      <c r="AE951">
        <f t="shared" si="89"/>
        <v>0</v>
      </c>
    </row>
    <row r="952" spans="1:31" x14ac:dyDescent="0.35">
      <c r="A952" t="s">
        <v>1010</v>
      </c>
      <c r="B952" s="4">
        <v>45568</v>
      </c>
      <c r="C952" s="4">
        <v>46143</v>
      </c>
      <c r="D952" t="s">
        <v>32</v>
      </c>
      <c r="E952">
        <v>47</v>
      </c>
      <c r="F952" t="s">
        <v>33</v>
      </c>
      <c r="G952" t="s">
        <v>40</v>
      </c>
      <c r="H952" t="s">
        <v>41</v>
      </c>
      <c r="I952" t="s">
        <v>36</v>
      </c>
      <c r="J952">
        <v>19</v>
      </c>
      <c r="K952" s="5">
        <v>460.61</v>
      </c>
      <c r="L952" s="5">
        <v>0</v>
      </c>
      <c r="M952">
        <v>21</v>
      </c>
      <c r="N952">
        <v>6</v>
      </c>
      <c r="O952">
        <v>4</v>
      </c>
      <c r="P952">
        <v>3</v>
      </c>
      <c r="Q952">
        <v>15</v>
      </c>
      <c r="R952">
        <v>0</v>
      </c>
      <c r="S952">
        <v>0</v>
      </c>
      <c r="T952">
        <v>1</v>
      </c>
      <c r="U952">
        <v>1</v>
      </c>
      <c r="V952">
        <v>1</v>
      </c>
      <c r="W952" t="s">
        <v>37</v>
      </c>
      <c r="X952">
        <v>47</v>
      </c>
      <c r="Y952">
        <v>0</v>
      </c>
      <c r="Z952">
        <f t="shared" si="84"/>
        <v>65</v>
      </c>
      <c r="AA952">
        <f t="shared" si="85"/>
        <v>0.73469387755102045</v>
      </c>
      <c r="AB952">
        <f t="shared" si="86"/>
        <v>9</v>
      </c>
      <c r="AC952" t="str">
        <f t="shared" si="87"/>
        <v>Low</v>
      </c>
      <c r="AD952" t="str">
        <f t="shared" si="88"/>
        <v>Upsell premium bundle</v>
      </c>
      <c r="AE952">
        <f t="shared" si="89"/>
        <v>35</v>
      </c>
    </row>
    <row r="953" spans="1:31" x14ac:dyDescent="0.35">
      <c r="A953" t="s">
        <v>1011</v>
      </c>
      <c r="B953" s="4">
        <v>46073</v>
      </c>
      <c r="C953" s="4">
        <v>46143</v>
      </c>
      <c r="D953" t="s">
        <v>60</v>
      </c>
      <c r="E953">
        <v>64</v>
      </c>
      <c r="F953" t="s">
        <v>33</v>
      </c>
      <c r="G953" t="s">
        <v>85</v>
      </c>
      <c r="H953" t="s">
        <v>41</v>
      </c>
      <c r="I953" t="s">
        <v>36</v>
      </c>
      <c r="J953">
        <v>2</v>
      </c>
      <c r="K953" s="5">
        <v>166.27</v>
      </c>
      <c r="L953" s="5">
        <v>485.79</v>
      </c>
      <c r="M953">
        <v>22</v>
      </c>
      <c r="N953">
        <v>8</v>
      </c>
      <c r="O953">
        <v>2</v>
      </c>
      <c r="P953">
        <v>0</v>
      </c>
      <c r="Q953">
        <v>17</v>
      </c>
      <c r="R953">
        <v>1</v>
      </c>
      <c r="S953">
        <v>0</v>
      </c>
      <c r="T953">
        <v>1</v>
      </c>
      <c r="U953">
        <v>0</v>
      </c>
      <c r="V953">
        <v>1</v>
      </c>
      <c r="W953" t="s">
        <v>50</v>
      </c>
      <c r="X953">
        <v>-10</v>
      </c>
      <c r="Y953">
        <v>1</v>
      </c>
      <c r="Z953">
        <f t="shared" si="84"/>
        <v>55</v>
      </c>
      <c r="AA953">
        <f t="shared" si="85"/>
        <v>1.21875</v>
      </c>
      <c r="AB953">
        <f t="shared" si="86"/>
        <v>40</v>
      </c>
      <c r="AC953" t="str">
        <f t="shared" si="87"/>
        <v>Medium</v>
      </c>
      <c r="AD953" t="str">
        <f t="shared" si="88"/>
        <v>Nudge core feature adoption</v>
      </c>
      <c r="AE953">
        <f t="shared" si="89"/>
        <v>45</v>
      </c>
    </row>
    <row r="954" spans="1:31" x14ac:dyDescent="0.35">
      <c r="A954" t="s">
        <v>1012</v>
      </c>
      <c r="B954" s="4">
        <v>44906</v>
      </c>
      <c r="C954" s="4">
        <v>46143</v>
      </c>
      <c r="D954" t="s">
        <v>32</v>
      </c>
      <c r="E954">
        <v>49</v>
      </c>
      <c r="F954" t="s">
        <v>43</v>
      </c>
      <c r="G954" t="s">
        <v>34</v>
      </c>
      <c r="H954" t="s">
        <v>58</v>
      </c>
      <c r="I954" t="s">
        <v>49</v>
      </c>
      <c r="J954">
        <v>41</v>
      </c>
      <c r="K954" s="5">
        <v>141.24</v>
      </c>
      <c r="L954" s="5">
        <v>0</v>
      </c>
      <c r="M954">
        <v>48</v>
      </c>
      <c r="N954">
        <v>29</v>
      </c>
      <c r="O954">
        <v>13</v>
      </c>
      <c r="P954">
        <v>2</v>
      </c>
      <c r="Q954">
        <v>32</v>
      </c>
      <c r="R954">
        <v>0</v>
      </c>
      <c r="S954">
        <v>1</v>
      </c>
      <c r="T954">
        <v>0</v>
      </c>
      <c r="U954">
        <v>1</v>
      </c>
      <c r="V954">
        <v>1</v>
      </c>
      <c r="W954" t="s">
        <v>52</v>
      </c>
      <c r="X954">
        <v>73</v>
      </c>
      <c r="Y954">
        <v>0</v>
      </c>
      <c r="Z954">
        <f t="shared" si="84"/>
        <v>100</v>
      </c>
      <c r="AA954">
        <f t="shared" si="85"/>
        <v>1.1267605633802817</v>
      </c>
      <c r="AB954">
        <f t="shared" si="86"/>
        <v>0</v>
      </c>
      <c r="AC954" t="str">
        <f t="shared" si="87"/>
        <v>Low</v>
      </c>
      <c r="AD954" t="str">
        <f t="shared" si="88"/>
        <v>Upsell premium bundle</v>
      </c>
      <c r="AE954">
        <f t="shared" si="89"/>
        <v>0</v>
      </c>
    </row>
    <row r="955" spans="1:31" x14ac:dyDescent="0.35">
      <c r="A955" t="s">
        <v>1013</v>
      </c>
      <c r="B955" s="4">
        <v>44773</v>
      </c>
      <c r="C955" s="4">
        <v>46143</v>
      </c>
      <c r="D955" t="s">
        <v>60</v>
      </c>
      <c r="E955">
        <v>60</v>
      </c>
      <c r="F955" t="s">
        <v>33</v>
      </c>
      <c r="G955" t="s">
        <v>85</v>
      </c>
      <c r="H955" t="s">
        <v>41</v>
      </c>
      <c r="I955" t="s">
        <v>36</v>
      </c>
      <c r="J955">
        <v>45</v>
      </c>
      <c r="K955" s="5">
        <v>64.260000000000005</v>
      </c>
      <c r="L955" s="5">
        <v>0</v>
      </c>
      <c r="M955">
        <v>7</v>
      </c>
      <c r="N955">
        <v>2</v>
      </c>
      <c r="O955">
        <v>1</v>
      </c>
      <c r="P955">
        <v>0</v>
      </c>
      <c r="Q955">
        <v>12</v>
      </c>
      <c r="R955">
        <v>1</v>
      </c>
      <c r="S955">
        <v>1</v>
      </c>
      <c r="T955">
        <v>0</v>
      </c>
      <c r="U955">
        <v>0</v>
      </c>
      <c r="V955">
        <v>1</v>
      </c>
      <c r="W955" t="s">
        <v>50</v>
      </c>
      <c r="X955">
        <v>43</v>
      </c>
      <c r="Y955">
        <v>1</v>
      </c>
      <c r="Z955">
        <f t="shared" si="84"/>
        <v>28</v>
      </c>
      <c r="AA955">
        <f t="shared" si="85"/>
        <v>0.25333333333333335</v>
      </c>
      <c r="AB955">
        <f t="shared" si="86"/>
        <v>32</v>
      </c>
      <c r="AC955" t="str">
        <f t="shared" si="87"/>
        <v>Low</v>
      </c>
      <c r="AD955" t="str">
        <f t="shared" si="88"/>
        <v>Upsell premium bundle</v>
      </c>
      <c r="AE955">
        <f t="shared" si="89"/>
        <v>72</v>
      </c>
    </row>
    <row r="956" spans="1:31" x14ac:dyDescent="0.35">
      <c r="A956" t="s">
        <v>1014</v>
      </c>
      <c r="B956" s="4">
        <v>45352</v>
      </c>
      <c r="C956" s="4">
        <v>46143</v>
      </c>
      <c r="D956" t="s">
        <v>66</v>
      </c>
      <c r="E956">
        <v>52</v>
      </c>
      <c r="F956" t="s">
        <v>57</v>
      </c>
      <c r="G956" t="s">
        <v>48</v>
      </c>
      <c r="H956" t="s">
        <v>41</v>
      </c>
      <c r="I956" t="s">
        <v>36</v>
      </c>
      <c r="J956">
        <v>26</v>
      </c>
      <c r="K956" s="5">
        <v>883.81</v>
      </c>
      <c r="L956" s="5">
        <v>664.41</v>
      </c>
      <c r="M956">
        <v>22</v>
      </c>
      <c r="N956">
        <v>8</v>
      </c>
      <c r="O956">
        <v>1</v>
      </c>
      <c r="P956">
        <v>4</v>
      </c>
      <c r="Q956">
        <v>23</v>
      </c>
      <c r="R956">
        <v>3</v>
      </c>
      <c r="S956">
        <v>0</v>
      </c>
      <c r="T956">
        <v>1</v>
      </c>
      <c r="U956">
        <v>0</v>
      </c>
      <c r="V956">
        <v>0</v>
      </c>
      <c r="W956" t="s">
        <v>55</v>
      </c>
      <c r="X956">
        <v>-21</v>
      </c>
      <c r="Y956">
        <v>1</v>
      </c>
      <c r="Z956">
        <f t="shared" si="84"/>
        <v>57</v>
      </c>
      <c r="AA956">
        <f t="shared" si="85"/>
        <v>0.8035714285714286</v>
      </c>
      <c r="AB956">
        <f t="shared" si="86"/>
        <v>41</v>
      </c>
      <c r="AC956" t="str">
        <f t="shared" si="87"/>
        <v>Medium</v>
      </c>
      <c r="AD956" t="str">
        <f t="shared" si="88"/>
        <v>Nudge core feature adoption</v>
      </c>
      <c r="AE956">
        <f t="shared" si="89"/>
        <v>43</v>
      </c>
    </row>
    <row r="957" spans="1:31" x14ac:dyDescent="0.35">
      <c r="A957" t="s">
        <v>1015</v>
      </c>
      <c r="B957" s="4">
        <v>45798</v>
      </c>
      <c r="C957" s="4">
        <v>46143</v>
      </c>
      <c r="D957" t="s">
        <v>32</v>
      </c>
      <c r="E957">
        <v>58</v>
      </c>
      <c r="F957" t="s">
        <v>57</v>
      </c>
      <c r="G957" t="s">
        <v>48</v>
      </c>
      <c r="H957" t="s">
        <v>41</v>
      </c>
      <c r="I957" t="s">
        <v>36</v>
      </c>
      <c r="J957">
        <v>11</v>
      </c>
      <c r="K957" s="5">
        <v>403.63</v>
      </c>
      <c r="L957" s="5">
        <v>442.47</v>
      </c>
      <c r="M957">
        <v>29</v>
      </c>
      <c r="N957">
        <v>19</v>
      </c>
      <c r="O957">
        <v>4</v>
      </c>
      <c r="P957">
        <v>2</v>
      </c>
      <c r="Q957">
        <v>31</v>
      </c>
      <c r="R957">
        <v>3</v>
      </c>
      <c r="S957">
        <v>2</v>
      </c>
      <c r="T957">
        <v>1</v>
      </c>
      <c r="U957">
        <v>0</v>
      </c>
      <c r="V957">
        <v>1</v>
      </c>
      <c r="W957" t="s">
        <v>50</v>
      </c>
      <c r="X957">
        <v>-23</v>
      </c>
      <c r="Y957">
        <v>0</v>
      </c>
      <c r="Z957">
        <f t="shared" si="84"/>
        <v>88</v>
      </c>
      <c r="AA957">
        <f t="shared" si="85"/>
        <v>1.4634146341463414</v>
      </c>
      <c r="AB957">
        <f t="shared" si="86"/>
        <v>46</v>
      </c>
      <c r="AC957" t="str">
        <f t="shared" si="87"/>
        <v>Medium</v>
      </c>
      <c r="AD957" t="str">
        <f t="shared" si="88"/>
        <v>Nudge core feature adoption</v>
      </c>
      <c r="AE957">
        <f t="shared" si="89"/>
        <v>12</v>
      </c>
    </row>
    <row r="958" spans="1:31" x14ac:dyDescent="0.35">
      <c r="A958" t="s">
        <v>1016</v>
      </c>
      <c r="B958" s="4">
        <v>45456</v>
      </c>
      <c r="C958" s="4">
        <v>46143</v>
      </c>
      <c r="D958" t="s">
        <v>72</v>
      </c>
      <c r="E958">
        <v>62</v>
      </c>
      <c r="F958" t="s">
        <v>61</v>
      </c>
      <c r="G958" t="s">
        <v>67</v>
      </c>
      <c r="H958" t="s">
        <v>41</v>
      </c>
      <c r="I958" t="s">
        <v>36</v>
      </c>
      <c r="J958">
        <v>22</v>
      </c>
      <c r="K958" s="5">
        <v>8513.93</v>
      </c>
      <c r="L958" s="5">
        <v>1879.62</v>
      </c>
      <c r="M958">
        <v>33</v>
      </c>
      <c r="N958">
        <v>14</v>
      </c>
      <c r="O958">
        <v>2</v>
      </c>
      <c r="P958">
        <v>3</v>
      </c>
      <c r="Q958">
        <v>11</v>
      </c>
      <c r="R958">
        <v>0</v>
      </c>
      <c r="S958">
        <v>0</v>
      </c>
      <c r="T958">
        <v>1</v>
      </c>
      <c r="U958">
        <v>1</v>
      </c>
      <c r="V958">
        <v>1</v>
      </c>
      <c r="W958" t="s">
        <v>52</v>
      </c>
      <c r="X958">
        <v>30</v>
      </c>
      <c r="Y958">
        <v>0</v>
      </c>
      <c r="Z958">
        <f t="shared" si="84"/>
        <v>78</v>
      </c>
      <c r="AA958">
        <f t="shared" si="85"/>
        <v>0.84615384615384615</v>
      </c>
      <c r="AB958">
        <f t="shared" si="86"/>
        <v>2</v>
      </c>
      <c r="AC958" t="str">
        <f t="shared" si="87"/>
        <v>Low</v>
      </c>
      <c r="AD958" t="str">
        <f t="shared" si="88"/>
        <v>Upsell premium bundle</v>
      </c>
      <c r="AE958">
        <f t="shared" si="89"/>
        <v>22</v>
      </c>
    </row>
    <row r="959" spans="1:31" x14ac:dyDescent="0.35">
      <c r="A959" t="s">
        <v>1017</v>
      </c>
      <c r="B959" s="4">
        <v>45705</v>
      </c>
      <c r="C959" s="4">
        <v>46143</v>
      </c>
      <c r="D959" t="s">
        <v>72</v>
      </c>
      <c r="E959">
        <v>52</v>
      </c>
      <c r="F959" t="s">
        <v>61</v>
      </c>
      <c r="G959" t="s">
        <v>40</v>
      </c>
      <c r="H959" t="s">
        <v>35</v>
      </c>
      <c r="I959" t="s">
        <v>49</v>
      </c>
      <c r="J959">
        <v>14</v>
      </c>
      <c r="K959" s="5">
        <v>5305.78</v>
      </c>
      <c r="L959" s="5">
        <v>3062.01</v>
      </c>
      <c r="M959">
        <v>20</v>
      </c>
      <c r="N959">
        <v>13</v>
      </c>
      <c r="O959">
        <v>2</v>
      </c>
      <c r="P959">
        <v>1</v>
      </c>
      <c r="Q959">
        <v>20</v>
      </c>
      <c r="R959">
        <v>6</v>
      </c>
      <c r="S959">
        <v>2</v>
      </c>
      <c r="T959">
        <v>0</v>
      </c>
      <c r="U959">
        <v>0</v>
      </c>
      <c r="V959">
        <v>0</v>
      </c>
      <c r="W959" t="s">
        <v>50</v>
      </c>
      <c r="X959">
        <v>36</v>
      </c>
      <c r="Y959">
        <v>1</v>
      </c>
      <c r="Z959">
        <f t="shared" si="84"/>
        <v>53</v>
      </c>
      <c r="AA959">
        <f t="shared" si="85"/>
        <v>0.90909090909090906</v>
      </c>
      <c r="AB959">
        <f t="shared" si="86"/>
        <v>22</v>
      </c>
      <c r="AC959" t="str">
        <f t="shared" si="87"/>
        <v>Low</v>
      </c>
      <c r="AD959" t="str">
        <f t="shared" si="88"/>
        <v>Upsell premium bundle</v>
      </c>
      <c r="AE959">
        <f t="shared" si="89"/>
        <v>47</v>
      </c>
    </row>
    <row r="960" spans="1:31" x14ac:dyDescent="0.35">
      <c r="A960" t="s">
        <v>1018</v>
      </c>
      <c r="B960" s="4">
        <v>45159</v>
      </c>
      <c r="C960" s="4">
        <v>46143</v>
      </c>
      <c r="D960" t="s">
        <v>66</v>
      </c>
      <c r="E960">
        <v>47</v>
      </c>
      <c r="F960" t="s">
        <v>43</v>
      </c>
      <c r="G960" t="s">
        <v>34</v>
      </c>
      <c r="H960" t="s">
        <v>41</v>
      </c>
      <c r="I960" t="s">
        <v>36</v>
      </c>
      <c r="J960">
        <v>32</v>
      </c>
      <c r="K960" s="5">
        <v>84.79</v>
      </c>
      <c r="L960" s="5">
        <v>127.24</v>
      </c>
      <c r="M960">
        <v>30</v>
      </c>
      <c r="N960">
        <v>11</v>
      </c>
      <c r="O960">
        <v>8</v>
      </c>
      <c r="P960">
        <v>1</v>
      </c>
      <c r="Q960">
        <v>28</v>
      </c>
      <c r="R960">
        <v>2</v>
      </c>
      <c r="S960">
        <v>1</v>
      </c>
      <c r="T960">
        <v>1</v>
      </c>
      <c r="U960">
        <v>0</v>
      </c>
      <c r="V960">
        <v>0</v>
      </c>
      <c r="W960" t="s">
        <v>45</v>
      </c>
      <c r="X960">
        <v>-5</v>
      </c>
      <c r="Y960">
        <v>1</v>
      </c>
      <c r="Z960">
        <f t="shared" si="84"/>
        <v>77</v>
      </c>
      <c r="AA960">
        <f t="shared" si="85"/>
        <v>0.93548387096774188</v>
      </c>
      <c r="AB960">
        <f t="shared" si="86"/>
        <v>35</v>
      </c>
      <c r="AC960" t="str">
        <f t="shared" si="87"/>
        <v>Low</v>
      </c>
      <c r="AD960" t="str">
        <f t="shared" si="88"/>
        <v>Upsell premium bundle</v>
      </c>
      <c r="AE960">
        <f t="shared" si="89"/>
        <v>23</v>
      </c>
    </row>
    <row r="961" spans="1:31" x14ac:dyDescent="0.35">
      <c r="A961" t="s">
        <v>1019</v>
      </c>
      <c r="B961" s="4">
        <v>44716</v>
      </c>
      <c r="C961" s="4">
        <v>46143</v>
      </c>
      <c r="D961" t="s">
        <v>39</v>
      </c>
      <c r="E961">
        <v>35</v>
      </c>
      <c r="F961" t="s">
        <v>61</v>
      </c>
      <c r="G961" t="s">
        <v>48</v>
      </c>
      <c r="H961" t="s">
        <v>41</v>
      </c>
      <c r="I961" t="s">
        <v>36</v>
      </c>
      <c r="J961">
        <v>47</v>
      </c>
      <c r="K961" s="5">
        <v>2585.1999999999998</v>
      </c>
      <c r="L961" s="5">
        <v>4715.82</v>
      </c>
      <c r="M961">
        <v>14</v>
      </c>
      <c r="N961">
        <v>5</v>
      </c>
      <c r="O961">
        <v>1</v>
      </c>
      <c r="P961">
        <v>1</v>
      </c>
      <c r="Q961">
        <v>18</v>
      </c>
      <c r="R961">
        <v>3</v>
      </c>
      <c r="S961">
        <v>1</v>
      </c>
      <c r="T961">
        <v>1</v>
      </c>
      <c r="U961">
        <v>0</v>
      </c>
      <c r="V961">
        <v>0</v>
      </c>
      <c r="W961" t="s">
        <v>52</v>
      </c>
      <c r="X961">
        <v>12</v>
      </c>
      <c r="Y961">
        <v>1</v>
      </c>
      <c r="Z961">
        <f t="shared" si="84"/>
        <v>38</v>
      </c>
      <c r="AA961">
        <f t="shared" si="85"/>
        <v>0.41558441558441561</v>
      </c>
      <c r="AB961">
        <f t="shared" si="86"/>
        <v>30</v>
      </c>
      <c r="AC961" t="str">
        <f t="shared" si="87"/>
        <v>Low</v>
      </c>
      <c r="AD961" t="str">
        <f t="shared" si="88"/>
        <v>Upsell premium bundle</v>
      </c>
      <c r="AE961">
        <f t="shared" si="89"/>
        <v>62</v>
      </c>
    </row>
    <row r="962" spans="1:31" x14ac:dyDescent="0.35">
      <c r="A962" t="s">
        <v>1020</v>
      </c>
      <c r="B962" s="4">
        <v>45314</v>
      </c>
      <c r="C962" s="4">
        <v>46143</v>
      </c>
      <c r="D962" t="s">
        <v>47</v>
      </c>
      <c r="E962">
        <v>61</v>
      </c>
      <c r="F962" t="s">
        <v>43</v>
      </c>
      <c r="G962" t="s">
        <v>63</v>
      </c>
      <c r="H962" t="s">
        <v>44</v>
      </c>
      <c r="I962" t="s">
        <v>36</v>
      </c>
      <c r="J962">
        <v>27</v>
      </c>
      <c r="K962" s="5">
        <v>114.8</v>
      </c>
      <c r="L962" s="5">
        <v>63.81</v>
      </c>
      <c r="M962">
        <v>26</v>
      </c>
      <c r="N962">
        <v>10</v>
      </c>
      <c r="O962">
        <v>1</v>
      </c>
      <c r="P962">
        <v>2</v>
      </c>
      <c r="Q962">
        <v>20</v>
      </c>
      <c r="R962">
        <v>1</v>
      </c>
      <c r="S962">
        <v>3</v>
      </c>
      <c r="T962">
        <v>1</v>
      </c>
      <c r="U962">
        <v>0</v>
      </c>
      <c r="V962">
        <v>0</v>
      </c>
      <c r="W962" t="s">
        <v>55</v>
      </c>
      <c r="X962">
        <v>31</v>
      </c>
      <c r="Y962">
        <v>0</v>
      </c>
      <c r="Z962">
        <f t="shared" ref="Z962:Z1025" si="90">MIN(100,ROUND((M962*1.1+N962*0.7+O962*1.2+P962*1.4+Q962*0.9+U962*8+V962*7),0))</f>
        <v>58</v>
      </c>
      <c r="AA962">
        <f t="shared" ref="AA962:AA1025" si="91">IFERROR((M962+Q962)/(30+J962),0)</f>
        <v>0.80701754385964908</v>
      </c>
      <c r="AB962">
        <f t="shared" ref="AB962:AB1025" si="92">ROUND(MIN(100,MAX(0,60-Z962*0.4-R962*1.5+S962*8-IF(L962&gt;1500,10,0)-X962*0.5+IF(I962="Completed",-8,8)+IF(H962="Free",6,-4))),0)</f>
        <v>32</v>
      </c>
      <c r="AC962" t="str">
        <f t="shared" ref="AC962:AC1025" si="93">IF(AB962&gt;=70,"High",IF(AB962&gt;=40,"Medium","Low"))</f>
        <v>Low</v>
      </c>
      <c r="AD962" t="str">
        <f t="shared" ref="AD962:AD1025" si="94">IF(AC962="High",IF(Q962&lt;5,"Re-engage with app usage offer",IF(K962&lt;100,"Deposit incentive","Retention call")),IF(AC962="Medium","Nudge core feature adoption","Upsell premium bundle"))</f>
        <v>Upsell premium bundle</v>
      </c>
      <c r="AE962">
        <f t="shared" ref="AE962:AE1025" si="95">100-Z962</f>
        <v>42</v>
      </c>
    </row>
    <row r="963" spans="1:31" x14ac:dyDescent="0.35">
      <c r="A963" t="s">
        <v>1021</v>
      </c>
      <c r="B963" s="4">
        <v>45916</v>
      </c>
      <c r="C963" s="4">
        <v>46143</v>
      </c>
      <c r="D963" t="s">
        <v>60</v>
      </c>
      <c r="E963">
        <v>21</v>
      </c>
      <c r="F963" t="s">
        <v>33</v>
      </c>
      <c r="G963" t="s">
        <v>63</v>
      </c>
      <c r="H963" t="s">
        <v>44</v>
      </c>
      <c r="I963" t="s">
        <v>36</v>
      </c>
      <c r="J963">
        <v>7</v>
      </c>
      <c r="K963" s="5">
        <v>157.91</v>
      </c>
      <c r="L963" s="5">
        <v>120.23</v>
      </c>
      <c r="M963">
        <v>43</v>
      </c>
      <c r="N963">
        <v>28</v>
      </c>
      <c r="O963">
        <v>12</v>
      </c>
      <c r="P963">
        <v>9</v>
      </c>
      <c r="Q963">
        <v>19</v>
      </c>
      <c r="R963">
        <v>0</v>
      </c>
      <c r="S963">
        <v>0</v>
      </c>
      <c r="T963">
        <v>0</v>
      </c>
      <c r="U963">
        <v>1</v>
      </c>
      <c r="V963">
        <v>0</v>
      </c>
      <c r="W963" t="s">
        <v>45</v>
      </c>
      <c r="X963">
        <v>53</v>
      </c>
      <c r="Y963">
        <v>0</v>
      </c>
      <c r="Z963">
        <f t="shared" si="90"/>
        <v>100</v>
      </c>
      <c r="AA963">
        <f t="shared" si="91"/>
        <v>1.6756756756756757</v>
      </c>
      <c r="AB963">
        <f t="shared" si="92"/>
        <v>0</v>
      </c>
      <c r="AC963" t="str">
        <f t="shared" si="93"/>
        <v>Low</v>
      </c>
      <c r="AD963" t="str">
        <f t="shared" si="94"/>
        <v>Upsell premium bundle</v>
      </c>
      <c r="AE963">
        <f t="shared" si="95"/>
        <v>0</v>
      </c>
    </row>
    <row r="964" spans="1:31" x14ac:dyDescent="0.35">
      <c r="A964" t="s">
        <v>1022</v>
      </c>
      <c r="B964" s="4">
        <v>45488</v>
      </c>
      <c r="C964" s="4">
        <v>46143</v>
      </c>
      <c r="D964" t="s">
        <v>60</v>
      </c>
      <c r="E964">
        <v>25</v>
      </c>
      <c r="F964" t="s">
        <v>43</v>
      </c>
      <c r="G964" t="s">
        <v>48</v>
      </c>
      <c r="H964" t="s">
        <v>41</v>
      </c>
      <c r="I964" t="s">
        <v>36</v>
      </c>
      <c r="J964">
        <v>21</v>
      </c>
      <c r="K964" s="5">
        <v>93.51</v>
      </c>
      <c r="L964" s="5">
        <v>76.75</v>
      </c>
      <c r="M964">
        <v>4</v>
      </c>
      <c r="N964">
        <v>1</v>
      </c>
      <c r="O964">
        <v>0</v>
      </c>
      <c r="P964">
        <v>0</v>
      </c>
      <c r="Q964">
        <v>21</v>
      </c>
      <c r="R964">
        <v>0</v>
      </c>
      <c r="S964">
        <v>1</v>
      </c>
      <c r="T964">
        <v>1</v>
      </c>
      <c r="U964">
        <v>0</v>
      </c>
      <c r="V964">
        <v>0</v>
      </c>
      <c r="W964" t="s">
        <v>52</v>
      </c>
      <c r="X964">
        <v>33</v>
      </c>
      <c r="Y964">
        <v>0</v>
      </c>
      <c r="Z964">
        <f t="shared" si="90"/>
        <v>24</v>
      </c>
      <c r="AA964">
        <f t="shared" si="91"/>
        <v>0.49019607843137253</v>
      </c>
      <c r="AB964">
        <f t="shared" si="92"/>
        <v>40</v>
      </c>
      <c r="AC964" t="str">
        <f t="shared" si="93"/>
        <v>Medium</v>
      </c>
      <c r="AD964" t="str">
        <f t="shared" si="94"/>
        <v>Nudge core feature adoption</v>
      </c>
      <c r="AE964">
        <f t="shared" si="95"/>
        <v>76</v>
      </c>
    </row>
    <row r="965" spans="1:31" x14ac:dyDescent="0.35">
      <c r="A965" t="s">
        <v>1023</v>
      </c>
      <c r="B965" s="4">
        <v>44987</v>
      </c>
      <c r="C965" s="4">
        <v>46143</v>
      </c>
      <c r="D965" t="s">
        <v>32</v>
      </c>
      <c r="E965">
        <v>18</v>
      </c>
      <c r="F965" t="s">
        <v>77</v>
      </c>
      <c r="G965" t="s">
        <v>85</v>
      </c>
      <c r="H965" t="s">
        <v>41</v>
      </c>
      <c r="I965" t="s">
        <v>36</v>
      </c>
      <c r="J965">
        <v>38</v>
      </c>
      <c r="K965" s="5">
        <v>7240.85</v>
      </c>
      <c r="L965" s="5">
        <v>6931.64</v>
      </c>
      <c r="M965">
        <v>36</v>
      </c>
      <c r="N965">
        <v>20</v>
      </c>
      <c r="O965">
        <v>4</v>
      </c>
      <c r="P965">
        <v>5</v>
      </c>
      <c r="Q965">
        <v>18</v>
      </c>
      <c r="R965">
        <v>2</v>
      </c>
      <c r="S965">
        <v>1</v>
      </c>
      <c r="T965">
        <v>1</v>
      </c>
      <c r="U965">
        <v>0</v>
      </c>
      <c r="V965">
        <v>0</v>
      </c>
      <c r="W965" t="s">
        <v>50</v>
      </c>
      <c r="X965">
        <v>36</v>
      </c>
      <c r="Y965">
        <v>0</v>
      </c>
      <c r="Z965">
        <f t="shared" si="90"/>
        <v>82</v>
      </c>
      <c r="AA965">
        <f t="shared" si="91"/>
        <v>0.79411764705882348</v>
      </c>
      <c r="AB965">
        <f t="shared" si="92"/>
        <v>2</v>
      </c>
      <c r="AC965" t="str">
        <f t="shared" si="93"/>
        <v>Low</v>
      </c>
      <c r="AD965" t="str">
        <f t="shared" si="94"/>
        <v>Upsell premium bundle</v>
      </c>
      <c r="AE965">
        <f t="shared" si="95"/>
        <v>18</v>
      </c>
    </row>
    <row r="966" spans="1:31" x14ac:dyDescent="0.35">
      <c r="A966" t="s">
        <v>1024</v>
      </c>
      <c r="B966" s="4">
        <v>45843</v>
      </c>
      <c r="C966" s="4">
        <v>46143</v>
      </c>
      <c r="D966" t="s">
        <v>72</v>
      </c>
      <c r="E966">
        <v>25</v>
      </c>
      <c r="F966" t="s">
        <v>33</v>
      </c>
      <c r="G966" t="s">
        <v>40</v>
      </c>
      <c r="H966" t="s">
        <v>58</v>
      </c>
      <c r="I966" t="s">
        <v>36</v>
      </c>
      <c r="J966">
        <v>10</v>
      </c>
      <c r="K966" s="5">
        <v>639.51</v>
      </c>
      <c r="L966" s="5">
        <v>365.37</v>
      </c>
      <c r="M966">
        <v>43</v>
      </c>
      <c r="N966">
        <v>15</v>
      </c>
      <c r="O966">
        <v>5</v>
      </c>
      <c r="P966">
        <v>7</v>
      </c>
      <c r="Q966">
        <v>28</v>
      </c>
      <c r="R966">
        <v>2</v>
      </c>
      <c r="S966">
        <v>0</v>
      </c>
      <c r="T966">
        <v>1</v>
      </c>
      <c r="U966">
        <v>0</v>
      </c>
      <c r="V966">
        <v>1</v>
      </c>
      <c r="W966" t="s">
        <v>37</v>
      </c>
      <c r="X966">
        <v>49</v>
      </c>
      <c r="Y966">
        <v>0</v>
      </c>
      <c r="Z966">
        <f t="shared" si="90"/>
        <v>100</v>
      </c>
      <c r="AA966">
        <f t="shared" si="91"/>
        <v>1.7749999999999999</v>
      </c>
      <c r="AB966">
        <f t="shared" si="92"/>
        <v>0</v>
      </c>
      <c r="AC966" t="str">
        <f t="shared" si="93"/>
        <v>Low</v>
      </c>
      <c r="AD966" t="str">
        <f t="shared" si="94"/>
        <v>Upsell premium bundle</v>
      </c>
      <c r="AE966">
        <f t="shared" si="95"/>
        <v>0</v>
      </c>
    </row>
    <row r="967" spans="1:31" x14ac:dyDescent="0.35">
      <c r="A967" t="s">
        <v>1025</v>
      </c>
      <c r="B967" s="4">
        <v>46065</v>
      </c>
      <c r="C967" s="4">
        <v>46143</v>
      </c>
      <c r="D967" t="s">
        <v>60</v>
      </c>
      <c r="E967">
        <v>62</v>
      </c>
      <c r="F967" t="s">
        <v>33</v>
      </c>
      <c r="G967" t="s">
        <v>63</v>
      </c>
      <c r="H967" t="s">
        <v>41</v>
      </c>
      <c r="I967" t="s">
        <v>49</v>
      </c>
      <c r="J967">
        <v>2</v>
      </c>
      <c r="K967" s="5">
        <v>527.12</v>
      </c>
      <c r="L967" s="5">
        <v>277.73</v>
      </c>
      <c r="M967">
        <v>10</v>
      </c>
      <c r="N967">
        <v>5</v>
      </c>
      <c r="O967">
        <v>2</v>
      </c>
      <c r="P967">
        <v>1</v>
      </c>
      <c r="Q967">
        <v>9</v>
      </c>
      <c r="R967">
        <v>4</v>
      </c>
      <c r="S967">
        <v>0</v>
      </c>
      <c r="T967">
        <v>1</v>
      </c>
      <c r="U967">
        <v>0</v>
      </c>
      <c r="V967">
        <v>0</v>
      </c>
      <c r="W967" t="s">
        <v>55</v>
      </c>
      <c r="X967">
        <v>57</v>
      </c>
      <c r="Y967">
        <v>1</v>
      </c>
      <c r="Z967">
        <f t="shared" si="90"/>
        <v>26</v>
      </c>
      <c r="AA967">
        <f t="shared" si="91"/>
        <v>0.59375</v>
      </c>
      <c r="AB967">
        <f t="shared" si="92"/>
        <v>29</v>
      </c>
      <c r="AC967" t="str">
        <f t="shared" si="93"/>
        <v>Low</v>
      </c>
      <c r="AD967" t="str">
        <f t="shared" si="94"/>
        <v>Upsell premium bundle</v>
      </c>
      <c r="AE967">
        <f t="shared" si="95"/>
        <v>74</v>
      </c>
    </row>
    <row r="968" spans="1:31" x14ac:dyDescent="0.35">
      <c r="A968" t="s">
        <v>1026</v>
      </c>
      <c r="B968" s="4">
        <v>46000</v>
      </c>
      <c r="C968" s="4">
        <v>46143</v>
      </c>
      <c r="D968" t="s">
        <v>66</v>
      </c>
      <c r="E968">
        <v>70</v>
      </c>
      <c r="F968" t="s">
        <v>33</v>
      </c>
      <c r="G968" t="s">
        <v>85</v>
      </c>
      <c r="H968" t="s">
        <v>41</v>
      </c>
      <c r="I968" t="s">
        <v>36</v>
      </c>
      <c r="J968">
        <v>4</v>
      </c>
      <c r="K968" s="5">
        <v>457.01</v>
      </c>
      <c r="L968" s="5">
        <v>0.28000000000000003</v>
      </c>
      <c r="M968">
        <v>15</v>
      </c>
      <c r="N968">
        <v>5</v>
      </c>
      <c r="O968">
        <v>2</v>
      </c>
      <c r="P968">
        <v>1</v>
      </c>
      <c r="Q968">
        <v>11</v>
      </c>
      <c r="R968">
        <v>1</v>
      </c>
      <c r="S968">
        <v>2</v>
      </c>
      <c r="T968">
        <v>1</v>
      </c>
      <c r="U968">
        <v>0</v>
      </c>
      <c r="V968">
        <v>0</v>
      </c>
      <c r="W968" t="s">
        <v>37</v>
      </c>
      <c r="X968">
        <v>26</v>
      </c>
      <c r="Y968">
        <v>1</v>
      </c>
      <c r="Z968">
        <f t="shared" si="90"/>
        <v>34</v>
      </c>
      <c r="AA968">
        <f t="shared" si="91"/>
        <v>0.76470588235294112</v>
      </c>
      <c r="AB968">
        <f t="shared" si="92"/>
        <v>46</v>
      </c>
      <c r="AC968" t="str">
        <f t="shared" si="93"/>
        <v>Medium</v>
      </c>
      <c r="AD968" t="str">
        <f t="shared" si="94"/>
        <v>Nudge core feature adoption</v>
      </c>
      <c r="AE968">
        <f t="shared" si="95"/>
        <v>66</v>
      </c>
    </row>
    <row r="969" spans="1:31" x14ac:dyDescent="0.35">
      <c r="A969" t="s">
        <v>1027</v>
      </c>
      <c r="B969" s="4">
        <v>45840</v>
      </c>
      <c r="C969" s="4">
        <v>46143</v>
      </c>
      <c r="D969" t="s">
        <v>72</v>
      </c>
      <c r="E969">
        <v>29</v>
      </c>
      <c r="F969" t="s">
        <v>33</v>
      </c>
      <c r="G969" t="s">
        <v>85</v>
      </c>
      <c r="H969" t="s">
        <v>41</v>
      </c>
      <c r="I969" t="s">
        <v>36</v>
      </c>
      <c r="J969">
        <v>10</v>
      </c>
      <c r="K969" s="5">
        <v>450.43</v>
      </c>
      <c r="L969" s="5">
        <v>373.01</v>
      </c>
      <c r="M969">
        <v>20</v>
      </c>
      <c r="N969">
        <v>6</v>
      </c>
      <c r="O969">
        <v>1</v>
      </c>
      <c r="P969">
        <v>3</v>
      </c>
      <c r="Q969">
        <v>22</v>
      </c>
      <c r="R969">
        <v>0</v>
      </c>
      <c r="S969">
        <v>2</v>
      </c>
      <c r="T969">
        <v>0</v>
      </c>
      <c r="U969">
        <v>0</v>
      </c>
      <c r="V969">
        <v>0</v>
      </c>
      <c r="W969" t="s">
        <v>55</v>
      </c>
      <c r="X969">
        <v>46</v>
      </c>
      <c r="Y969">
        <v>1</v>
      </c>
      <c r="Z969">
        <f t="shared" si="90"/>
        <v>51</v>
      </c>
      <c r="AA969">
        <f t="shared" si="91"/>
        <v>1.05</v>
      </c>
      <c r="AB969">
        <f t="shared" si="92"/>
        <v>31</v>
      </c>
      <c r="AC969" t="str">
        <f t="shared" si="93"/>
        <v>Low</v>
      </c>
      <c r="AD969" t="str">
        <f t="shared" si="94"/>
        <v>Upsell premium bundle</v>
      </c>
      <c r="AE969">
        <f t="shared" si="95"/>
        <v>49</v>
      </c>
    </row>
    <row r="970" spans="1:31" x14ac:dyDescent="0.35">
      <c r="A970" t="s">
        <v>1028</v>
      </c>
      <c r="B970" s="4">
        <v>44719</v>
      </c>
      <c r="C970" s="4">
        <v>46143</v>
      </c>
      <c r="D970" t="s">
        <v>60</v>
      </c>
      <c r="E970">
        <v>62</v>
      </c>
      <c r="F970" t="s">
        <v>57</v>
      </c>
      <c r="G970" t="s">
        <v>40</v>
      </c>
      <c r="H970" t="s">
        <v>41</v>
      </c>
      <c r="I970" t="s">
        <v>36</v>
      </c>
      <c r="J970">
        <v>47</v>
      </c>
      <c r="K970" s="5">
        <v>1331.73</v>
      </c>
      <c r="L970" s="5">
        <v>1067.02</v>
      </c>
      <c r="M970">
        <v>30</v>
      </c>
      <c r="N970">
        <v>19</v>
      </c>
      <c r="O970">
        <v>8</v>
      </c>
      <c r="P970">
        <v>0</v>
      </c>
      <c r="Q970">
        <v>31</v>
      </c>
      <c r="R970">
        <v>1</v>
      </c>
      <c r="S970">
        <v>0</v>
      </c>
      <c r="T970">
        <v>1</v>
      </c>
      <c r="U970">
        <v>0</v>
      </c>
      <c r="V970">
        <v>1</v>
      </c>
      <c r="W970" t="s">
        <v>52</v>
      </c>
      <c r="X970">
        <v>29</v>
      </c>
      <c r="Y970">
        <v>0</v>
      </c>
      <c r="Z970">
        <f t="shared" si="90"/>
        <v>91</v>
      </c>
      <c r="AA970">
        <f t="shared" si="91"/>
        <v>0.79220779220779225</v>
      </c>
      <c r="AB970">
        <f t="shared" si="92"/>
        <v>6</v>
      </c>
      <c r="AC970" t="str">
        <f t="shared" si="93"/>
        <v>Low</v>
      </c>
      <c r="AD970" t="str">
        <f t="shared" si="94"/>
        <v>Upsell premium bundle</v>
      </c>
      <c r="AE970">
        <f t="shared" si="95"/>
        <v>9</v>
      </c>
    </row>
    <row r="971" spans="1:31" x14ac:dyDescent="0.35">
      <c r="A971" t="s">
        <v>1029</v>
      </c>
      <c r="B971" s="4">
        <v>45499</v>
      </c>
      <c r="C971" s="4">
        <v>46143</v>
      </c>
      <c r="D971" t="s">
        <v>66</v>
      </c>
      <c r="E971">
        <v>44</v>
      </c>
      <c r="F971" t="s">
        <v>43</v>
      </c>
      <c r="G971" t="s">
        <v>34</v>
      </c>
      <c r="H971" t="s">
        <v>35</v>
      </c>
      <c r="I971" t="s">
        <v>49</v>
      </c>
      <c r="J971">
        <v>21</v>
      </c>
      <c r="K971" s="5">
        <v>126.42</v>
      </c>
      <c r="L971" s="5">
        <v>1.03</v>
      </c>
      <c r="M971">
        <v>17</v>
      </c>
      <c r="N971">
        <v>7</v>
      </c>
      <c r="O971">
        <v>1</v>
      </c>
      <c r="P971">
        <v>2</v>
      </c>
      <c r="Q971">
        <v>29</v>
      </c>
      <c r="R971">
        <v>3</v>
      </c>
      <c r="S971">
        <v>1</v>
      </c>
      <c r="T971">
        <v>0</v>
      </c>
      <c r="U971">
        <v>0</v>
      </c>
      <c r="V971">
        <v>1</v>
      </c>
      <c r="W971" t="s">
        <v>50</v>
      </c>
      <c r="X971">
        <v>-30</v>
      </c>
      <c r="Y971">
        <v>1</v>
      </c>
      <c r="Z971">
        <f t="shared" si="90"/>
        <v>61</v>
      </c>
      <c r="AA971">
        <f t="shared" si="91"/>
        <v>0.90196078431372551</v>
      </c>
      <c r="AB971">
        <f t="shared" si="92"/>
        <v>58</v>
      </c>
      <c r="AC971" t="str">
        <f t="shared" si="93"/>
        <v>Medium</v>
      </c>
      <c r="AD971" t="str">
        <f t="shared" si="94"/>
        <v>Nudge core feature adoption</v>
      </c>
      <c r="AE971">
        <f t="shared" si="95"/>
        <v>39</v>
      </c>
    </row>
    <row r="972" spans="1:31" x14ac:dyDescent="0.35">
      <c r="A972" t="s">
        <v>1030</v>
      </c>
      <c r="B972" s="4">
        <v>46072</v>
      </c>
      <c r="C972" s="4">
        <v>46143</v>
      </c>
      <c r="D972" t="s">
        <v>47</v>
      </c>
      <c r="E972">
        <v>63</v>
      </c>
      <c r="F972" t="s">
        <v>33</v>
      </c>
      <c r="G972" t="s">
        <v>67</v>
      </c>
      <c r="H972" t="s">
        <v>58</v>
      </c>
      <c r="I972" t="s">
        <v>36</v>
      </c>
      <c r="J972">
        <v>2</v>
      </c>
      <c r="K972" s="5">
        <v>358.54</v>
      </c>
      <c r="L972" s="5">
        <v>161.33000000000001</v>
      </c>
      <c r="M972">
        <v>5</v>
      </c>
      <c r="N972">
        <v>1</v>
      </c>
      <c r="O972">
        <v>1</v>
      </c>
      <c r="P972">
        <v>0</v>
      </c>
      <c r="Q972">
        <v>0</v>
      </c>
      <c r="R972">
        <v>2</v>
      </c>
      <c r="S972">
        <v>2</v>
      </c>
      <c r="T972">
        <v>0</v>
      </c>
      <c r="U972">
        <v>1</v>
      </c>
      <c r="V972">
        <v>0</v>
      </c>
      <c r="W972" t="s">
        <v>50</v>
      </c>
      <c r="X972">
        <v>23</v>
      </c>
      <c r="Y972">
        <v>1</v>
      </c>
      <c r="Z972">
        <f t="shared" si="90"/>
        <v>15</v>
      </c>
      <c r="AA972">
        <f t="shared" si="91"/>
        <v>0.15625</v>
      </c>
      <c r="AB972">
        <f t="shared" si="92"/>
        <v>44</v>
      </c>
      <c r="AC972" t="str">
        <f t="shared" si="93"/>
        <v>Medium</v>
      </c>
      <c r="AD972" t="str">
        <f t="shared" si="94"/>
        <v>Nudge core feature adoption</v>
      </c>
      <c r="AE972">
        <f t="shared" si="95"/>
        <v>85</v>
      </c>
    </row>
    <row r="973" spans="1:31" x14ac:dyDescent="0.35">
      <c r="A973" t="s">
        <v>1031</v>
      </c>
      <c r="B973" s="4">
        <v>45083</v>
      </c>
      <c r="C973" s="4">
        <v>46143</v>
      </c>
      <c r="D973" t="s">
        <v>32</v>
      </c>
      <c r="E973">
        <v>72</v>
      </c>
      <c r="F973" t="s">
        <v>33</v>
      </c>
      <c r="G973" t="s">
        <v>48</v>
      </c>
      <c r="H973" t="s">
        <v>58</v>
      </c>
      <c r="I973" t="s">
        <v>49</v>
      </c>
      <c r="J973">
        <v>35</v>
      </c>
      <c r="K973" s="5">
        <v>0</v>
      </c>
      <c r="L973" s="5">
        <v>81.239999999999995</v>
      </c>
      <c r="M973">
        <v>54</v>
      </c>
      <c r="N973">
        <v>32</v>
      </c>
      <c r="O973">
        <v>2</v>
      </c>
      <c r="P973">
        <v>7</v>
      </c>
      <c r="Q973">
        <v>40</v>
      </c>
      <c r="R973">
        <v>3</v>
      </c>
      <c r="S973">
        <v>2</v>
      </c>
      <c r="T973">
        <v>1</v>
      </c>
      <c r="U973">
        <v>1</v>
      </c>
      <c r="V973">
        <v>0</v>
      </c>
      <c r="W973" t="s">
        <v>50</v>
      </c>
      <c r="X973">
        <v>-10</v>
      </c>
      <c r="Y973">
        <v>0</v>
      </c>
      <c r="Z973">
        <f t="shared" si="90"/>
        <v>100</v>
      </c>
      <c r="AA973">
        <f t="shared" si="91"/>
        <v>1.4461538461538461</v>
      </c>
      <c r="AB973">
        <f t="shared" si="92"/>
        <v>41</v>
      </c>
      <c r="AC973" t="str">
        <f t="shared" si="93"/>
        <v>Medium</v>
      </c>
      <c r="AD973" t="str">
        <f t="shared" si="94"/>
        <v>Nudge core feature adoption</v>
      </c>
      <c r="AE973">
        <f t="shared" si="95"/>
        <v>0</v>
      </c>
    </row>
    <row r="974" spans="1:31" x14ac:dyDescent="0.35">
      <c r="A974" t="s">
        <v>1032</v>
      </c>
      <c r="B974" s="4">
        <v>44992</v>
      </c>
      <c r="C974" s="4">
        <v>46143</v>
      </c>
      <c r="D974" t="s">
        <v>60</v>
      </c>
      <c r="E974">
        <v>60</v>
      </c>
      <c r="F974" t="s">
        <v>57</v>
      </c>
      <c r="G974" t="s">
        <v>40</v>
      </c>
      <c r="H974" t="s">
        <v>58</v>
      </c>
      <c r="I974" t="s">
        <v>36</v>
      </c>
      <c r="J974">
        <v>38</v>
      </c>
      <c r="K974" s="5">
        <v>1851.83</v>
      </c>
      <c r="L974" s="5">
        <v>105.8</v>
      </c>
      <c r="M974">
        <v>37</v>
      </c>
      <c r="N974">
        <v>27</v>
      </c>
      <c r="O974">
        <v>5</v>
      </c>
      <c r="P974">
        <v>3</v>
      </c>
      <c r="Q974">
        <v>35</v>
      </c>
      <c r="R974">
        <v>4</v>
      </c>
      <c r="S974">
        <v>0</v>
      </c>
      <c r="T974">
        <v>1</v>
      </c>
      <c r="U974">
        <v>0</v>
      </c>
      <c r="V974">
        <v>0</v>
      </c>
      <c r="W974" t="s">
        <v>37</v>
      </c>
      <c r="X974">
        <v>17</v>
      </c>
      <c r="Y974">
        <v>0</v>
      </c>
      <c r="Z974">
        <f t="shared" si="90"/>
        <v>100</v>
      </c>
      <c r="AA974">
        <f t="shared" si="91"/>
        <v>1.0588235294117647</v>
      </c>
      <c r="AB974">
        <f t="shared" si="92"/>
        <v>0</v>
      </c>
      <c r="AC974" t="str">
        <f t="shared" si="93"/>
        <v>Low</v>
      </c>
      <c r="AD974" t="str">
        <f t="shared" si="94"/>
        <v>Upsell premium bundle</v>
      </c>
      <c r="AE974">
        <f t="shared" si="95"/>
        <v>0</v>
      </c>
    </row>
    <row r="975" spans="1:31" x14ac:dyDescent="0.35">
      <c r="A975" t="s">
        <v>1033</v>
      </c>
      <c r="B975" s="4">
        <v>44791</v>
      </c>
      <c r="C975" s="4">
        <v>46143</v>
      </c>
      <c r="D975" t="s">
        <v>39</v>
      </c>
      <c r="E975">
        <v>56</v>
      </c>
      <c r="F975" t="s">
        <v>77</v>
      </c>
      <c r="G975" t="s">
        <v>34</v>
      </c>
      <c r="H975" t="s">
        <v>41</v>
      </c>
      <c r="I975" t="s">
        <v>36</v>
      </c>
      <c r="J975">
        <v>45</v>
      </c>
      <c r="K975" s="5">
        <v>17006.849999999999</v>
      </c>
      <c r="L975" s="5">
        <v>5648.37</v>
      </c>
      <c r="M975">
        <v>28</v>
      </c>
      <c r="N975">
        <v>11</v>
      </c>
      <c r="O975">
        <v>4</v>
      </c>
      <c r="P975">
        <v>2</v>
      </c>
      <c r="Q975">
        <v>26</v>
      </c>
      <c r="R975">
        <v>3</v>
      </c>
      <c r="S975">
        <v>1</v>
      </c>
      <c r="T975">
        <v>1</v>
      </c>
      <c r="U975">
        <v>1</v>
      </c>
      <c r="V975">
        <v>1</v>
      </c>
      <c r="W975" t="s">
        <v>52</v>
      </c>
      <c r="X975">
        <v>56</v>
      </c>
      <c r="Y975">
        <v>0</v>
      </c>
      <c r="Z975">
        <f t="shared" si="90"/>
        <v>85</v>
      </c>
      <c r="AA975">
        <f t="shared" si="91"/>
        <v>0.72</v>
      </c>
      <c r="AB975">
        <f t="shared" si="92"/>
        <v>0</v>
      </c>
      <c r="AC975" t="str">
        <f t="shared" si="93"/>
        <v>Low</v>
      </c>
      <c r="AD975" t="str">
        <f t="shared" si="94"/>
        <v>Upsell premium bundle</v>
      </c>
      <c r="AE975">
        <f t="shared" si="95"/>
        <v>15</v>
      </c>
    </row>
    <row r="976" spans="1:31" x14ac:dyDescent="0.35">
      <c r="A976" t="s">
        <v>1034</v>
      </c>
      <c r="B976" s="4">
        <v>45325</v>
      </c>
      <c r="C976" s="4">
        <v>46143</v>
      </c>
      <c r="D976" t="s">
        <v>72</v>
      </c>
      <c r="E976">
        <v>61</v>
      </c>
      <c r="F976" t="s">
        <v>33</v>
      </c>
      <c r="G976" t="s">
        <v>48</v>
      </c>
      <c r="H976" t="s">
        <v>41</v>
      </c>
      <c r="I976" t="s">
        <v>36</v>
      </c>
      <c r="J976">
        <v>27</v>
      </c>
      <c r="K976" s="5">
        <v>423.77</v>
      </c>
      <c r="L976" s="5">
        <v>275.79000000000002</v>
      </c>
      <c r="M976">
        <v>22</v>
      </c>
      <c r="N976">
        <v>6</v>
      </c>
      <c r="O976">
        <v>2</v>
      </c>
      <c r="P976">
        <v>2</v>
      </c>
      <c r="Q976">
        <v>11</v>
      </c>
      <c r="R976">
        <v>3</v>
      </c>
      <c r="S976">
        <v>0</v>
      </c>
      <c r="T976">
        <v>1</v>
      </c>
      <c r="U976">
        <v>1</v>
      </c>
      <c r="V976">
        <v>0</v>
      </c>
      <c r="W976" t="s">
        <v>50</v>
      </c>
      <c r="X976">
        <v>30</v>
      </c>
      <c r="Y976">
        <v>0</v>
      </c>
      <c r="Z976">
        <f t="shared" si="90"/>
        <v>52</v>
      </c>
      <c r="AA976">
        <f t="shared" si="91"/>
        <v>0.57894736842105265</v>
      </c>
      <c r="AB976">
        <f t="shared" si="92"/>
        <v>18</v>
      </c>
      <c r="AC976" t="str">
        <f t="shared" si="93"/>
        <v>Low</v>
      </c>
      <c r="AD976" t="str">
        <f t="shared" si="94"/>
        <v>Upsell premium bundle</v>
      </c>
      <c r="AE976">
        <f t="shared" si="95"/>
        <v>48</v>
      </c>
    </row>
    <row r="977" spans="1:31" x14ac:dyDescent="0.35">
      <c r="A977" t="s">
        <v>1035</v>
      </c>
      <c r="B977" s="4">
        <v>45824</v>
      </c>
      <c r="C977" s="4">
        <v>46143</v>
      </c>
      <c r="D977" t="s">
        <v>60</v>
      </c>
      <c r="E977">
        <v>41</v>
      </c>
      <c r="F977" t="s">
        <v>61</v>
      </c>
      <c r="G977" t="s">
        <v>85</v>
      </c>
      <c r="H977" t="s">
        <v>58</v>
      </c>
      <c r="I977" t="s">
        <v>36</v>
      </c>
      <c r="J977">
        <v>10</v>
      </c>
      <c r="K977" s="5">
        <v>231.24</v>
      </c>
      <c r="L977" s="5">
        <v>3533.87</v>
      </c>
      <c r="M977">
        <v>38</v>
      </c>
      <c r="N977">
        <v>19</v>
      </c>
      <c r="O977">
        <v>4</v>
      </c>
      <c r="P977">
        <v>1</v>
      </c>
      <c r="Q977">
        <v>21</v>
      </c>
      <c r="R977">
        <v>2</v>
      </c>
      <c r="S977">
        <v>1</v>
      </c>
      <c r="T977">
        <v>1</v>
      </c>
      <c r="U977">
        <v>0</v>
      </c>
      <c r="V977">
        <v>1</v>
      </c>
      <c r="W977" t="s">
        <v>45</v>
      </c>
      <c r="X977">
        <v>59</v>
      </c>
      <c r="Y977">
        <v>0</v>
      </c>
      <c r="Z977">
        <f t="shared" si="90"/>
        <v>87</v>
      </c>
      <c r="AA977">
        <f t="shared" si="91"/>
        <v>1.4750000000000001</v>
      </c>
      <c r="AB977">
        <f t="shared" si="92"/>
        <v>0</v>
      </c>
      <c r="AC977" t="str">
        <f t="shared" si="93"/>
        <v>Low</v>
      </c>
      <c r="AD977" t="str">
        <f t="shared" si="94"/>
        <v>Upsell premium bundle</v>
      </c>
      <c r="AE977">
        <f t="shared" si="95"/>
        <v>13</v>
      </c>
    </row>
    <row r="978" spans="1:31" x14ac:dyDescent="0.35">
      <c r="A978" t="s">
        <v>1036</v>
      </c>
      <c r="B978" s="4">
        <v>44966</v>
      </c>
      <c r="C978" s="4">
        <v>46143</v>
      </c>
      <c r="D978" t="s">
        <v>32</v>
      </c>
      <c r="E978">
        <v>21</v>
      </c>
      <c r="F978" t="s">
        <v>57</v>
      </c>
      <c r="G978" t="s">
        <v>48</v>
      </c>
      <c r="H978" t="s">
        <v>44</v>
      </c>
      <c r="I978" t="s">
        <v>36</v>
      </c>
      <c r="J978">
        <v>39</v>
      </c>
      <c r="K978" s="5">
        <v>950.72</v>
      </c>
      <c r="L978" s="5">
        <v>893.43</v>
      </c>
      <c r="M978">
        <v>49</v>
      </c>
      <c r="N978">
        <v>18</v>
      </c>
      <c r="O978">
        <v>6</v>
      </c>
      <c r="P978">
        <v>4</v>
      </c>
      <c r="Q978">
        <v>38</v>
      </c>
      <c r="R978">
        <v>3</v>
      </c>
      <c r="S978">
        <v>2</v>
      </c>
      <c r="T978">
        <v>0</v>
      </c>
      <c r="U978">
        <v>1</v>
      </c>
      <c r="V978">
        <v>0</v>
      </c>
      <c r="W978" t="s">
        <v>50</v>
      </c>
      <c r="X978">
        <v>-7</v>
      </c>
      <c r="Y978">
        <v>0</v>
      </c>
      <c r="Z978">
        <f t="shared" si="90"/>
        <v>100</v>
      </c>
      <c r="AA978">
        <f t="shared" si="91"/>
        <v>1.2608695652173914</v>
      </c>
      <c r="AB978">
        <f t="shared" si="92"/>
        <v>23</v>
      </c>
      <c r="AC978" t="str">
        <f t="shared" si="93"/>
        <v>Low</v>
      </c>
      <c r="AD978" t="str">
        <f t="shared" si="94"/>
        <v>Upsell premium bundle</v>
      </c>
      <c r="AE978">
        <f t="shared" si="95"/>
        <v>0</v>
      </c>
    </row>
    <row r="979" spans="1:31" x14ac:dyDescent="0.35">
      <c r="A979" t="s">
        <v>1037</v>
      </c>
      <c r="B979" s="4">
        <v>45611</v>
      </c>
      <c r="C979" s="4">
        <v>46143</v>
      </c>
      <c r="D979" t="s">
        <v>72</v>
      </c>
      <c r="E979">
        <v>35</v>
      </c>
      <c r="F979" t="s">
        <v>33</v>
      </c>
      <c r="G979" t="s">
        <v>85</v>
      </c>
      <c r="H979" t="s">
        <v>41</v>
      </c>
      <c r="I979" t="s">
        <v>36</v>
      </c>
      <c r="J979">
        <v>17</v>
      </c>
      <c r="K979" s="5">
        <v>273.07</v>
      </c>
      <c r="L979" s="5">
        <v>115.98</v>
      </c>
      <c r="M979">
        <v>31</v>
      </c>
      <c r="N979">
        <v>8</v>
      </c>
      <c r="O979">
        <v>3</v>
      </c>
      <c r="P979">
        <v>6</v>
      </c>
      <c r="Q979">
        <v>17</v>
      </c>
      <c r="R979">
        <v>2</v>
      </c>
      <c r="S979">
        <v>2</v>
      </c>
      <c r="T979">
        <v>1</v>
      </c>
      <c r="U979">
        <v>1</v>
      </c>
      <c r="V979">
        <v>1</v>
      </c>
      <c r="W979" t="s">
        <v>37</v>
      </c>
      <c r="X979">
        <v>-47</v>
      </c>
      <c r="Y979">
        <v>1</v>
      </c>
      <c r="Z979">
        <f t="shared" si="90"/>
        <v>82</v>
      </c>
      <c r="AA979">
        <f t="shared" si="91"/>
        <v>1.0212765957446808</v>
      </c>
      <c r="AB979">
        <f t="shared" si="92"/>
        <v>62</v>
      </c>
      <c r="AC979" t="str">
        <f t="shared" si="93"/>
        <v>Medium</v>
      </c>
      <c r="AD979" t="str">
        <f t="shared" si="94"/>
        <v>Nudge core feature adoption</v>
      </c>
      <c r="AE979">
        <f t="shared" si="95"/>
        <v>18</v>
      </c>
    </row>
    <row r="980" spans="1:31" x14ac:dyDescent="0.35">
      <c r="A980" t="s">
        <v>1038</v>
      </c>
      <c r="B980" s="4">
        <v>45326</v>
      </c>
      <c r="C980" s="4">
        <v>46143</v>
      </c>
      <c r="D980" t="s">
        <v>39</v>
      </c>
      <c r="E980">
        <v>63</v>
      </c>
      <c r="F980" t="s">
        <v>33</v>
      </c>
      <c r="G980" t="s">
        <v>85</v>
      </c>
      <c r="H980" t="s">
        <v>35</v>
      </c>
      <c r="I980" t="s">
        <v>36</v>
      </c>
      <c r="J980">
        <v>27</v>
      </c>
      <c r="K980" s="5">
        <v>232.49</v>
      </c>
      <c r="L980" s="5">
        <v>197.87</v>
      </c>
      <c r="M980">
        <v>27</v>
      </c>
      <c r="N980">
        <v>20</v>
      </c>
      <c r="O980">
        <v>3</v>
      </c>
      <c r="P980">
        <v>2</v>
      </c>
      <c r="Q980">
        <v>20</v>
      </c>
      <c r="R980">
        <v>0</v>
      </c>
      <c r="S980">
        <v>1</v>
      </c>
      <c r="T980">
        <v>0</v>
      </c>
      <c r="U980">
        <v>1</v>
      </c>
      <c r="V980">
        <v>0</v>
      </c>
      <c r="W980" t="s">
        <v>50</v>
      </c>
      <c r="X980">
        <v>24</v>
      </c>
      <c r="Y980">
        <v>0</v>
      </c>
      <c r="Z980">
        <f t="shared" si="90"/>
        <v>76</v>
      </c>
      <c r="AA980">
        <f t="shared" si="91"/>
        <v>0.82456140350877194</v>
      </c>
      <c r="AB980">
        <f t="shared" si="92"/>
        <v>14</v>
      </c>
      <c r="AC980" t="str">
        <f t="shared" si="93"/>
        <v>Low</v>
      </c>
      <c r="AD980" t="str">
        <f t="shared" si="94"/>
        <v>Upsell premium bundle</v>
      </c>
      <c r="AE980">
        <f t="shared" si="95"/>
        <v>24</v>
      </c>
    </row>
    <row r="981" spans="1:31" x14ac:dyDescent="0.35">
      <c r="A981" t="s">
        <v>1039</v>
      </c>
      <c r="B981" s="4">
        <v>45020</v>
      </c>
      <c r="C981" s="4">
        <v>46143</v>
      </c>
      <c r="D981" t="s">
        <v>47</v>
      </c>
      <c r="E981">
        <v>22</v>
      </c>
      <c r="F981" t="s">
        <v>43</v>
      </c>
      <c r="G981" t="s">
        <v>85</v>
      </c>
      <c r="H981" t="s">
        <v>44</v>
      </c>
      <c r="I981" t="s">
        <v>49</v>
      </c>
      <c r="J981">
        <v>37</v>
      </c>
      <c r="K981" s="5">
        <v>97.66</v>
      </c>
      <c r="L981" s="5">
        <v>79.47</v>
      </c>
      <c r="M981">
        <v>39</v>
      </c>
      <c r="N981">
        <v>22</v>
      </c>
      <c r="O981">
        <v>10</v>
      </c>
      <c r="P981">
        <v>6</v>
      </c>
      <c r="Q981">
        <v>26</v>
      </c>
      <c r="R981">
        <v>1</v>
      </c>
      <c r="S981">
        <v>1</v>
      </c>
      <c r="T981">
        <v>0</v>
      </c>
      <c r="U981">
        <v>1</v>
      </c>
      <c r="V981">
        <v>0</v>
      </c>
      <c r="W981" t="s">
        <v>55</v>
      </c>
      <c r="X981">
        <v>12</v>
      </c>
      <c r="Y981">
        <v>0</v>
      </c>
      <c r="Z981">
        <f t="shared" si="90"/>
        <v>100</v>
      </c>
      <c r="AA981">
        <f t="shared" si="91"/>
        <v>0.97014925373134331</v>
      </c>
      <c r="AB981">
        <f t="shared" si="92"/>
        <v>25</v>
      </c>
      <c r="AC981" t="str">
        <f t="shared" si="93"/>
        <v>Low</v>
      </c>
      <c r="AD981" t="str">
        <f t="shared" si="94"/>
        <v>Upsell premium bundle</v>
      </c>
      <c r="AE981">
        <f t="shared" si="95"/>
        <v>0</v>
      </c>
    </row>
    <row r="982" spans="1:31" x14ac:dyDescent="0.35">
      <c r="A982" t="s">
        <v>1040</v>
      </c>
      <c r="B982" s="4">
        <v>45352</v>
      </c>
      <c r="C982" s="4">
        <v>46143</v>
      </c>
      <c r="D982" t="s">
        <v>32</v>
      </c>
      <c r="E982">
        <v>25</v>
      </c>
      <c r="F982" t="s">
        <v>33</v>
      </c>
      <c r="G982" t="s">
        <v>48</v>
      </c>
      <c r="H982" t="s">
        <v>44</v>
      </c>
      <c r="I982" t="s">
        <v>36</v>
      </c>
      <c r="J982">
        <v>26</v>
      </c>
      <c r="K982" s="5">
        <v>460.49</v>
      </c>
      <c r="L982" s="5">
        <v>402.82</v>
      </c>
      <c r="M982">
        <v>20</v>
      </c>
      <c r="N982">
        <v>7</v>
      </c>
      <c r="O982">
        <v>2</v>
      </c>
      <c r="P982">
        <v>1</v>
      </c>
      <c r="Q982">
        <v>22</v>
      </c>
      <c r="R982">
        <v>0</v>
      </c>
      <c r="S982">
        <v>0</v>
      </c>
      <c r="T982">
        <v>0</v>
      </c>
      <c r="U982">
        <v>0</v>
      </c>
      <c r="V982">
        <v>1</v>
      </c>
      <c r="W982" t="s">
        <v>52</v>
      </c>
      <c r="X982">
        <v>46</v>
      </c>
      <c r="Y982">
        <v>0</v>
      </c>
      <c r="Z982">
        <f t="shared" si="90"/>
        <v>58</v>
      </c>
      <c r="AA982">
        <f t="shared" si="91"/>
        <v>0.75</v>
      </c>
      <c r="AB982">
        <f t="shared" si="92"/>
        <v>2</v>
      </c>
      <c r="AC982" t="str">
        <f t="shared" si="93"/>
        <v>Low</v>
      </c>
      <c r="AD982" t="str">
        <f t="shared" si="94"/>
        <v>Upsell premium bundle</v>
      </c>
      <c r="AE982">
        <f t="shared" si="95"/>
        <v>42</v>
      </c>
    </row>
    <row r="983" spans="1:31" x14ac:dyDescent="0.35">
      <c r="A983" t="s">
        <v>1041</v>
      </c>
      <c r="B983" s="4">
        <v>45154</v>
      </c>
      <c r="C983" s="4">
        <v>46143</v>
      </c>
      <c r="D983" t="s">
        <v>66</v>
      </c>
      <c r="E983">
        <v>53</v>
      </c>
      <c r="F983" t="s">
        <v>61</v>
      </c>
      <c r="G983" t="s">
        <v>34</v>
      </c>
      <c r="H983" t="s">
        <v>44</v>
      </c>
      <c r="I983" t="s">
        <v>36</v>
      </c>
      <c r="J983">
        <v>32</v>
      </c>
      <c r="K983" s="5">
        <v>6159.06</v>
      </c>
      <c r="L983" s="5">
        <v>0</v>
      </c>
      <c r="M983">
        <v>22</v>
      </c>
      <c r="N983">
        <v>9</v>
      </c>
      <c r="O983">
        <v>3</v>
      </c>
      <c r="P983">
        <v>0</v>
      </c>
      <c r="Q983">
        <v>24</v>
      </c>
      <c r="R983">
        <v>0</v>
      </c>
      <c r="S983">
        <v>1</v>
      </c>
      <c r="T983">
        <v>0</v>
      </c>
      <c r="U983">
        <v>0</v>
      </c>
      <c r="V983">
        <v>1</v>
      </c>
      <c r="W983" t="s">
        <v>50</v>
      </c>
      <c r="X983">
        <v>35</v>
      </c>
      <c r="Y983">
        <v>0</v>
      </c>
      <c r="Z983">
        <f t="shared" si="90"/>
        <v>63</v>
      </c>
      <c r="AA983">
        <f t="shared" si="91"/>
        <v>0.74193548387096775</v>
      </c>
      <c r="AB983">
        <f t="shared" si="92"/>
        <v>13</v>
      </c>
      <c r="AC983" t="str">
        <f t="shared" si="93"/>
        <v>Low</v>
      </c>
      <c r="AD983" t="str">
        <f t="shared" si="94"/>
        <v>Upsell premium bundle</v>
      </c>
      <c r="AE983">
        <f t="shared" si="95"/>
        <v>37</v>
      </c>
    </row>
    <row r="984" spans="1:31" x14ac:dyDescent="0.35">
      <c r="A984" t="s">
        <v>1042</v>
      </c>
      <c r="B984" s="4">
        <v>45335</v>
      </c>
      <c r="C984" s="4">
        <v>46143</v>
      </c>
      <c r="D984" t="s">
        <v>47</v>
      </c>
      <c r="E984">
        <v>28</v>
      </c>
      <c r="F984" t="s">
        <v>57</v>
      </c>
      <c r="G984" t="s">
        <v>67</v>
      </c>
      <c r="H984" t="s">
        <v>41</v>
      </c>
      <c r="I984" t="s">
        <v>36</v>
      </c>
      <c r="J984">
        <v>26</v>
      </c>
      <c r="K984" s="5">
        <v>250.68</v>
      </c>
      <c r="L984" s="5">
        <v>1702.42</v>
      </c>
      <c r="M984">
        <v>14</v>
      </c>
      <c r="N984">
        <v>10</v>
      </c>
      <c r="O984">
        <v>3</v>
      </c>
      <c r="P984">
        <v>2</v>
      </c>
      <c r="Q984">
        <v>11</v>
      </c>
      <c r="R984">
        <v>1</v>
      </c>
      <c r="S984">
        <v>0</v>
      </c>
      <c r="T984">
        <v>0</v>
      </c>
      <c r="U984">
        <v>0</v>
      </c>
      <c r="V984">
        <v>0</v>
      </c>
      <c r="W984" t="s">
        <v>37</v>
      </c>
      <c r="X984">
        <v>15</v>
      </c>
      <c r="Y984">
        <v>1</v>
      </c>
      <c r="Z984">
        <f t="shared" si="90"/>
        <v>39</v>
      </c>
      <c r="AA984">
        <f t="shared" si="91"/>
        <v>0.44642857142857145</v>
      </c>
      <c r="AB984">
        <f t="shared" si="92"/>
        <v>23</v>
      </c>
      <c r="AC984" t="str">
        <f t="shared" si="93"/>
        <v>Low</v>
      </c>
      <c r="AD984" t="str">
        <f t="shared" si="94"/>
        <v>Upsell premium bundle</v>
      </c>
      <c r="AE984">
        <f t="shared" si="95"/>
        <v>61</v>
      </c>
    </row>
    <row r="985" spans="1:31" x14ac:dyDescent="0.35">
      <c r="A985" t="s">
        <v>1043</v>
      </c>
      <c r="B985" s="4">
        <v>44842</v>
      </c>
      <c r="C985" s="4">
        <v>46143</v>
      </c>
      <c r="D985" t="s">
        <v>32</v>
      </c>
      <c r="E985">
        <v>47</v>
      </c>
      <c r="F985" t="s">
        <v>33</v>
      </c>
      <c r="G985" t="s">
        <v>85</v>
      </c>
      <c r="H985" t="s">
        <v>41</v>
      </c>
      <c r="I985" t="s">
        <v>36</v>
      </c>
      <c r="J985">
        <v>43</v>
      </c>
      <c r="K985" s="5">
        <v>385.21</v>
      </c>
      <c r="L985" s="5">
        <v>86.22</v>
      </c>
      <c r="M985">
        <v>23</v>
      </c>
      <c r="N985">
        <v>8</v>
      </c>
      <c r="O985">
        <v>2</v>
      </c>
      <c r="P985">
        <v>0</v>
      </c>
      <c r="Q985">
        <v>16</v>
      </c>
      <c r="R985">
        <v>4</v>
      </c>
      <c r="S985">
        <v>2</v>
      </c>
      <c r="T985">
        <v>1</v>
      </c>
      <c r="U985">
        <v>0</v>
      </c>
      <c r="V985">
        <v>1</v>
      </c>
      <c r="W985" t="s">
        <v>55</v>
      </c>
      <c r="X985">
        <v>-10</v>
      </c>
      <c r="Y985">
        <v>1</v>
      </c>
      <c r="Z985">
        <f t="shared" si="90"/>
        <v>55</v>
      </c>
      <c r="AA985">
        <f t="shared" si="91"/>
        <v>0.53424657534246578</v>
      </c>
      <c r="AB985">
        <f t="shared" si="92"/>
        <v>51</v>
      </c>
      <c r="AC985" t="str">
        <f t="shared" si="93"/>
        <v>Medium</v>
      </c>
      <c r="AD985" t="str">
        <f t="shared" si="94"/>
        <v>Nudge core feature adoption</v>
      </c>
      <c r="AE985">
        <f t="shared" si="95"/>
        <v>45</v>
      </c>
    </row>
    <row r="986" spans="1:31" x14ac:dyDescent="0.35">
      <c r="A986" t="s">
        <v>1044</v>
      </c>
      <c r="B986" s="4">
        <v>44963</v>
      </c>
      <c r="C986" s="4">
        <v>46143</v>
      </c>
      <c r="D986" t="s">
        <v>60</v>
      </c>
      <c r="E986">
        <v>69</v>
      </c>
      <c r="F986" t="s">
        <v>43</v>
      </c>
      <c r="G986" t="s">
        <v>48</v>
      </c>
      <c r="H986" t="s">
        <v>44</v>
      </c>
      <c r="I986" t="s">
        <v>36</v>
      </c>
      <c r="J986">
        <v>39</v>
      </c>
      <c r="K986" s="5">
        <v>78.290000000000006</v>
      </c>
      <c r="L986" s="5">
        <v>4.53</v>
      </c>
      <c r="M986">
        <v>26</v>
      </c>
      <c r="N986">
        <v>12</v>
      </c>
      <c r="O986">
        <v>3</v>
      </c>
      <c r="P986">
        <v>1</v>
      </c>
      <c r="Q986">
        <v>17</v>
      </c>
      <c r="R986">
        <v>1</v>
      </c>
      <c r="S986">
        <v>1</v>
      </c>
      <c r="T986">
        <v>0</v>
      </c>
      <c r="U986">
        <v>1</v>
      </c>
      <c r="V986">
        <v>1</v>
      </c>
      <c r="W986" t="s">
        <v>50</v>
      </c>
      <c r="X986">
        <v>16</v>
      </c>
      <c r="Y986">
        <v>0</v>
      </c>
      <c r="Z986">
        <f t="shared" si="90"/>
        <v>72</v>
      </c>
      <c r="AA986">
        <f t="shared" si="91"/>
        <v>0.62318840579710144</v>
      </c>
      <c r="AB986">
        <f t="shared" si="92"/>
        <v>18</v>
      </c>
      <c r="AC986" t="str">
        <f t="shared" si="93"/>
        <v>Low</v>
      </c>
      <c r="AD986" t="str">
        <f t="shared" si="94"/>
        <v>Upsell premium bundle</v>
      </c>
      <c r="AE986">
        <f t="shared" si="95"/>
        <v>28</v>
      </c>
    </row>
    <row r="987" spans="1:31" x14ac:dyDescent="0.35">
      <c r="A987" t="s">
        <v>1045</v>
      </c>
      <c r="B987" s="4">
        <v>44788</v>
      </c>
      <c r="C987" s="4">
        <v>46143</v>
      </c>
      <c r="D987" t="s">
        <v>47</v>
      </c>
      <c r="E987">
        <v>22</v>
      </c>
      <c r="F987" t="s">
        <v>33</v>
      </c>
      <c r="G987" t="s">
        <v>48</v>
      </c>
      <c r="H987" t="s">
        <v>44</v>
      </c>
      <c r="I987" t="s">
        <v>36</v>
      </c>
      <c r="J987">
        <v>45</v>
      </c>
      <c r="K987" s="5">
        <v>0</v>
      </c>
      <c r="L987" s="5">
        <v>0</v>
      </c>
      <c r="M987">
        <v>26</v>
      </c>
      <c r="N987">
        <v>15</v>
      </c>
      <c r="O987">
        <v>7</v>
      </c>
      <c r="P987">
        <v>1</v>
      </c>
      <c r="Q987">
        <v>14</v>
      </c>
      <c r="R987">
        <v>2</v>
      </c>
      <c r="S987">
        <v>1</v>
      </c>
      <c r="T987">
        <v>0</v>
      </c>
      <c r="U987">
        <v>1</v>
      </c>
      <c r="V987">
        <v>1</v>
      </c>
      <c r="W987" t="s">
        <v>55</v>
      </c>
      <c r="X987">
        <v>-16</v>
      </c>
      <c r="Y987">
        <v>1</v>
      </c>
      <c r="Z987">
        <f t="shared" si="90"/>
        <v>77</v>
      </c>
      <c r="AA987">
        <f t="shared" si="91"/>
        <v>0.53333333333333333</v>
      </c>
      <c r="AB987">
        <f t="shared" si="92"/>
        <v>30</v>
      </c>
      <c r="AC987" t="str">
        <f t="shared" si="93"/>
        <v>Low</v>
      </c>
      <c r="AD987" t="str">
        <f t="shared" si="94"/>
        <v>Upsell premium bundle</v>
      </c>
      <c r="AE987">
        <f t="shared" si="95"/>
        <v>23</v>
      </c>
    </row>
    <row r="988" spans="1:31" x14ac:dyDescent="0.35">
      <c r="A988" t="s">
        <v>1046</v>
      </c>
      <c r="B988" s="4">
        <v>45736</v>
      </c>
      <c r="C988" s="4">
        <v>46143</v>
      </c>
      <c r="D988" t="s">
        <v>47</v>
      </c>
      <c r="E988">
        <v>55</v>
      </c>
      <c r="F988" t="s">
        <v>43</v>
      </c>
      <c r="G988" t="s">
        <v>48</v>
      </c>
      <c r="H988" t="s">
        <v>41</v>
      </c>
      <c r="I988" t="s">
        <v>36</v>
      </c>
      <c r="J988">
        <v>13</v>
      </c>
      <c r="K988" s="5">
        <v>112.41</v>
      </c>
      <c r="L988" s="5">
        <v>31.27</v>
      </c>
      <c r="M988">
        <v>22</v>
      </c>
      <c r="N988">
        <v>14</v>
      </c>
      <c r="O988">
        <v>2</v>
      </c>
      <c r="P988">
        <v>3</v>
      </c>
      <c r="Q988">
        <v>26</v>
      </c>
      <c r="R988">
        <v>1</v>
      </c>
      <c r="S988">
        <v>0</v>
      </c>
      <c r="T988">
        <v>1</v>
      </c>
      <c r="U988">
        <v>0</v>
      </c>
      <c r="V988">
        <v>1</v>
      </c>
      <c r="W988" t="s">
        <v>55</v>
      </c>
      <c r="X988">
        <v>66</v>
      </c>
      <c r="Y988">
        <v>0</v>
      </c>
      <c r="Z988">
        <f t="shared" si="90"/>
        <v>71</v>
      </c>
      <c r="AA988">
        <f t="shared" si="91"/>
        <v>1.1162790697674418</v>
      </c>
      <c r="AB988">
        <f t="shared" si="92"/>
        <v>0</v>
      </c>
      <c r="AC988" t="str">
        <f t="shared" si="93"/>
        <v>Low</v>
      </c>
      <c r="AD988" t="str">
        <f t="shared" si="94"/>
        <v>Upsell premium bundle</v>
      </c>
      <c r="AE988">
        <f t="shared" si="95"/>
        <v>29</v>
      </c>
    </row>
    <row r="989" spans="1:31" x14ac:dyDescent="0.35">
      <c r="A989" t="s">
        <v>1047</v>
      </c>
      <c r="B989" s="4">
        <v>46041</v>
      </c>
      <c r="C989" s="4">
        <v>46143</v>
      </c>
      <c r="D989" t="s">
        <v>66</v>
      </c>
      <c r="E989">
        <v>25</v>
      </c>
      <c r="F989" t="s">
        <v>43</v>
      </c>
      <c r="G989" t="s">
        <v>48</v>
      </c>
      <c r="H989" t="s">
        <v>41</v>
      </c>
      <c r="I989" t="s">
        <v>54</v>
      </c>
      <c r="J989">
        <v>3</v>
      </c>
      <c r="K989" s="5">
        <v>35.18</v>
      </c>
      <c r="L989" s="5">
        <v>67.12</v>
      </c>
      <c r="M989">
        <v>19</v>
      </c>
      <c r="N989">
        <v>13</v>
      </c>
      <c r="O989">
        <v>2</v>
      </c>
      <c r="P989">
        <v>0</v>
      </c>
      <c r="Q989">
        <v>5</v>
      </c>
      <c r="R989">
        <v>0</v>
      </c>
      <c r="S989">
        <v>0</v>
      </c>
      <c r="T989">
        <v>0</v>
      </c>
      <c r="U989">
        <v>1</v>
      </c>
      <c r="V989">
        <v>1</v>
      </c>
      <c r="W989" t="s">
        <v>37</v>
      </c>
      <c r="X989">
        <v>0</v>
      </c>
      <c r="Y989">
        <v>1</v>
      </c>
      <c r="Z989">
        <f t="shared" si="90"/>
        <v>52</v>
      </c>
      <c r="AA989">
        <f t="shared" si="91"/>
        <v>0.72727272727272729</v>
      </c>
      <c r="AB989">
        <f t="shared" si="92"/>
        <v>53</v>
      </c>
      <c r="AC989" t="str">
        <f t="shared" si="93"/>
        <v>Medium</v>
      </c>
      <c r="AD989" t="str">
        <f t="shared" si="94"/>
        <v>Nudge core feature adoption</v>
      </c>
      <c r="AE989">
        <f t="shared" si="95"/>
        <v>48</v>
      </c>
    </row>
    <row r="990" spans="1:31" x14ac:dyDescent="0.35">
      <c r="A990" t="s">
        <v>1048</v>
      </c>
      <c r="B990" s="4">
        <v>45745</v>
      </c>
      <c r="C990" s="4">
        <v>46143</v>
      </c>
      <c r="D990" t="s">
        <v>60</v>
      </c>
      <c r="E990">
        <v>56</v>
      </c>
      <c r="F990" t="s">
        <v>61</v>
      </c>
      <c r="G990" t="s">
        <v>40</v>
      </c>
      <c r="H990" t="s">
        <v>41</v>
      </c>
      <c r="I990" t="s">
        <v>36</v>
      </c>
      <c r="J990">
        <v>13</v>
      </c>
      <c r="K990" s="5">
        <v>3182.07</v>
      </c>
      <c r="L990" s="5">
        <v>0</v>
      </c>
      <c r="M990">
        <v>6</v>
      </c>
      <c r="N990">
        <v>2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0</v>
      </c>
      <c r="U990">
        <v>0</v>
      </c>
      <c r="V990">
        <v>1</v>
      </c>
      <c r="W990" t="s">
        <v>50</v>
      </c>
      <c r="X990">
        <v>32</v>
      </c>
      <c r="Y990">
        <v>1</v>
      </c>
      <c r="Z990">
        <f t="shared" si="90"/>
        <v>18</v>
      </c>
      <c r="AA990">
        <f t="shared" si="91"/>
        <v>0.13953488372093023</v>
      </c>
      <c r="AB990">
        <f t="shared" si="92"/>
        <v>41</v>
      </c>
      <c r="AC990" t="str">
        <f t="shared" si="93"/>
        <v>Medium</v>
      </c>
      <c r="AD990" t="str">
        <f t="shared" si="94"/>
        <v>Nudge core feature adoption</v>
      </c>
      <c r="AE990">
        <f t="shared" si="95"/>
        <v>82</v>
      </c>
    </row>
    <row r="991" spans="1:31" x14ac:dyDescent="0.35">
      <c r="A991" t="s">
        <v>1049</v>
      </c>
      <c r="B991" s="4">
        <v>45208</v>
      </c>
      <c r="C991" s="4">
        <v>46143</v>
      </c>
      <c r="D991" t="s">
        <v>60</v>
      </c>
      <c r="E991">
        <v>29</v>
      </c>
      <c r="F991" t="s">
        <v>33</v>
      </c>
      <c r="G991" t="s">
        <v>40</v>
      </c>
      <c r="H991" t="s">
        <v>41</v>
      </c>
      <c r="I991" t="s">
        <v>49</v>
      </c>
      <c r="J991">
        <v>31</v>
      </c>
      <c r="K991" s="5">
        <v>198.37</v>
      </c>
      <c r="L991" s="5">
        <v>222.33</v>
      </c>
      <c r="M991">
        <v>24</v>
      </c>
      <c r="N991">
        <v>17</v>
      </c>
      <c r="O991">
        <v>5</v>
      </c>
      <c r="P991">
        <v>0</v>
      </c>
      <c r="Q991">
        <v>12</v>
      </c>
      <c r="R991">
        <v>0</v>
      </c>
      <c r="S991">
        <v>1</v>
      </c>
      <c r="T991">
        <v>0</v>
      </c>
      <c r="U991">
        <v>1</v>
      </c>
      <c r="V991">
        <v>0</v>
      </c>
      <c r="W991" t="s">
        <v>50</v>
      </c>
      <c r="X991">
        <v>12</v>
      </c>
      <c r="Y991">
        <v>1</v>
      </c>
      <c r="Z991">
        <f t="shared" si="90"/>
        <v>63</v>
      </c>
      <c r="AA991">
        <f t="shared" si="91"/>
        <v>0.5901639344262295</v>
      </c>
      <c r="AB991">
        <f t="shared" si="92"/>
        <v>51</v>
      </c>
      <c r="AC991" t="str">
        <f t="shared" si="93"/>
        <v>Medium</v>
      </c>
      <c r="AD991" t="str">
        <f t="shared" si="94"/>
        <v>Nudge core feature adoption</v>
      </c>
      <c r="AE991">
        <f t="shared" si="95"/>
        <v>37</v>
      </c>
    </row>
    <row r="992" spans="1:31" x14ac:dyDescent="0.35">
      <c r="A992" t="s">
        <v>1050</v>
      </c>
      <c r="B992" s="4">
        <v>45975</v>
      </c>
      <c r="C992" s="4">
        <v>46143</v>
      </c>
      <c r="D992" t="s">
        <v>60</v>
      </c>
      <c r="E992">
        <v>58</v>
      </c>
      <c r="F992" t="s">
        <v>33</v>
      </c>
      <c r="G992" t="s">
        <v>48</v>
      </c>
      <c r="H992" t="s">
        <v>41</v>
      </c>
      <c r="I992" t="s">
        <v>54</v>
      </c>
      <c r="J992">
        <v>5</v>
      </c>
      <c r="K992" s="5">
        <v>0</v>
      </c>
      <c r="L992" s="5">
        <v>53.22</v>
      </c>
      <c r="M992">
        <v>32</v>
      </c>
      <c r="N992">
        <v>16</v>
      </c>
      <c r="O992">
        <v>6</v>
      </c>
      <c r="P992">
        <v>1</v>
      </c>
      <c r="Q992">
        <v>24</v>
      </c>
      <c r="R992">
        <v>0</v>
      </c>
      <c r="S992">
        <v>1</v>
      </c>
      <c r="T992">
        <v>0</v>
      </c>
      <c r="U992">
        <v>0</v>
      </c>
      <c r="V992">
        <v>1</v>
      </c>
      <c r="W992" t="s">
        <v>52</v>
      </c>
      <c r="X992">
        <v>2</v>
      </c>
      <c r="Y992">
        <v>0</v>
      </c>
      <c r="Z992">
        <f t="shared" si="90"/>
        <v>84</v>
      </c>
      <c r="AA992">
        <f t="shared" si="91"/>
        <v>1.6</v>
      </c>
      <c r="AB992">
        <f t="shared" si="92"/>
        <v>47</v>
      </c>
      <c r="AC992" t="str">
        <f t="shared" si="93"/>
        <v>Medium</v>
      </c>
      <c r="AD992" t="str">
        <f t="shared" si="94"/>
        <v>Nudge core feature adoption</v>
      </c>
      <c r="AE992">
        <f t="shared" si="95"/>
        <v>16</v>
      </c>
    </row>
    <row r="993" spans="1:31" x14ac:dyDescent="0.35">
      <c r="A993" t="s">
        <v>1051</v>
      </c>
      <c r="B993" s="4">
        <v>44810</v>
      </c>
      <c r="C993" s="4">
        <v>46143</v>
      </c>
      <c r="D993" t="s">
        <v>32</v>
      </c>
      <c r="E993">
        <v>68</v>
      </c>
      <c r="F993" t="s">
        <v>43</v>
      </c>
      <c r="G993" t="s">
        <v>34</v>
      </c>
      <c r="H993" t="s">
        <v>41</v>
      </c>
      <c r="I993" t="s">
        <v>36</v>
      </c>
      <c r="J993">
        <v>44</v>
      </c>
      <c r="K993" s="5">
        <v>51.06</v>
      </c>
      <c r="L993" s="5">
        <v>15.96</v>
      </c>
      <c r="M993">
        <v>24</v>
      </c>
      <c r="N993">
        <v>6</v>
      </c>
      <c r="O993">
        <v>6</v>
      </c>
      <c r="P993">
        <v>1</v>
      </c>
      <c r="Q993">
        <v>38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37</v>
      </c>
      <c r="X993">
        <v>14</v>
      </c>
      <c r="Y993">
        <v>0</v>
      </c>
      <c r="Z993">
        <f t="shared" si="90"/>
        <v>73</v>
      </c>
      <c r="AA993">
        <f t="shared" si="91"/>
        <v>0.83783783783783783</v>
      </c>
      <c r="AB993">
        <f t="shared" si="92"/>
        <v>22</v>
      </c>
      <c r="AC993" t="str">
        <f t="shared" si="93"/>
        <v>Low</v>
      </c>
      <c r="AD993" t="str">
        <f t="shared" si="94"/>
        <v>Upsell premium bundle</v>
      </c>
      <c r="AE993">
        <f t="shared" si="95"/>
        <v>27</v>
      </c>
    </row>
    <row r="994" spans="1:31" x14ac:dyDescent="0.35">
      <c r="A994" t="s">
        <v>1052</v>
      </c>
      <c r="B994" s="4">
        <v>45528</v>
      </c>
      <c r="C994" s="4">
        <v>46143</v>
      </c>
      <c r="D994" t="s">
        <v>32</v>
      </c>
      <c r="E994">
        <v>29</v>
      </c>
      <c r="F994" t="s">
        <v>43</v>
      </c>
      <c r="G994" t="s">
        <v>48</v>
      </c>
      <c r="H994" t="s">
        <v>58</v>
      </c>
      <c r="I994" t="s">
        <v>36</v>
      </c>
      <c r="J994">
        <v>20</v>
      </c>
      <c r="K994" s="5">
        <v>0</v>
      </c>
      <c r="L994" s="5">
        <v>79.900000000000006</v>
      </c>
      <c r="M994">
        <v>24</v>
      </c>
      <c r="N994">
        <v>12</v>
      </c>
      <c r="O994">
        <v>3</v>
      </c>
      <c r="P994">
        <v>1</v>
      </c>
      <c r="Q994">
        <v>26</v>
      </c>
      <c r="R994">
        <v>0</v>
      </c>
      <c r="S994">
        <v>1</v>
      </c>
      <c r="T994">
        <v>0</v>
      </c>
      <c r="U994">
        <v>1</v>
      </c>
      <c r="V994">
        <v>0</v>
      </c>
      <c r="W994" t="s">
        <v>37</v>
      </c>
      <c r="X994">
        <v>16</v>
      </c>
      <c r="Y994">
        <v>0</v>
      </c>
      <c r="Z994">
        <f t="shared" si="90"/>
        <v>71</v>
      </c>
      <c r="AA994">
        <f t="shared" si="91"/>
        <v>1</v>
      </c>
      <c r="AB994">
        <f t="shared" si="92"/>
        <v>20</v>
      </c>
      <c r="AC994" t="str">
        <f t="shared" si="93"/>
        <v>Low</v>
      </c>
      <c r="AD994" t="str">
        <f t="shared" si="94"/>
        <v>Upsell premium bundle</v>
      </c>
      <c r="AE994">
        <f t="shared" si="95"/>
        <v>29</v>
      </c>
    </row>
    <row r="995" spans="1:31" x14ac:dyDescent="0.35">
      <c r="A995" t="s">
        <v>1053</v>
      </c>
      <c r="B995" s="4">
        <v>46003</v>
      </c>
      <c r="C995" s="4">
        <v>46143</v>
      </c>
      <c r="D995" t="s">
        <v>72</v>
      </c>
      <c r="E995">
        <v>62</v>
      </c>
      <c r="F995" t="s">
        <v>57</v>
      </c>
      <c r="G995" t="s">
        <v>40</v>
      </c>
      <c r="H995" t="s">
        <v>58</v>
      </c>
      <c r="I995" t="s">
        <v>36</v>
      </c>
      <c r="J995">
        <v>4</v>
      </c>
      <c r="K995" s="5">
        <v>530.07000000000005</v>
      </c>
      <c r="L995" s="5">
        <v>328</v>
      </c>
      <c r="M995">
        <v>19</v>
      </c>
      <c r="N995">
        <v>10</v>
      </c>
      <c r="O995">
        <v>2</v>
      </c>
      <c r="P995">
        <v>3</v>
      </c>
      <c r="Q995">
        <v>20</v>
      </c>
      <c r="R995">
        <v>2</v>
      </c>
      <c r="S995">
        <v>1</v>
      </c>
      <c r="T995">
        <v>1</v>
      </c>
      <c r="U995">
        <v>0</v>
      </c>
      <c r="V995">
        <v>0</v>
      </c>
      <c r="W995" t="s">
        <v>37</v>
      </c>
      <c r="X995">
        <v>-22</v>
      </c>
      <c r="Y995">
        <v>0</v>
      </c>
      <c r="Z995">
        <f t="shared" si="90"/>
        <v>53</v>
      </c>
      <c r="AA995">
        <f t="shared" si="91"/>
        <v>1.1470588235294117</v>
      </c>
      <c r="AB995">
        <f t="shared" si="92"/>
        <v>43</v>
      </c>
      <c r="AC995" t="str">
        <f t="shared" si="93"/>
        <v>Medium</v>
      </c>
      <c r="AD995" t="str">
        <f t="shared" si="94"/>
        <v>Nudge core feature adoption</v>
      </c>
      <c r="AE995">
        <f t="shared" si="95"/>
        <v>47</v>
      </c>
    </row>
    <row r="996" spans="1:31" x14ac:dyDescent="0.35">
      <c r="A996" t="s">
        <v>1054</v>
      </c>
      <c r="B996" s="4">
        <v>45976</v>
      </c>
      <c r="C996" s="4">
        <v>46143</v>
      </c>
      <c r="D996" t="s">
        <v>66</v>
      </c>
      <c r="E996">
        <v>60</v>
      </c>
      <c r="F996" t="s">
        <v>33</v>
      </c>
      <c r="G996" t="s">
        <v>40</v>
      </c>
      <c r="H996" t="s">
        <v>58</v>
      </c>
      <c r="I996" t="s">
        <v>36</v>
      </c>
      <c r="J996">
        <v>5</v>
      </c>
      <c r="K996" s="5">
        <v>103.71</v>
      </c>
      <c r="L996" s="5">
        <v>327.96</v>
      </c>
      <c r="M996">
        <v>61</v>
      </c>
      <c r="N996">
        <v>26</v>
      </c>
      <c r="O996">
        <v>5</v>
      </c>
      <c r="P996">
        <v>6</v>
      </c>
      <c r="Q996">
        <v>42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37</v>
      </c>
      <c r="X996">
        <v>29</v>
      </c>
      <c r="Y996">
        <v>0</v>
      </c>
      <c r="Z996">
        <f t="shared" si="90"/>
        <v>100</v>
      </c>
      <c r="AA996">
        <f t="shared" si="91"/>
        <v>2.9428571428571431</v>
      </c>
      <c r="AB996">
        <f t="shared" si="92"/>
        <v>0</v>
      </c>
      <c r="AC996" t="str">
        <f t="shared" si="93"/>
        <v>Low</v>
      </c>
      <c r="AD996" t="str">
        <f t="shared" si="94"/>
        <v>Upsell premium bundle</v>
      </c>
      <c r="AE996">
        <f t="shared" si="95"/>
        <v>0</v>
      </c>
    </row>
    <row r="997" spans="1:31" x14ac:dyDescent="0.35">
      <c r="A997" t="s">
        <v>1055</v>
      </c>
      <c r="B997" s="4">
        <v>44949</v>
      </c>
      <c r="C997" s="4">
        <v>46143</v>
      </c>
      <c r="D997" t="s">
        <v>47</v>
      </c>
      <c r="E997">
        <v>24</v>
      </c>
      <c r="F997" t="s">
        <v>57</v>
      </c>
      <c r="G997" t="s">
        <v>85</v>
      </c>
      <c r="H997" t="s">
        <v>41</v>
      </c>
      <c r="I997" t="s">
        <v>36</v>
      </c>
      <c r="J997">
        <v>39</v>
      </c>
      <c r="K997" s="5">
        <v>1550.29</v>
      </c>
      <c r="L997" s="5">
        <v>944.09</v>
      </c>
      <c r="M997">
        <v>19</v>
      </c>
      <c r="N997">
        <v>4</v>
      </c>
      <c r="O997">
        <v>2</v>
      </c>
      <c r="P997">
        <v>3</v>
      </c>
      <c r="Q997">
        <v>13</v>
      </c>
      <c r="R997">
        <v>0</v>
      </c>
      <c r="S997">
        <v>3</v>
      </c>
      <c r="T997">
        <v>0</v>
      </c>
      <c r="U997">
        <v>0</v>
      </c>
      <c r="V997">
        <v>1</v>
      </c>
      <c r="W997" t="s">
        <v>45</v>
      </c>
      <c r="X997">
        <v>-31</v>
      </c>
      <c r="Y997">
        <v>1</v>
      </c>
      <c r="Z997">
        <f t="shared" si="90"/>
        <v>49</v>
      </c>
      <c r="AA997">
        <f t="shared" si="91"/>
        <v>0.46376811594202899</v>
      </c>
      <c r="AB997">
        <f t="shared" si="92"/>
        <v>78</v>
      </c>
      <c r="AC997" t="str">
        <f t="shared" si="93"/>
        <v>High</v>
      </c>
      <c r="AD997" t="str">
        <f t="shared" si="94"/>
        <v>Retention call</v>
      </c>
      <c r="AE997">
        <f t="shared" si="95"/>
        <v>51</v>
      </c>
    </row>
    <row r="998" spans="1:31" x14ac:dyDescent="0.35">
      <c r="A998" t="s">
        <v>1056</v>
      </c>
      <c r="B998" s="4">
        <v>45881</v>
      </c>
      <c r="C998" s="4">
        <v>46143</v>
      </c>
      <c r="D998" t="s">
        <v>39</v>
      </c>
      <c r="E998">
        <v>22</v>
      </c>
      <c r="F998" t="s">
        <v>61</v>
      </c>
      <c r="G998" t="s">
        <v>48</v>
      </c>
      <c r="H998" t="s">
        <v>41</v>
      </c>
      <c r="I998" t="s">
        <v>49</v>
      </c>
      <c r="J998">
        <v>8</v>
      </c>
      <c r="K998" s="5">
        <v>3552.6</v>
      </c>
      <c r="L998" s="5">
        <v>1328.82</v>
      </c>
      <c r="M998">
        <v>27</v>
      </c>
      <c r="N998">
        <v>14</v>
      </c>
      <c r="O998">
        <v>4</v>
      </c>
      <c r="P998">
        <v>1</v>
      </c>
      <c r="Q998">
        <v>13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37</v>
      </c>
      <c r="X998">
        <v>-64</v>
      </c>
      <c r="Y998">
        <v>1</v>
      </c>
      <c r="Z998">
        <f t="shared" si="90"/>
        <v>57</v>
      </c>
      <c r="AA998">
        <f t="shared" si="91"/>
        <v>1.0526315789473684</v>
      </c>
      <c r="AB998">
        <f t="shared" si="92"/>
        <v>83</v>
      </c>
      <c r="AC998" t="str">
        <f t="shared" si="93"/>
        <v>High</v>
      </c>
      <c r="AD998" t="str">
        <f t="shared" si="94"/>
        <v>Retention call</v>
      </c>
      <c r="AE998">
        <f t="shared" si="95"/>
        <v>43</v>
      </c>
    </row>
    <row r="999" spans="1:31" x14ac:dyDescent="0.35">
      <c r="A999" t="s">
        <v>1057</v>
      </c>
      <c r="B999" s="4">
        <v>45605</v>
      </c>
      <c r="C999" s="4">
        <v>46143</v>
      </c>
      <c r="D999" t="s">
        <v>32</v>
      </c>
      <c r="E999">
        <v>64</v>
      </c>
      <c r="F999" t="s">
        <v>43</v>
      </c>
      <c r="G999" t="s">
        <v>67</v>
      </c>
      <c r="H999" t="s">
        <v>41</v>
      </c>
      <c r="I999" t="s">
        <v>36</v>
      </c>
      <c r="J999">
        <v>17</v>
      </c>
      <c r="K999" s="5">
        <v>1.78</v>
      </c>
      <c r="L999" s="5">
        <v>109.66</v>
      </c>
      <c r="M999">
        <v>36</v>
      </c>
      <c r="N999">
        <v>15</v>
      </c>
      <c r="O999">
        <v>1</v>
      </c>
      <c r="P999">
        <v>7</v>
      </c>
      <c r="Q999">
        <v>24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52</v>
      </c>
      <c r="X999">
        <v>18</v>
      </c>
      <c r="Y999">
        <v>0</v>
      </c>
      <c r="Z999">
        <f t="shared" si="90"/>
        <v>83</v>
      </c>
      <c r="AA999">
        <f t="shared" si="91"/>
        <v>1.2765957446808511</v>
      </c>
      <c r="AB999">
        <f t="shared" si="92"/>
        <v>16</v>
      </c>
      <c r="AC999" t="str">
        <f t="shared" si="93"/>
        <v>Low</v>
      </c>
      <c r="AD999" t="str">
        <f t="shared" si="94"/>
        <v>Upsell premium bundle</v>
      </c>
      <c r="AE999">
        <f t="shared" si="95"/>
        <v>17</v>
      </c>
    </row>
    <row r="1000" spans="1:31" x14ac:dyDescent="0.35">
      <c r="A1000" t="s">
        <v>1058</v>
      </c>
      <c r="B1000" s="4">
        <v>44970</v>
      </c>
      <c r="C1000" s="4">
        <v>46143</v>
      </c>
      <c r="D1000" t="s">
        <v>47</v>
      </c>
      <c r="E1000">
        <v>43</v>
      </c>
      <c r="F1000" t="s">
        <v>57</v>
      </c>
      <c r="G1000" t="s">
        <v>63</v>
      </c>
      <c r="H1000" t="s">
        <v>41</v>
      </c>
      <c r="I1000" t="s">
        <v>36</v>
      </c>
      <c r="J1000">
        <v>39</v>
      </c>
      <c r="K1000" s="5">
        <v>1410.51</v>
      </c>
      <c r="L1000" s="5">
        <v>1060.1300000000001</v>
      </c>
      <c r="M1000">
        <v>39</v>
      </c>
      <c r="N1000">
        <v>28</v>
      </c>
      <c r="O1000">
        <v>5</v>
      </c>
      <c r="P1000">
        <v>4</v>
      </c>
      <c r="Q1000">
        <v>22</v>
      </c>
      <c r="R1000">
        <v>2</v>
      </c>
      <c r="S1000">
        <v>0</v>
      </c>
      <c r="T1000">
        <v>1</v>
      </c>
      <c r="U1000">
        <v>0</v>
      </c>
      <c r="V1000">
        <v>1</v>
      </c>
      <c r="W1000" t="s">
        <v>37</v>
      </c>
      <c r="X1000">
        <v>38</v>
      </c>
      <c r="Y1000">
        <v>0</v>
      </c>
      <c r="Z1000">
        <f t="shared" si="90"/>
        <v>100</v>
      </c>
      <c r="AA1000">
        <f t="shared" si="91"/>
        <v>0.88405797101449279</v>
      </c>
      <c r="AB1000">
        <f t="shared" si="92"/>
        <v>0</v>
      </c>
      <c r="AC1000" t="str">
        <f t="shared" si="93"/>
        <v>Low</v>
      </c>
      <c r="AD1000" t="str">
        <f t="shared" si="94"/>
        <v>Upsell premium bundle</v>
      </c>
      <c r="AE1000">
        <f t="shared" si="95"/>
        <v>0</v>
      </c>
    </row>
    <row r="1001" spans="1:31" x14ac:dyDescent="0.35">
      <c r="A1001" t="s">
        <v>1059</v>
      </c>
      <c r="B1001" s="4">
        <v>45080</v>
      </c>
      <c r="C1001" s="4">
        <v>46143</v>
      </c>
      <c r="D1001" t="s">
        <v>32</v>
      </c>
      <c r="E1001">
        <v>43</v>
      </c>
      <c r="F1001" t="s">
        <v>57</v>
      </c>
      <c r="G1001" t="s">
        <v>34</v>
      </c>
      <c r="H1001" t="s">
        <v>41</v>
      </c>
      <c r="I1001" t="s">
        <v>36</v>
      </c>
      <c r="J1001">
        <v>35</v>
      </c>
      <c r="K1001" s="5">
        <v>1146.24</v>
      </c>
      <c r="L1001" s="5">
        <v>506.44</v>
      </c>
      <c r="M1001">
        <v>7</v>
      </c>
      <c r="N1001">
        <v>4</v>
      </c>
      <c r="O1001">
        <v>1</v>
      </c>
      <c r="P1001">
        <v>0</v>
      </c>
      <c r="Q1001">
        <v>16</v>
      </c>
      <c r="R1001">
        <v>0</v>
      </c>
      <c r="S1001">
        <v>1</v>
      </c>
      <c r="T1001">
        <v>0</v>
      </c>
      <c r="U1001">
        <v>0</v>
      </c>
      <c r="V1001">
        <v>0</v>
      </c>
      <c r="W1001" t="s">
        <v>55</v>
      </c>
      <c r="X1001">
        <v>54</v>
      </c>
      <c r="Y1001">
        <v>0</v>
      </c>
      <c r="Z1001">
        <f t="shared" si="90"/>
        <v>26</v>
      </c>
      <c r="AA1001">
        <f t="shared" si="91"/>
        <v>0.35384615384615387</v>
      </c>
      <c r="AB1001">
        <f t="shared" si="92"/>
        <v>29</v>
      </c>
      <c r="AC1001" t="str">
        <f t="shared" si="93"/>
        <v>Low</v>
      </c>
      <c r="AD1001" t="str">
        <f t="shared" si="94"/>
        <v>Upsell premium bundle</v>
      </c>
      <c r="AE1001">
        <f t="shared" si="95"/>
        <v>74</v>
      </c>
    </row>
    <row r="1002" spans="1:31" x14ac:dyDescent="0.35">
      <c r="A1002" t="s">
        <v>1060</v>
      </c>
      <c r="B1002" s="4">
        <v>45295</v>
      </c>
      <c r="C1002" s="4">
        <v>46143</v>
      </c>
      <c r="D1002" t="s">
        <v>47</v>
      </c>
      <c r="E1002">
        <v>19</v>
      </c>
      <c r="F1002" t="s">
        <v>57</v>
      </c>
      <c r="G1002" t="s">
        <v>63</v>
      </c>
      <c r="H1002" t="s">
        <v>58</v>
      </c>
      <c r="I1002" t="s">
        <v>36</v>
      </c>
      <c r="J1002">
        <v>28</v>
      </c>
      <c r="K1002" s="5">
        <v>2106.9699999999998</v>
      </c>
      <c r="L1002" s="5">
        <v>468.66</v>
      </c>
      <c r="M1002">
        <v>29</v>
      </c>
      <c r="N1002">
        <v>19</v>
      </c>
      <c r="O1002">
        <v>3</v>
      </c>
      <c r="P1002">
        <v>0</v>
      </c>
      <c r="Q1002">
        <v>19</v>
      </c>
      <c r="R1002">
        <v>0</v>
      </c>
      <c r="S1002">
        <v>1</v>
      </c>
      <c r="T1002">
        <v>1</v>
      </c>
      <c r="U1002">
        <v>0</v>
      </c>
      <c r="V1002">
        <v>0</v>
      </c>
      <c r="W1002" t="s">
        <v>52</v>
      </c>
      <c r="X1002">
        <v>46</v>
      </c>
      <c r="Y1002">
        <v>0</v>
      </c>
      <c r="Z1002">
        <f t="shared" si="90"/>
        <v>66</v>
      </c>
      <c r="AA1002">
        <f t="shared" si="91"/>
        <v>0.82758620689655171</v>
      </c>
      <c r="AB1002">
        <f t="shared" si="92"/>
        <v>7</v>
      </c>
      <c r="AC1002" t="str">
        <f t="shared" si="93"/>
        <v>Low</v>
      </c>
      <c r="AD1002" t="str">
        <f t="shared" si="94"/>
        <v>Upsell premium bundle</v>
      </c>
      <c r="AE1002">
        <f t="shared" si="95"/>
        <v>34</v>
      </c>
    </row>
    <row r="1003" spans="1:31" x14ac:dyDescent="0.35">
      <c r="A1003" t="s">
        <v>1061</v>
      </c>
      <c r="B1003" s="4">
        <v>45452</v>
      </c>
      <c r="C1003" s="4">
        <v>46143</v>
      </c>
      <c r="D1003" t="s">
        <v>39</v>
      </c>
      <c r="E1003">
        <v>71</v>
      </c>
      <c r="F1003" t="s">
        <v>43</v>
      </c>
      <c r="G1003" t="s">
        <v>48</v>
      </c>
      <c r="H1003" t="s">
        <v>41</v>
      </c>
      <c r="I1003" t="s">
        <v>36</v>
      </c>
      <c r="J1003">
        <v>23</v>
      </c>
      <c r="K1003" s="5">
        <v>75.19</v>
      </c>
      <c r="L1003" s="5">
        <v>103.23</v>
      </c>
      <c r="M1003">
        <v>11</v>
      </c>
      <c r="N1003">
        <v>3</v>
      </c>
      <c r="O1003">
        <v>2</v>
      </c>
      <c r="P1003">
        <v>0</v>
      </c>
      <c r="Q1003">
        <v>1</v>
      </c>
      <c r="R1003">
        <v>1</v>
      </c>
      <c r="S1003">
        <v>0</v>
      </c>
      <c r="T1003">
        <v>1</v>
      </c>
      <c r="U1003">
        <v>0</v>
      </c>
      <c r="V1003">
        <v>0</v>
      </c>
      <c r="W1003" t="s">
        <v>52</v>
      </c>
      <c r="X1003">
        <v>-3</v>
      </c>
      <c r="Y1003">
        <v>1</v>
      </c>
      <c r="Z1003">
        <f t="shared" si="90"/>
        <v>18</v>
      </c>
      <c r="AA1003">
        <f t="shared" si="91"/>
        <v>0.22641509433962265</v>
      </c>
      <c r="AB1003">
        <f t="shared" si="92"/>
        <v>51</v>
      </c>
      <c r="AC1003" t="str">
        <f t="shared" si="93"/>
        <v>Medium</v>
      </c>
      <c r="AD1003" t="str">
        <f t="shared" si="94"/>
        <v>Nudge core feature adoption</v>
      </c>
      <c r="AE1003">
        <f t="shared" si="95"/>
        <v>82</v>
      </c>
    </row>
    <row r="1004" spans="1:31" x14ac:dyDescent="0.35">
      <c r="A1004" t="s">
        <v>1062</v>
      </c>
      <c r="B1004" s="4">
        <v>45223</v>
      </c>
      <c r="C1004" s="4">
        <v>46143</v>
      </c>
      <c r="D1004" t="s">
        <v>60</v>
      </c>
      <c r="E1004">
        <v>42</v>
      </c>
      <c r="F1004" t="s">
        <v>61</v>
      </c>
      <c r="G1004" t="s">
        <v>63</v>
      </c>
      <c r="H1004" t="s">
        <v>41</v>
      </c>
      <c r="I1004" t="s">
        <v>36</v>
      </c>
      <c r="J1004">
        <v>30</v>
      </c>
      <c r="K1004" s="5">
        <v>0</v>
      </c>
      <c r="L1004" s="5">
        <v>2000.35</v>
      </c>
      <c r="M1004">
        <v>36</v>
      </c>
      <c r="N1004">
        <v>23</v>
      </c>
      <c r="O1004">
        <v>10</v>
      </c>
      <c r="P1004">
        <v>4</v>
      </c>
      <c r="Q1004">
        <v>29</v>
      </c>
      <c r="R1004">
        <v>2</v>
      </c>
      <c r="S1004">
        <v>0</v>
      </c>
      <c r="T1004">
        <v>1</v>
      </c>
      <c r="U1004">
        <v>1</v>
      </c>
      <c r="V1004">
        <v>0</v>
      </c>
      <c r="W1004" t="s">
        <v>45</v>
      </c>
      <c r="X1004">
        <v>89</v>
      </c>
      <c r="Y1004">
        <v>0</v>
      </c>
      <c r="Z1004">
        <f t="shared" si="90"/>
        <v>100</v>
      </c>
      <c r="AA1004">
        <f t="shared" si="91"/>
        <v>1.0833333333333333</v>
      </c>
      <c r="AB1004">
        <f t="shared" si="92"/>
        <v>0</v>
      </c>
      <c r="AC1004" t="str">
        <f t="shared" si="93"/>
        <v>Low</v>
      </c>
      <c r="AD1004" t="str">
        <f t="shared" si="94"/>
        <v>Upsell premium bundle</v>
      </c>
      <c r="AE1004">
        <f t="shared" si="95"/>
        <v>0</v>
      </c>
    </row>
    <row r="1005" spans="1:31" x14ac:dyDescent="0.35">
      <c r="A1005" t="s">
        <v>1063</v>
      </c>
      <c r="B1005" s="4">
        <v>45405</v>
      </c>
      <c r="C1005" s="4">
        <v>46143</v>
      </c>
      <c r="D1005" t="s">
        <v>47</v>
      </c>
      <c r="E1005">
        <v>32</v>
      </c>
      <c r="F1005" t="s">
        <v>33</v>
      </c>
      <c r="G1005" t="s">
        <v>40</v>
      </c>
      <c r="H1005" t="s">
        <v>44</v>
      </c>
      <c r="I1005" t="s">
        <v>49</v>
      </c>
      <c r="J1005">
        <v>24</v>
      </c>
      <c r="K1005" s="5">
        <v>511.27</v>
      </c>
      <c r="L1005" s="5">
        <v>264.58999999999997</v>
      </c>
      <c r="M1005">
        <v>41</v>
      </c>
      <c r="N1005">
        <v>16</v>
      </c>
      <c r="O1005">
        <v>7</v>
      </c>
      <c r="P1005">
        <v>0</v>
      </c>
      <c r="Q1005">
        <v>26</v>
      </c>
      <c r="R1005">
        <v>3</v>
      </c>
      <c r="S1005">
        <v>1</v>
      </c>
      <c r="T1005">
        <v>0</v>
      </c>
      <c r="U1005">
        <v>0</v>
      </c>
      <c r="V1005">
        <v>1</v>
      </c>
      <c r="W1005" t="s">
        <v>37</v>
      </c>
      <c r="X1005">
        <v>7</v>
      </c>
      <c r="Y1005">
        <v>1</v>
      </c>
      <c r="Z1005">
        <f t="shared" si="90"/>
        <v>95</v>
      </c>
      <c r="AA1005">
        <f t="shared" si="91"/>
        <v>1.2407407407407407</v>
      </c>
      <c r="AB1005">
        <f t="shared" si="92"/>
        <v>26</v>
      </c>
      <c r="AC1005" t="str">
        <f t="shared" si="93"/>
        <v>Low</v>
      </c>
      <c r="AD1005" t="str">
        <f t="shared" si="94"/>
        <v>Upsell premium bundle</v>
      </c>
      <c r="AE1005">
        <f t="shared" si="95"/>
        <v>5</v>
      </c>
    </row>
    <row r="1006" spans="1:31" x14ac:dyDescent="0.35">
      <c r="A1006" t="s">
        <v>1064</v>
      </c>
      <c r="B1006" s="4">
        <v>45937</v>
      </c>
      <c r="C1006" s="4">
        <v>46143</v>
      </c>
      <c r="D1006" t="s">
        <v>47</v>
      </c>
      <c r="E1006">
        <v>54</v>
      </c>
      <c r="F1006" t="s">
        <v>33</v>
      </c>
      <c r="G1006" t="s">
        <v>34</v>
      </c>
      <c r="H1006" t="s">
        <v>41</v>
      </c>
      <c r="I1006" t="s">
        <v>54</v>
      </c>
      <c r="J1006">
        <v>6</v>
      </c>
      <c r="K1006" s="5">
        <v>129.75</v>
      </c>
      <c r="L1006" s="5">
        <v>320.70999999999998</v>
      </c>
      <c r="M1006">
        <v>32</v>
      </c>
      <c r="N1006">
        <v>20</v>
      </c>
      <c r="O1006">
        <v>8</v>
      </c>
      <c r="P1006">
        <v>4</v>
      </c>
      <c r="Q1006">
        <v>30</v>
      </c>
      <c r="R1006">
        <v>3</v>
      </c>
      <c r="S1006">
        <v>2</v>
      </c>
      <c r="T1006">
        <v>1</v>
      </c>
      <c r="U1006">
        <v>0</v>
      </c>
      <c r="V1006">
        <v>1</v>
      </c>
      <c r="W1006" t="s">
        <v>50</v>
      </c>
      <c r="X1006">
        <v>19</v>
      </c>
      <c r="Y1006">
        <v>1</v>
      </c>
      <c r="Z1006">
        <f t="shared" si="90"/>
        <v>98</v>
      </c>
      <c r="AA1006">
        <f t="shared" si="91"/>
        <v>1.7222222222222223</v>
      </c>
      <c r="AB1006">
        <f t="shared" si="92"/>
        <v>37</v>
      </c>
      <c r="AC1006" t="str">
        <f t="shared" si="93"/>
        <v>Low</v>
      </c>
      <c r="AD1006" t="str">
        <f t="shared" si="94"/>
        <v>Upsell premium bundle</v>
      </c>
      <c r="AE1006">
        <f t="shared" si="95"/>
        <v>2</v>
      </c>
    </row>
    <row r="1007" spans="1:31" x14ac:dyDescent="0.35">
      <c r="A1007" t="s">
        <v>1065</v>
      </c>
      <c r="B1007" s="4">
        <v>45605</v>
      </c>
      <c r="C1007" s="4">
        <v>46143</v>
      </c>
      <c r="D1007" t="s">
        <v>72</v>
      </c>
      <c r="E1007">
        <v>66</v>
      </c>
      <c r="F1007" t="s">
        <v>77</v>
      </c>
      <c r="G1007" t="s">
        <v>34</v>
      </c>
      <c r="H1007" t="s">
        <v>41</v>
      </c>
      <c r="I1007" t="s">
        <v>36</v>
      </c>
      <c r="J1007">
        <v>17</v>
      </c>
      <c r="K1007" s="5">
        <v>779.73</v>
      </c>
      <c r="L1007" s="5">
        <v>8823.7900000000009</v>
      </c>
      <c r="M1007">
        <v>36</v>
      </c>
      <c r="N1007">
        <v>17</v>
      </c>
      <c r="O1007">
        <v>10</v>
      </c>
      <c r="P1007">
        <v>2</v>
      </c>
      <c r="Q1007">
        <v>18</v>
      </c>
      <c r="R1007">
        <v>3</v>
      </c>
      <c r="S1007">
        <v>1</v>
      </c>
      <c r="T1007">
        <v>0</v>
      </c>
      <c r="U1007">
        <v>1</v>
      </c>
      <c r="V1007">
        <v>0</v>
      </c>
      <c r="W1007" t="s">
        <v>50</v>
      </c>
      <c r="X1007">
        <v>4</v>
      </c>
      <c r="Y1007">
        <v>0</v>
      </c>
      <c r="Z1007">
        <f t="shared" si="90"/>
        <v>91</v>
      </c>
      <c r="AA1007">
        <f t="shared" si="91"/>
        <v>1.1489361702127661</v>
      </c>
      <c r="AB1007">
        <f t="shared" si="92"/>
        <v>13</v>
      </c>
      <c r="AC1007" t="str">
        <f t="shared" si="93"/>
        <v>Low</v>
      </c>
      <c r="AD1007" t="str">
        <f t="shared" si="94"/>
        <v>Upsell premium bundle</v>
      </c>
      <c r="AE1007">
        <f t="shared" si="95"/>
        <v>9</v>
      </c>
    </row>
    <row r="1008" spans="1:31" x14ac:dyDescent="0.35">
      <c r="A1008" t="s">
        <v>1066</v>
      </c>
      <c r="B1008" s="4">
        <v>45051</v>
      </c>
      <c r="C1008" s="4">
        <v>46143</v>
      </c>
      <c r="D1008" t="s">
        <v>32</v>
      </c>
      <c r="E1008">
        <v>42</v>
      </c>
      <c r="F1008" t="s">
        <v>57</v>
      </c>
      <c r="G1008" t="s">
        <v>40</v>
      </c>
      <c r="H1008" t="s">
        <v>41</v>
      </c>
      <c r="I1008" t="s">
        <v>36</v>
      </c>
      <c r="J1008">
        <v>36</v>
      </c>
      <c r="K1008" s="5">
        <v>146.63</v>
      </c>
      <c r="L1008" s="5">
        <v>828.38</v>
      </c>
      <c r="M1008">
        <v>10</v>
      </c>
      <c r="N1008">
        <v>3</v>
      </c>
      <c r="O1008">
        <v>1</v>
      </c>
      <c r="P1008">
        <v>1</v>
      </c>
      <c r="Q1008">
        <v>12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37</v>
      </c>
      <c r="X1008">
        <v>22</v>
      </c>
      <c r="Y1008">
        <v>1</v>
      </c>
      <c r="Z1008">
        <f t="shared" si="90"/>
        <v>27</v>
      </c>
      <c r="AA1008">
        <f t="shared" si="91"/>
        <v>0.33333333333333331</v>
      </c>
      <c r="AB1008">
        <f t="shared" si="92"/>
        <v>36</v>
      </c>
      <c r="AC1008" t="str">
        <f t="shared" si="93"/>
        <v>Low</v>
      </c>
      <c r="AD1008" t="str">
        <f t="shared" si="94"/>
        <v>Upsell premium bundle</v>
      </c>
      <c r="AE1008">
        <f t="shared" si="95"/>
        <v>73</v>
      </c>
    </row>
    <row r="1009" spans="1:31" x14ac:dyDescent="0.35">
      <c r="A1009" t="s">
        <v>1067</v>
      </c>
      <c r="B1009" s="4">
        <v>45190</v>
      </c>
      <c r="C1009" s="4">
        <v>46143</v>
      </c>
      <c r="D1009" t="s">
        <v>39</v>
      </c>
      <c r="E1009">
        <v>55</v>
      </c>
      <c r="F1009" t="s">
        <v>61</v>
      </c>
      <c r="G1009" t="s">
        <v>34</v>
      </c>
      <c r="H1009" t="s">
        <v>41</v>
      </c>
      <c r="I1009" t="s">
        <v>36</v>
      </c>
      <c r="J1009">
        <v>31</v>
      </c>
      <c r="K1009" s="5">
        <v>2834.94</v>
      </c>
      <c r="L1009" s="5">
        <v>3976.17</v>
      </c>
      <c r="M1009">
        <v>45</v>
      </c>
      <c r="N1009">
        <v>30</v>
      </c>
      <c r="O1009">
        <v>2</v>
      </c>
      <c r="P1009">
        <v>0</v>
      </c>
      <c r="Q1009">
        <v>41</v>
      </c>
      <c r="R1009">
        <v>0</v>
      </c>
      <c r="S1009">
        <v>0</v>
      </c>
      <c r="T1009">
        <v>1</v>
      </c>
      <c r="U1009">
        <v>0</v>
      </c>
      <c r="V1009">
        <v>0</v>
      </c>
      <c r="W1009" t="s">
        <v>37</v>
      </c>
      <c r="X1009">
        <v>32</v>
      </c>
      <c r="Y1009">
        <v>0</v>
      </c>
      <c r="Z1009">
        <f t="shared" si="90"/>
        <v>100</v>
      </c>
      <c r="AA1009">
        <f t="shared" si="91"/>
        <v>1.4098360655737705</v>
      </c>
      <c r="AB1009">
        <f t="shared" si="92"/>
        <v>0</v>
      </c>
      <c r="AC1009" t="str">
        <f t="shared" si="93"/>
        <v>Low</v>
      </c>
      <c r="AD1009" t="str">
        <f t="shared" si="94"/>
        <v>Upsell premium bundle</v>
      </c>
      <c r="AE1009">
        <f t="shared" si="95"/>
        <v>0</v>
      </c>
    </row>
    <row r="1010" spans="1:31" x14ac:dyDescent="0.35">
      <c r="A1010" t="s">
        <v>1068</v>
      </c>
      <c r="B1010" s="4">
        <v>45072</v>
      </c>
      <c r="C1010" s="4">
        <v>46143</v>
      </c>
      <c r="D1010" t="s">
        <v>60</v>
      </c>
      <c r="E1010">
        <v>41</v>
      </c>
      <c r="F1010" t="s">
        <v>43</v>
      </c>
      <c r="G1010" t="s">
        <v>85</v>
      </c>
      <c r="H1010" t="s">
        <v>58</v>
      </c>
      <c r="I1010" t="s">
        <v>49</v>
      </c>
      <c r="J1010">
        <v>35</v>
      </c>
      <c r="K1010" s="5">
        <v>116.48</v>
      </c>
      <c r="L1010" s="5">
        <v>20.04</v>
      </c>
      <c r="M1010">
        <v>35</v>
      </c>
      <c r="N1010">
        <v>16</v>
      </c>
      <c r="O1010">
        <v>9</v>
      </c>
      <c r="P1010">
        <v>3</v>
      </c>
      <c r="Q1010">
        <v>35</v>
      </c>
      <c r="R1010">
        <v>0</v>
      </c>
      <c r="S1010">
        <v>2</v>
      </c>
      <c r="T1010">
        <v>1</v>
      </c>
      <c r="U1010">
        <v>0</v>
      </c>
      <c r="V1010">
        <v>0</v>
      </c>
      <c r="W1010" t="s">
        <v>55</v>
      </c>
      <c r="X1010">
        <v>28</v>
      </c>
      <c r="Y1010">
        <v>0</v>
      </c>
      <c r="Z1010">
        <f t="shared" si="90"/>
        <v>96</v>
      </c>
      <c r="AA1010">
        <f t="shared" si="91"/>
        <v>1.0769230769230769</v>
      </c>
      <c r="AB1010">
        <f t="shared" si="92"/>
        <v>28</v>
      </c>
      <c r="AC1010" t="str">
        <f t="shared" si="93"/>
        <v>Low</v>
      </c>
      <c r="AD1010" t="str">
        <f t="shared" si="94"/>
        <v>Upsell premium bundle</v>
      </c>
      <c r="AE1010">
        <f t="shared" si="95"/>
        <v>4</v>
      </c>
    </row>
    <row r="1011" spans="1:31" x14ac:dyDescent="0.35">
      <c r="A1011" t="s">
        <v>1069</v>
      </c>
      <c r="B1011" s="4">
        <v>45069</v>
      </c>
      <c r="C1011" s="4">
        <v>46143</v>
      </c>
      <c r="D1011" t="s">
        <v>32</v>
      </c>
      <c r="E1011">
        <v>70</v>
      </c>
      <c r="F1011" t="s">
        <v>33</v>
      </c>
      <c r="G1011" t="s">
        <v>67</v>
      </c>
      <c r="H1011" t="s">
        <v>58</v>
      </c>
      <c r="I1011" t="s">
        <v>54</v>
      </c>
      <c r="J1011">
        <v>35</v>
      </c>
      <c r="K1011" s="5">
        <v>530.64</v>
      </c>
      <c r="L1011" s="5">
        <v>14.33</v>
      </c>
      <c r="M1011">
        <v>30</v>
      </c>
      <c r="N1011">
        <v>19</v>
      </c>
      <c r="O1011">
        <v>3</v>
      </c>
      <c r="P1011">
        <v>5</v>
      </c>
      <c r="Q1011">
        <v>20</v>
      </c>
      <c r="R1011">
        <v>1</v>
      </c>
      <c r="S1011">
        <v>0</v>
      </c>
      <c r="T1011">
        <v>1</v>
      </c>
      <c r="U1011">
        <v>0</v>
      </c>
      <c r="V1011">
        <v>0</v>
      </c>
      <c r="W1011" t="s">
        <v>50</v>
      </c>
      <c r="X1011">
        <v>10</v>
      </c>
      <c r="Y1011">
        <v>0</v>
      </c>
      <c r="Z1011">
        <f t="shared" si="90"/>
        <v>75</v>
      </c>
      <c r="AA1011">
        <f t="shared" si="91"/>
        <v>0.76923076923076927</v>
      </c>
      <c r="AB1011">
        <f t="shared" si="92"/>
        <v>28</v>
      </c>
      <c r="AC1011" t="str">
        <f t="shared" si="93"/>
        <v>Low</v>
      </c>
      <c r="AD1011" t="str">
        <f t="shared" si="94"/>
        <v>Upsell premium bundle</v>
      </c>
      <c r="AE1011">
        <f t="shared" si="95"/>
        <v>25</v>
      </c>
    </row>
    <row r="1012" spans="1:31" x14ac:dyDescent="0.35">
      <c r="A1012" t="s">
        <v>1070</v>
      </c>
      <c r="B1012" s="4">
        <v>45969</v>
      </c>
      <c r="C1012" s="4">
        <v>46143</v>
      </c>
      <c r="D1012" t="s">
        <v>72</v>
      </c>
      <c r="E1012">
        <v>30</v>
      </c>
      <c r="F1012" t="s">
        <v>43</v>
      </c>
      <c r="G1012" t="s">
        <v>85</v>
      </c>
      <c r="H1012" t="s">
        <v>58</v>
      </c>
      <c r="I1012" t="s">
        <v>36</v>
      </c>
      <c r="J1012">
        <v>5</v>
      </c>
      <c r="K1012" s="5">
        <v>51.63</v>
      </c>
      <c r="L1012" s="5">
        <v>44.42</v>
      </c>
      <c r="M1012">
        <v>11</v>
      </c>
      <c r="N1012">
        <v>6</v>
      </c>
      <c r="O1012">
        <v>0</v>
      </c>
      <c r="P1012">
        <v>1</v>
      </c>
      <c r="Q1012">
        <v>10</v>
      </c>
      <c r="R1012">
        <v>1</v>
      </c>
      <c r="S1012">
        <v>0</v>
      </c>
      <c r="T1012">
        <v>0</v>
      </c>
      <c r="U1012">
        <v>0</v>
      </c>
      <c r="V1012">
        <v>1</v>
      </c>
      <c r="W1012" t="s">
        <v>45</v>
      </c>
      <c r="X1012">
        <v>8</v>
      </c>
      <c r="Y1012">
        <v>0</v>
      </c>
      <c r="Z1012">
        <f t="shared" si="90"/>
        <v>34</v>
      </c>
      <c r="AA1012">
        <f t="shared" si="91"/>
        <v>0.6</v>
      </c>
      <c r="AB1012">
        <f t="shared" si="92"/>
        <v>29</v>
      </c>
      <c r="AC1012" t="str">
        <f t="shared" si="93"/>
        <v>Low</v>
      </c>
      <c r="AD1012" t="str">
        <f t="shared" si="94"/>
        <v>Upsell premium bundle</v>
      </c>
      <c r="AE1012">
        <f t="shared" si="95"/>
        <v>66</v>
      </c>
    </row>
    <row r="1013" spans="1:31" x14ac:dyDescent="0.35">
      <c r="A1013" t="s">
        <v>1071</v>
      </c>
      <c r="B1013" s="4">
        <v>45479</v>
      </c>
      <c r="C1013" s="4">
        <v>46143</v>
      </c>
      <c r="D1013" t="s">
        <v>47</v>
      </c>
      <c r="E1013">
        <v>54</v>
      </c>
      <c r="F1013" t="s">
        <v>77</v>
      </c>
      <c r="G1013" t="s">
        <v>67</v>
      </c>
      <c r="H1013" t="s">
        <v>58</v>
      </c>
      <c r="I1013" t="s">
        <v>36</v>
      </c>
      <c r="J1013">
        <v>22</v>
      </c>
      <c r="K1013" s="5">
        <v>0</v>
      </c>
      <c r="L1013" s="5">
        <v>519.03</v>
      </c>
      <c r="M1013">
        <v>23</v>
      </c>
      <c r="N1013">
        <v>14</v>
      </c>
      <c r="O1013">
        <v>6</v>
      </c>
      <c r="P1013">
        <v>3</v>
      </c>
      <c r="Q1013">
        <v>29</v>
      </c>
      <c r="R1013">
        <v>2</v>
      </c>
      <c r="S1013">
        <v>0</v>
      </c>
      <c r="T1013">
        <v>1</v>
      </c>
      <c r="U1013">
        <v>1</v>
      </c>
      <c r="V1013">
        <v>0</v>
      </c>
      <c r="W1013" t="s">
        <v>50</v>
      </c>
      <c r="X1013">
        <v>-14</v>
      </c>
      <c r="Y1013">
        <v>0</v>
      </c>
      <c r="Z1013">
        <f t="shared" si="90"/>
        <v>81</v>
      </c>
      <c r="AA1013">
        <f t="shared" si="91"/>
        <v>1</v>
      </c>
      <c r="AB1013">
        <f t="shared" si="92"/>
        <v>20</v>
      </c>
      <c r="AC1013" t="str">
        <f t="shared" si="93"/>
        <v>Low</v>
      </c>
      <c r="AD1013" t="str">
        <f t="shared" si="94"/>
        <v>Upsell premium bundle</v>
      </c>
      <c r="AE1013">
        <f t="shared" si="95"/>
        <v>19</v>
      </c>
    </row>
    <row r="1014" spans="1:31" x14ac:dyDescent="0.35">
      <c r="A1014" t="s">
        <v>1072</v>
      </c>
      <c r="B1014" s="4">
        <v>45426</v>
      </c>
      <c r="C1014" s="4">
        <v>46143</v>
      </c>
      <c r="D1014" t="s">
        <v>32</v>
      </c>
      <c r="E1014">
        <v>44</v>
      </c>
      <c r="F1014" t="s">
        <v>77</v>
      </c>
      <c r="G1014" t="s">
        <v>63</v>
      </c>
      <c r="H1014" t="s">
        <v>41</v>
      </c>
      <c r="I1014" t="s">
        <v>36</v>
      </c>
      <c r="J1014">
        <v>23</v>
      </c>
      <c r="K1014" s="5">
        <v>17047.88</v>
      </c>
      <c r="L1014" s="5">
        <v>0</v>
      </c>
      <c r="M1014">
        <v>11</v>
      </c>
      <c r="N1014">
        <v>6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52</v>
      </c>
      <c r="X1014">
        <v>7</v>
      </c>
      <c r="Y1014">
        <v>1</v>
      </c>
      <c r="Z1014">
        <f t="shared" si="90"/>
        <v>18</v>
      </c>
      <c r="AA1014">
        <f t="shared" si="91"/>
        <v>0.20754716981132076</v>
      </c>
      <c r="AB1014">
        <f t="shared" si="92"/>
        <v>47</v>
      </c>
      <c r="AC1014" t="str">
        <f t="shared" si="93"/>
        <v>Medium</v>
      </c>
      <c r="AD1014" t="str">
        <f t="shared" si="94"/>
        <v>Nudge core feature adoption</v>
      </c>
      <c r="AE1014">
        <f t="shared" si="95"/>
        <v>82</v>
      </c>
    </row>
    <row r="1015" spans="1:31" x14ac:dyDescent="0.35">
      <c r="A1015" t="s">
        <v>1073</v>
      </c>
      <c r="B1015" s="4">
        <v>45332</v>
      </c>
      <c r="C1015" s="4">
        <v>46143</v>
      </c>
      <c r="D1015" t="s">
        <v>39</v>
      </c>
      <c r="E1015">
        <v>28</v>
      </c>
      <c r="F1015" t="s">
        <v>33</v>
      </c>
      <c r="G1015" t="s">
        <v>85</v>
      </c>
      <c r="H1015" t="s">
        <v>35</v>
      </c>
      <c r="I1015" t="s">
        <v>36</v>
      </c>
      <c r="J1015">
        <v>27</v>
      </c>
      <c r="K1015" s="5">
        <v>543.77</v>
      </c>
      <c r="L1015" s="5">
        <v>100.1</v>
      </c>
      <c r="M1015">
        <v>21</v>
      </c>
      <c r="N1015">
        <v>10</v>
      </c>
      <c r="O1015">
        <v>5</v>
      </c>
      <c r="P1015">
        <v>4</v>
      </c>
      <c r="Q1015">
        <v>26</v>
      </c>
      <c r="R1015">
        <v>3</v>
      </c>
      <c r="S1015">
        <v>1</v>
      </c>
      <c r="T1015">
        <v>1</v>
      </c>
      <c r="U1015">
        <v>0</v>
      </c>
      <c r="V1015">
        <v>0</v>
      </c>
      <c r="W1015" t="s">
        <v>52</v>
      </c>
      <c r="X1015">
        <v>-11</v>
      </c>
      <c r="Y1015">
        <v>1</v>
      </c>
      <c r="Z1015">
        <f t="shared" si="90"/>
        <v>65</v>
      </c>
      <c r="AA1015">
        <f t="shared" si="91"/>
        <v>0.82456140350877194</v>
      </c>
      <c r="AB1015">
        <f t="shared" si="92"/>
        <v>31</v>
      </c>
      <c r="AC1015" t="str">
        <f t="shared" si="93"/>
        <v>Low</v>
      </c>
      <c r="AD1015" t="str">
        <f t="shared" si="94"/>
        <v>Upsell premium bundle</v>
      </c>
      <c r="AE1015">
        <f t="shared" si="95"/>
        <v>35</v>
      </c>
    </row>
    <row r="1016" spans="1:31" x14ac:dyDescent="0.35">
      <c r="A1016" t="s">
        <v>1074</v>
      </c>
      <c r="B1016" s="4">
        <v>45723</v>
      </c>
      <c r="C1016" s="4">
        <v>46143</v>
      </c>
      <c r="D1016" t="s">
        <v>60</v>
      </c>
      <c r="E1016">
        <v>70</v>
      </c>
      <c r="F1016" t="s">
        <v>43</v>
      </c>
      <c r="G1016" t="s">
        <v>67</v>
      </c>
      <c r="H1016" t="s">
        <v>44</v>
      </c>
      <c r="I1016" t="s">
        <v>36</v>
      </c>
      <c r="J1016">
        <v>14</v>
      </c>
      <c r="K1016" s="5">
        <v>90.84</v>
      </c>
      <c r="L1016" s="5">
        <v>20.100000000000001</v>
      </c>
      <c r="M1016">
        <v>33</v>
      </c>
      <c r="N1016">
        <v>17</v>
      </c>
      <c r="O1016">
        <v>8</v>
      </c>
      <c r="P1016">
        <v>1</v>
      </c>
      <c r="Q1016">
        <v>18</v>
      </c>
      <c r="R1016">
        <v>4</v>
      </c>
      <c r="S1016">
        <v>3</v>
      </c>
      <c r="T1016">
        <v>0</v>
      </c>
      <c r="U1016">
        <v>1</v>
      </c>
      <c r="V1016">
        <v>1</v>
      </c>
      <c r="W1016" t="s">
        <v>45</v>
      </c>
      <c r="X1016">
        <v>13</v>
      </c>
      <c r="Y1016">
        <v>1</v>
      </c>
      <c r="Z1016">
        <f t="shared" si="90"/>
        <v>90</v>
      </c>
      <c r="AA1016">
        <f t="shared" si="91"/>
        <v>1.1590909090909092</v>
      </c>
      <c r="AB1016">
        <f t="shared" si="92"/>
        <v>24</v>
      </c>
      <c r="AC1016" t="str">
        <f t="shared" si="93"/>
        <v>Low</v>
      </c>
      <c r="AD1016" t="str">
        <f t="shared" si="94"/>
        <v>Upsell premium bundle</v>
      </c>
      <c r="AE1016">
        <f t="shared" si="95"/>
        <v>10</v>
      </c>
    </row>
    <row r="1017" spans="1:31" x14ac:dyDescent="0.35">
      <c r="A1017" t="s">
        <v>1075</v>
      </c>
      <c r="B1017" s="4">
        <v>45410</v>
      </c>
      <c r="C1017" s="4">
        <v>46143</v>
      </c>
      <c r="D1017" t="s">
        <v>39</v>
      </c>
      <c r="E1017">
        <v>61</v>
      </c>
      <c r="F1017" t="s">
        <v>33</v>
      </c>
      <c r="G1017" t="s">
        <v>34</v>
      </c>
      <c r="H1017" t="s">
        <v>41</v>
      </c>
      <c r="I1017" t="s">
        <v>49</v>
      </c>
      <c r="J1017">
        <v>24</v>
      </c>
      <c r="K1017" s="5">
        <v>205.45</v>
      </c>
      <c r="L1017" s="5">
        <v>198.34</v>
      </c>
      <c r="M1017">
        <v>12</v>
      </c>
      <c r="N1017">
        <v>3</v>
      </c>
      <c r="O1017">
        <v>1</v>
      </c>
      <c r="P1017">
        <v>0</v>
      </c>
      <c r="Q1017">
        <v>5</v>
      </c>
      <c r="R1017">
        <v>0</v>
      </c>
      <c r="S1017">
        <v>0</v>
      </c>
      <c r="T1017">
        <v>1</v>
      </c>
      <c r="U1017">
        <v>0</v>
      </c>
      <c r="V1017">
        <v>0</v>
      </c>
      <c r="W1017" t="s">
        <v>55</v>
      </c>
      <c r="X1017">
        <v>73</v>
      </c>
      <c r="Y1017">
        <v>0</v>
      </c>
      <c r="Z1017">
        <f t="shared" si="90"/>
        <v>21</v>
      </c>
      <c r="AA1017">
        <f t="shared" si="91"/>
        <v>0.31481481481481483</v>
      </c>
      <c r="AB1017">
        <f t="shared" si="92"/>
        <v>29</v>
      </c>
      <c r="AC1017" t="str">
        <f t="shared" si="93"/>
        <v>Low</v>
      </c>
      <c r="AD1017" t="str">
        <f t="shared" si="94"/>
        <v>Upsell premium bundle</v>
      </c>
      <c r="AE1017">
        <f t="shared" si="95"/>
        <v>79</v>
      </c>
    </row>
    <row r="1018" spans="1:31" x14ac:dyDescent="0.35">
      <c r="A1018" t="s">
        <v>1076</v>
      </c>
      <c r="B1018" s="4">
        <v>46123</v>
      </c>
      <c r="C1018" s="4">
        <v>46143</v>
      </c>
      <c r="D1018" t="s">
        <v>39</v>
      </c>
      <c r="E1018">
        <v>49</v>
      </c>
      <c r="F1018" t="s">
        <v>33</v>
      </c>
      <c r="G1018" t="s">
        <v>34</v>
      </c>
      <c r="H1018" t="s">
        <v>44</v>
      </c>
      <c r="I1018" t="s">
        <v>36</v>
      </c>
      <c r="J1018">
        <v>1</v>
      </c>
      <c r="K1018" s="5">
        <v>0</v>
      </c>
      <c r="L1018" s="5">
        <v>251.62</v>
      </c>
      <c r="M1018">
        <v>38</v>
      </c>
      <c r="N1018">
        <v>23</v>
      </c>
      <c r="O1018">
        <v>8</v>
      </c>
      <c r="P1018">
        <v>1</v>
      </c>
      <c r="Q1018">
        <v>21</v>
      </c>
      <c r="R1018">
        <v>2</v>
      </c>
      <c r="S1018">
        <v>1</v>
      </c>
      <c r="T1018">
        <v>1</v>
      </c>
      <c r="U1018">
        <v>0</v>
      </c>
      <c r="V1018">
        <v>1</v>
      </c>
      <c r="W1018" t="s">
        <v>52</v>
      </c>
      <c r="X1018">
        <v>-27</v>
      </c>
      <c r="Y1018">
        <v>0</v>
      </c>
      <c r="Z1018">
        <f t="shared" si="90"/>
        <v>95</v>
      </c>
      <c r="AA1018">
        <f t="shared" si="91"/>
        <v>1.903225806451613</v>
      </c>
      <c r="AB1018">
        <f t="shared" si="92"/>
        <v>29</v>
      </c>
      <c r="AC1018" t="str">
        <f t="shared" si="93"/>
        <v>Low</v>
      </c>
      <c r="AD1018" t="str">
        <f t="shared" si="94"/>
        <v>Upsell premium bundle</v>
      </c>
      <c r="AE1018">
        <f t="shared" si="95"/>
        <v>5</v>
      </c>
    </row>
    <row r="1019" spans="1:31" x14ac:dyDescent="0.35">
      <c r="A1019" t="s">
        <v>1077</v>
      </c>
      <c r="B1019" s="4">
        <v>46005</v>
      </c>
      <c r="C1019" s="4">
        <v>46143</v>
      </c>
      <c r="D1019" t="s">
        <v>72</v>
      </c>
      <c r="E1019">
        <v>59</v>
      </c>
      <c r="F1019" t="s">
        <v>57</v>
      </c>
      <c r="G1019" t="s">
        <v>48</v>
      </c>
      <c r="H1019" t="s">
        <v>41</v>
      </c>
      <c r="I1019" t="s">
        <v>36</v>
      </c>
      <c r="J1019">
        <v>4</v>
      </c>
      <c r="K1019" s="5">
        <v>1513.58</v>
      </c>
      <c r="L1019" s="5">
        <v>761.87</v>
      </c>
      <c r="M1019">
        <v>30</v>
      </c>
      <c r="N1019">
        <v>8</v>
      </c>
      <c r="O1019">
        <v>7</v>
      </c>
      <c r="P1019">
        <v>5</v>
      </c>
      <c r="Q1019">
        <v>16</v>
      </c>
      <c r="R1019">
        <v>1</v>
      </c>
      <c r="S1019">
        <v>0</v>
      </c>
      <c r="T1019">
        <v>0</v>
      </c>
      <c r="U1019">
        <v>0</v>
      </c>
      <c r="V1019">
        <v>1</v>
      </c>
      <c r="W1019" t="s">
        <v>37</v>
      </c>
      <c r="X1019">
        <v>-11</v>
      </c>
      <c r="Y1019">
        <v>1</v>
      </c>
      <c r="Z1019">
        <f t="shared" si="90"/>
        <v>75</v>
      </c>
      <c r="AA1019">
        <f t="shared" si="91"/>
        <v>1.3529411764705883</v>
      </c>
      <c r="AB1019">
        <f t="shared" si="92"/>
        <v>32</v>
      </c>
      <c r="AC1019" t="str">
        <f t="shared" si="93"/>
        <v>Low</v>
      </c>
      <c r="AD1019" t="str">
        <f t="shared" si="94"/>
        <v>Upsell premium bundle</v>
      </c>
      <c r="AE1019">
        <f t="shared" si="95"/>
        <v>25</v>
      </c>
    </row>
    <row r="1020" spans="1:31" x14ac:dyDescent="0.35">
      <c r="A1020" t="s">
        <v>1078</v>
      </c>
      <c r="B1020" s="4">
        <v>45839</v>
      </c>
      <c r="C1020" s="4">
        <v>46143</v>
      </c>
      <c r="D1020" t="s">
        <v>39</v>
      </c>
      <c r="E1020">
        <v>42</v>
      </c>
      <c r="F1020" t="s">
        <v>33</v>
      </c>
      <c r="G1020" t="s">
        <v>40</v>
      </c>
      <c r="H1020" t="s">
        <v>41</v>
      </c>
      <c r="I1020" t="s">
        <v>49</v>
      </c>
      <c r="J1020">
        <v>10</v>
      </c>
      <c r="K1020" s="5">
        <v>471.22</v>
      </c>
      <c r="L1020" s="5">
        <v>257.97000000000003</v>
      </c>
      <c r="M1020">
        <v>35</v>
      </c>
      <c r="N1020">
        <v>16</v>
      </c>
      <c r="O1020">
        <v>3</v>
      </c>
      <c r="P1020">
        <v>0</v>
      </c>
      <c r="Q1020">
        <v>34</v>
      </c>
      <c r="R1020">
        <v>2</v>
      </c>
      <c r="S1020">
        <v>1</v>
      </c>
      <c r="T1020">
        <v>0</v>
      </c>
      <c r="U1020">
        <v>0</v>
      </c>
      <c r="V1020">
        <v>1</v>
      </c>
      <c r="W1020" t="s">
        <v>50</v>
      </c>
      <c r="X1020">
        <v>5</v>
      </c>
      <c r="Y1020">
        <v>0</v>
      </c>
      <c r="Z1020">
        <f t="shared" si="90"/>
        <v>91</v>
      </c>
      <c r="AA1020">
        <f t="shared" si="91"/>
        <v>1.7250000000000001</v>
      </c>
      <c r="AB1020">
        <f t="shared" si="92"/>
        <v>40</v>
      </c>
      <c r="AC1020" t="str">
        <f t="shared" si="93"/>
        <v>Medium</v>
      </c>
      <c r="AD1020" t="str">
        <f t="shared" si="94"/>
        <v>Nudge core feature adoption</v>
      </c>
      <c r="AE1020">
        <f t="shared" si="95"/>
        <v>9</v>
      </c>
    </row>
    <row r="1021" spans="1:31" x14ac:dyDescent="0.35">
      <c r="A1021" t="s">
        <v>1079</v>
      </c>
      <c r="B1021" s="4">
        <v>45555</v>
      </c>
      <c r="C1021" s="4">
        <v>46143</v>
      </c>
      <c r="D1021" t="s">
        <v>66</v>
      </c>
      <c r="E1021">
        <v>61</v>
      </c>
      <c r="F1021" t="s">
        <v>33</v>
      </c>
      <c r="G1021" t="s">
        <v>48</v>
      </c>
      <c r="H1021" t="s">
        <v>41</v>
      </c>
      <c r="I1021" t="s">
        <v>36</v>
      </c>
      <c r="J1021">
        <v>19</v>
      </c>
      <c r="K1021" s="5">
        <v>490.73</v>
      </c>
      <c r="L1021" s="5">
        <v>208.67</v>
      </c>
      <c r="M1021">
        <v>19</v>
      </c>
      <c r="N1021">
        <v>8</v>
      </c>
      <c r="O1021">
        <v>4</v>
      </c>
      <c r="P1021">
        <v>0</v>
      </c>
      <c r="Q1021">
        <v>20</v>
      </c>
      <c r="R1021">
        <v>1</v>
      </c>
      <c r="S1021">
        <v>1</v>
      </c>
      <c r="T1021">
        <v>1</v>
      </c>
      <c r="U1021">
        <v>1</v>
      </c>
      <c r="V1021">
        <v>0</v>
      </c>
      <c r="W1021" t="s">
        <v>52</v>
      </c>
      <c r="X1021">
        <v>34</v>
      </c>
      <c r="Y1021">
        <v>1</v>
      </c>
      <c r="Z1021">
        <f t="shared" si="90"/>
        <v>57</v>
      </c>
      <c r="AA1021">
        <f t="shared" si="91"/>
        <v>0.79591836734693877</v>
      </c>
      <c r="AB1021">
        <f t="shared" si="92"/>
        <v>25</v>
      </c>
      <c r="AC1021" t="str">
        <f t="shared" si="93"/>
        <v>Low</v>
      </c>
      <c r="AD1021" t="str">
        <f t="shared" si="94"/>
        <v>Upsell premium bundle</v>
      </c>
      <c r="AE1021">
        <f t="shared" si="95"/>
        <v>43</v>
      </c>
    </row>
    <row r="1022" spans="1:31" x14ac:dyDescent="0.35">
      <c r="A1022" t="s">
        <v>1080</v>
      </c>
      <c r="B1022" s="4">
        <v>45522</v>
      </c>
      <c r="C1022" s="4">
        <v>46143</v>
      </c>
      <c r="D1022" t="s">
        <v>47</v>
      </c>
      <c r="E1022">
        <v>31</v>
      </c>
      <c r="F1022" t="s">
        <v>61</v>
      </c>
      <c r="G1022" t="s">
        <v>67</v>
      </c>
      <c r="H1022" t="s">
        <v>41</v>
      </c>
      <c r="I1022" t="s">
        <v>36</v>
      </c>
      <c r="J1022">
        <v>20</v>
      </c>
      <c r="K1022" s="5">
        <v>0</v>
      </c>
      <c r="L1022" s="5">
        <v>1532.89</v>
      </c>
      <c r="M1022">
        <v>16</v>
      </c>
      <c r="N1022">
        <v>10</v>
      </c>
      <c r="O1022">
        <v>1</v>
      </c>
      <c r="P1022">
        <v>2</v>
      </c>
      <c r="Q1022">
        <v>4</v>
      </c>
      <c r="R1022">
        <v>0</v>
      </c>
      <c r="S1022">
        <v>1</v>
      </c>
      <c r="T1022">
        <v>1</v>
      </c>
      <c r="U1022">
        <v>0</v>
      </c>
      <c r="V1022">
        <v>1</v>
      </c>
      <c r="W1022" t="s">
        <v>50</v>
      </c>
      <c r="X1022">
        <v>26</v>
      </c>
      <c r="Y1022">
        <v>0</v>
      </c>
      <c r="Z1022">
        <f t="shared" si="90"/>
        <v>39</v>
      </c>
      <c r="AA1022">
        <f t="shared" si="91"/>
        <v>0.4</v>
      </c>
      <c r="AB1022">
        <f t="shared" si="92"/>
        <v>27</v>
      </c>
      <c r="AC1022" t="str">
        <f t="shared" si="93"/>
        <v>Low</v>
      </c>
      <c r="AD1022" t="str">
        <f t="shared" si="94"/>
        <v>Upsell premium bundle</v>
      </c>
      <c r="AE1022">
        <f t="shared" si="95"/>
        <v>61</v>
      </c>
    </row>
    <row r="1023" spans="1:31" x14ac:dyDescent="0.35">
      <c r="A1023" t="s">
        <v>1081</v>
      </c>
      <c r="B1023" s="4">
        <v>45918</v>
      </c>
      <c r="C1023" s="4">
        <v>46143</v>
      </c>
      <c r="D1023" t="s">
        <v>60</v>
      </c>
      <c r="E1023">
        <v>50</v>
      </c>
      <c r="F1023" t="s">
        <v>61</v>
      </c>
      <c r="G1023" t="s">
        <v>34</v>
      </c>
      <c r="H1023" t="s">
        <v>41</v>
      </c>
      <c r="I1023" t="s">
        <v>36</v>
      </c>
      <c r="J1023">
        <v>7</v>
      </c>
      <c r="K1023" s="5">
        <v>1159.44</v>
      </c>
      <c r="L1023" s="5">
        <v>5491.41</v>
      </c>
      <c r="M1023">
        <v>7</v>
      </c>
      <c r="N1023">
        <v>2</v>
      </c>
      <c r="O1023">
        <v>0</v>
      </c>
      <c r="P1023">
        <v>0</v>
      </c>
      <c r="Q1023">
        <v>8</v>
      </c>
      <c r="R1023">
        <v>0</v>
      </c>
      <c r="S1023">
        <v>2</v>
      </c>
      <c r="T1023">
        <v>0</v>
      </c>
      <c r="U1023">
        <v>0</v>
      </c>
      <c r="V1023">
        <v>1</v>
      </c>
      <c r="W1023" t="s">
        <v>52</v>
      </c>
      <c r="X1023">
        <v>71</v>
      </c>
      <c r="Y1023">
        <v>1</v>
      </c>
      <c r="Z1023">
        <f t="shared" si="90"/>
        <v>23</v>
      </c>
      <c r="AA1023">
        <f t="shared" si="91"/>
        <v>0.40540540540540543</v>
      </c>
      <c r="AB1023">
        <f t="shared" si="92"/>
        <v>19</v>
      </c>
      <c r="AC1023" t="str">
        <f t="shared" si="93"/>
        <v>Low</v>
      </c>
      <c r="AD1023" t="str">
        <f t="shared" si="94"/>
        <v>Upsell premium bundle</v>
      </c>
      <c r="AE1023">
        <f t="shared" si="95"/>
        <v>77</v>
      </c>
    </row>
    <row r="1024" spans="1:31" x14ac:dyDescent="0.35">
      <c r="A1024" t="s">
        <v>1082</v>
      </c>
      <c r="B1024" s="4">
        <v>46045</v>
      </c>
      <c r="C1024" s="4">
        <v>46143</v>
      </c>
      <c r="D1024" t="s">
        <v>60</v>
      </c>
      <c r="E1024">
        <v>69</v>
      </c>
      <c r="F1024" t="s">
        <v>33</v>
      </c>
      <c r="G1024" t="s">
        <v>40</v>
      </c>
      <c r="H1024" t="s">
        <v>41</v>
      </c>
      <c r="I1024" t="s">
        <v>36</v>
      </c>
      <c r="J1024">
        <v>3</v>
      </c>
      <c r="K1024" s="5">
        <v>0</v>
      </c>
      <c r="L1024" s="5">
        <v>52.17</v>
      </c>
      <c r="M1024">
        <v>17</v>
      </c>
      <c r="N1024">
        <v>10</v>
      </c>
      <c r="O1024">
        <v>2</v>
      </c>
      <c r="P1024">
        <v>0</v>
      </c>
      <c r="Q1024">
        <v>16</v>
      </c>
      <c r="R1024">
        <v>0</v>
      </c>
      <c r="S1024">
        <v>0</v>
      </c>
      <c r="T1024">
        <v>1</v>
      </c>
      <c r="U1024">
        <v>0</v>
      </c>
      <c r="V1024">
        <v>1</v>
      </c>
      <c r="W1024" t="s">
        <v>45</v>
      </c>
      <c r="X1024">
        <v>58</v>
      </c>
      <c r="Y1024">
        <v>0</v>
      </c>
      <c r="Z1024">
        <f t="shared" si="90"/>
        <v>50</v>
      </c>
      <c r="AA1024">
        <f t="shared" si="91"/>
        <v>1</v>
      </c>
      <c r="AB1024">
        <f t="shared" si="92"/>
        <v>9</v>
      </c>
      <c r="AC1024" t="str">
        <f t="shared" si="93"/>
        <v>Low</v>
      </c>
      <c r="AD1024" t="str">
        <f t="shared" si="94"/>
        <v>Upsell premium bundle</v>
      </c>
      <c r="AE1024">
        <f t="shared" si="95"/>
        <v>50</v>
      </c>
    </row>
    <row r="1025" spans="1:31" x14ac:dyDescent="0.35">
      <c r="A1025" t="s">
        <v>1083</v>
      </c>
      <c r="B1025" s="4">
        <v>46117</v>
      </c>
      <c r="C1025" s="4">
        <v>46143</v>
      </c>
      <c r="D1025" t="s">
        <v>39</v>
      </c>
      <c r="E1025">
        <v>67</v>
      </c>
      <c r="F1025" t="s">
        <v>57</v>
      </c>
      <c r="G1025" t="s">
        <v>67</v>
      </c>
      <c r="H1025" t="s">
        <v>41</v>
      </c>
      <c r="I1025" t="s">
        <v>36</v>
      </c>
      <c r="J1025">
        <v>1</v>
      </c>
      <c r="K1025" s="5">
        <v>878.98</v>
      </c>
      <c r="L1025" s="5">
        <v>275.20999999999998</v>
      </c>
      <c r="M1025">
        <v>5</v>
      </c>
      <c r="N1025">
        <v>1</v>
      </c>
      <c r="O1025">
        <v>0</v>
      </c>
      <c r="P1025">
        <v>0</v>
      </c>
      <c r="Q1025">
        <v>3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52</v>
      </c>
      <c r="X1025">
        <v>31</v>
      </c>
      <c r="Y1025">
        <v>1</v>
      </c>
      <c r="Z1025">
        <f t="shared" si="90"/>
        <v>9</v>
      </c>
      <c r="AA1025">
        <f t="shared" si="91"/>
        <v>0.25806451612903225</v>
      </c>
      <c r="AB1025">
        <f t="shared" si="92"/>
        <v>39</v>
      </c>
      <c r="AC1025" t="str">
        <f t="shared" si="93"/>
        <v>Low</v>
      </c>
      <c r="AD1025" t="str">
        <f t="shared" si="94"/>
        <v>Upsell premium bundle</v>
      </c>
      <c r="AE1025">
        <f t="shared" si="95"/>
        <v>91</v>
      </c>
    </row>
    <row r="1026" spans="1:31" x14ac:dyDescent="0.35">
      <c r="A1026" t="s">
        <v>1084</v>
      </c>
      <c r="B1026" s="4">
        <v>45911</v>
      </c>
      <c r="C1026" s="4">
        <v>46143</v>
      </c>
      <c r="D1026" t="s">
        <v>32</v>
      </c>
      <c r="E1026">
        <v>20</v>
      </c>
      <c r="F1026" t="s">
        <v>33</v>
      </c>
      <c r="G1026" t="s">
        <v>85</v>
      </c>
      <c r="H1026" t="s">
        <v>58</v>
      </c>
      <c r="I1026" t="s">
        <v>36</v>
      </c>
      <c r="J1026">
        <v>7</v>
      </c>
      <c r="K1026" s="5">
        <v>503.97</v>
      </c>
      <c r="L1026" s="5">
        <v>136.24</v>
      </c>
      <c r="M1026">
        <v>32</v>
      </c>
      <c r="N1026">
        <v>12</v>
      </c>
      <c r="O1026">
        <v>2</v>
      </c>
      <c r="P1026">
        <v>5</v>
      </c>
      <c r="Q1026">
        <v>17</v>
      </c>
      <c r="R1026">
        <v>2</v>
      </c>
      <c r="S1026">
        <v>0</v>
      </c>
      <c r="T1026">
        <v>0</v>
      </c>
      <c r="U1026">
        <v>0</v>
      </c>
      <c r="V1026">
        <v>1</v>
      </c>
      <c r="W1026" t="s">
        <v>45</v>
      </c>
      <c r="X1026">
        <v>-20</v>
      </c>
      <c r="Y1026">
        <v>0</v>
      </c>
      <c r="Z1026">
        <f t="shared" ref="Z1026:Z1089" si="96">MIN(100,ROUND((M1026*1.1+N1026*0.7+O1026*1.2+P1026*1.4+Q1026*0.9+U1026*8+V1026*7),0))</f>
        <v>75</v>
      </c>
      <c r="AA1026">
        <f t="shared" ref="AA1026:AA1089" si="97">IFERROR((M1026+Q1026)/(30+J1026),0)</f>
        <v>1.3243243243243243</v>
      </c>
      <c r="AB1026">
        <f t="shared" ref="AB1026:AB1089" si="98">ROUND(MIN(100,MAX(0,60-Z1026*0.4-R1026*1.5+S1026*8-IF(L1026&gt;1500,10,0)-X1026*0.5+IF(I1026="Completed",-8,8)+IF(H1026="Free",6,-4))),0)</f>
        <v>25</v>
      </c>
      <c r="AC1026" t="str">
        <f t="shared" ref="AC1026:AC1089" si="99">IF(AB1026&gt;=70,"High",IF(AB1026&gt;=40,"Medium","Low"))</f>
        <v>Low</v>
      </c>
      <c r="AD1026" t="str">
        <f t="shared" ref="AD1026:AD1089" si="100">IF(AC1026="High",IF(Q1026&lt;5,"Re-engage with app usage offer",IF(K1026&lt;100,"Deposit incentive","Retention call")),IF(AC1026="Medium","Nudge core feature adoption","Upsell premium bundle"))</f>
        <v>Upsell premium bundle</v>
      </c>
      <c r="AE1026">
        <f t="shared" ref="AE1026:AE1089" si="101">100-Z1026</f>
        <v>25</v>
      </c>
    </row>
    <row r="1027" spans="1:31" x14ac:dyDescent="0.35">
      <c r="A1027" t="s">
        <v>1085</v>
      </c>
      <c r="B1027" s="4">
        <v>44726</v>
      </c>
      <c r="C1027" s="4">
        <v>46143</v>
      </c>
      <c r="D1027" t="s">
        <v>66</v>
      </c>
      <c r="E1027">
        <v>51</v>
      </c>
      <c r="F1027" t="s">
        <v>33</v>
      </c>
      <c r="G1027" t="s">
        <v>67</v>
      </c>
      <c r="H1027" t="s">
        <v>41</v>
      </c>
      <c r="I1027" t="s">
        <v>54</v>
      </c>
      <c r="J1027">
        <v>47</v>
      </c>
      <c r="K1027" s="5">
        <v>562.36</v>
      </c>
      <c r="L1027" s="5">
        <v>105.96</v>
      </c>
      <c r="M1027">
        <v>25</v>
      </c>
      <c r="N1027">
        <v>11</v>
      </c>
      <c r="O1027">
        <v>3</v>
      </c>
      <c r="P1027">
        <v>2</v>
      </c>
      <c r="Q1027">
        <v>23</v>
      </c>
      <c r="R1027">
        <v>1</v>
      </c>
      <c r="S1027">
        <v>0</v>
      </c>
      <c r="T1027">
        <v>1</v>
      </c>
      <c r="U1027">
        <v>0</v>
      </c>
      <c r="V1027">
        <v>0</v>
      </c>
      <c r="W1027" t="s">
        <v>55</v>
      </c>
      <c r="X1027">
        <v>27</v>
      </c>
      <c r="Y1027">
        <v>0</v>
      </c>
      <c r="Z1027">
        <f t="shared" si="96"/>
        <v>62</v>
      </c>
      <c r="AA1027">
        <f t="shared" si="97"/>
        <v>0.62337662337662336</v>
      </c>
      <c r="AB1027">
        <f t="shared" si="98"/>
        <v>34</v>
      </c>
      <c r="AC1027" t="str">
        <f t="shared" si="99"/>
        <v>Low</v>
      </c>
      <c r="AD1027" t="str">
        <f t="shared" si="100"/>
        <v>Upsell premium bundle</v>
      </c>
      <c r="AE1027">
        <f t="shared" si="101"/>
        <v>38</v>
      </c>
    </row>
    <row r="1028" spans="1:31" x14ac:dyDescent="0.35">
      <c r="A1028" t="s">
        <v>1086</v>
      </c>
      <c r="B1028" s="4">
        <v>46013</v>
      </c>
      <c r="C1028" s="4">
        <v>46143</v>
      </c>
      <c r="D1028" t="s">
        <v>60</v>
      </c>
      <c r="E1028">
        <v>31</v>
      </c>
      <c r="F1028" t="s">
        <v>77</v>
      </c>
      <c r="G1028" t="s">
        <v>40</v>
      </c>
      <c r="H1028" t="s">
        <v>58</v>
      </c>
      <c r="I1028" t="s">
        <v>36</v>
      </c>
      <c r="J1028">
        <v>4</v>
      </c>
      <c r="K1028" s="5">
        <v>11949.56</v>
      </c>
      <c r="L1028" s="5">
        <v>11247.08</v>
      </c>
      <c r="M1028">
        <v>24</v>
      </c>
      <c r="N1028">
        <v>16</v>
      </c>
      <c r="O1028">
        <v>2</v>
      </c>
      <c r="P1028">
        <v>0</v>
      </c>
      <c r="Q1028">
        <v>14</v>
      </c>
      <c r="R1028">
        <v>0</v>
      </c>
      <c r="S1028">
        <v>0</v>
      </c>
      <c r="T1028">
        <v>1</v>
      </c>
      <c r="U1028">
        <v>0</v>
      </c>
      <c r="V1028">
        <v>0</v>
      </c>
      <c r="W1028" t="s">
        <v>52</v>
      </c>
      <c r="X1028">
        <v>-4</v>
      </c>
      <c r="Y1028">
        <v>0</v>
      </c>
      <c r="Z1028">
        <f t="shared" si="96"/>
        <v>53</v>
      </c>
      <c r="AA1028">
        <f t="shared" si="97"/>
        <v>1.1176470588235294</v>
      </c>
      <c r="AB1028">
        <f t="shared" si="98"/>
        <v>19</v>
      </c>
      <c r="AC1028" t="str">
        <f t="shared" si="99"/>
        <v>Low</v>
      </c>
      <c r="AD1028" t="str">
        <f t="shared" si="100"/>
        <v>Upsell premium bundle</v>
      </c>
      <c r="AE1028">
        <f t="shared" si="101"/>
        <v>47</v>
      </c>
    </row>
    <row r="1029" spans="1:31" x14ac:dyDescent="0.35">
      <c r="A1029" t="s">
        <v>1087</v>
      </c>
      <c r="B1029" s="4">
        <v>45083</v>
      </c>
      <c r="C1029" s="4">
        <v>46143</v>
      </c>
      <c r="D1029" t="s">
        <v>32</v>
      </c>
      <c r="E1029">
        <v>68</v>
      </c>
      <c r="F1029" t="s">
        <v>57</v>
      </c>
      <c r="G1029" t="s">
        <v>63</v>
      </c>
      <c r="H1029" t="s">
        <v>41</v>
      </c>
      <c r="I1029" t="s">
        <v>49</v>
      </c>
      <c r="J1029">
        <v>35</v>
      </c>
      <c r="K1029" s="5">
        <v>269.27999999999997</v>
      </c>
      <c r="L1029" s="5">
        <v>487.46</v>
      </c>
      <c r="M1029">
        <v>16</v>
      </c>
      <c r="N1029">
        <v>7</v>
      </c>
      <c r="O1029">
        <v>2</v>
      </c>
      <c r="P1029">
        <v>2</v>
      </c>
      <c r="Q1029">
        <v>13</v>
      </c>
      <c r="R1029">
        <v>1</v>
      </c>
      <c r="S1029">
        <v>2</v>
      </c>
      <c r="T1029">
        <v>0</v>
      </c>
      <c r="U1029">
        <v>0</v>
      </c>
      <c r="V1029">
        <v>1</v>
      </c>
      <c r="W1029" t="s">
        <v>52</v>
      </c>
      <c r="X1029">
        <v>23</v>
      </c>
      <c r="Y1029">
        <v>1</v>
      </c>
      <c r="Z1029">
        <f t="shared" si="96"/>
        <v>46</v>
      </c>
      <c r="AA1029">
        <f t="shared" si="97"/>
        <v>0.44615384615384618</v>
      </c>
      <c r="AB1029">
        <f t="shared" si="98"/>
        <v>59</v>
      </c>
      <c r="AC1029" t="str">
        <f t="shared" si="99"/>
        <v>Medium</v>
      </c>
      <c r="AD1029" t="str">
        <f t="shared" si="100"/>
        <v>Nudge core feature adoption</v>
      </c>
      <c r="AE1029">
        <f t="shared" si="101"/>
        <v>54</v>
      </c>
    </row>
    <row r="1030" spans="1:31" x14ac:dyDescent="0.35">
      <c r="A1030" t="s">
        <v>1088</v>
      </c>
      <c r="B1030" s="4">
        <v>45621</v>
      </c>
      <c r="C1030" s="4">
        <v>46143</v>
      </c>
      <c r="D1030" t="s">
        <v>32</v>
      </c>
      <c r="E1030">
        <v>33</v>
      </c>
      <c r="F1030" t="s">
        <v>33</v>
      </c>
      <c r="G1030" t="s">
        <v>34</v>
      </c>
      <c r="H1030" t="s">
        <v>41</v>
      </c>
      <c r="I1030" t="s">
        <v>36</v>
      </c>
      <c r="J1030">
        <v>17</v>
      </c>
      <c r="K1030" s="5">
        <v>630.02</v>
      </c>
      <c r="L1030" s="5">
        <v>126.08</v>
      </c>
      <c r="M1030">
        <v>19</v>
      </c>
      <c r="N1030">
        <v>9</v>
      </c>
      <c r="O1030">
        <v>1</v>
      </c>
      <c r="P1030">
        <v>2</v>
      </c>
      <c r="Q1030">
        <v>11</v>
      </c>
      <c r="R1030">
        <v>5</v>
      </c>
      <c r="S1030">
        <v>3</v>
      </c>
      <c r="T1030">
        <v>0</v>
      </c>
      <c r="U1030">
        <v>0</v>
      </c>
      <c r="V1030">
        <v>1</v>
      </c>
      <c r="W1030" t="s">
        <v>45</v>
      </c>
      <c r="X1030">
        <v>-13</v>
      </c>
      <c r="Y1030">
        <v>1</v>
      </c>
      <c r="Z1030">
        <f t="shared" si="96"/>
        <v>48</v>
      </c>
      <c r="AA1030">
        <f t="shared" si="97"/>
        <v>0.63829787234042556</v>
      </c>
      <c r="AB1030">
        <f t="shared" si="98"/>
        <v>62</v>
      </c>
      <c r="AC1030" t="str">
        <f t="shared" si="99"/>
        <v>Medium</v>
      </c>
      <c r="AD1030" t="str">
        <f t="shared" si="100"/>
        <v>Nudge core feature adoption</v>
      </c>
      <c r="AE1030">
        <f t="shared" si="101"/>
        <v>52</v>
      </c>
    </row>
    <row r="1031" spans="1:31" x14ac:dyDescent="0.35">
      <c r="A1031" t="s">
        <v>1089</v>
      </c>
      <c r="B1031" s="4">
        <v>45585</v>
      </c>
      <c r="C1031" s="4">
        <v>46143</v>
      </c>
      <c r="D1031" t="s">
        <v>47</v>
      </c>
      <c r="E1031">
        <v>61</v>
      </c>
      <c r="F1031" t="s">
        <v>33</v>
      </c>
      <c r="G1031" t="s">
        <v>67</v>
      </c>
      <c r="H1031" t="s">
        <v>58</v>
      </c>
      <c r="I1031" t="s">
        <v>36</v>
      </c>
      <c r="J1031">
        <v>18</v>
      </c>
      <c r="K1031" s="5">
        <v>421.95</v>
      </c>
      <c r="L1031" s="5">
        <v>387.32</v>
      </c>
      <c r="M1031">
        <v>30</v>
      </c>
      <c r="N1031">
        <v>17</v>
      </c>
      <c r="O1031">
        <v>5</v>
      </c>
      <c r="P1031">
        <v>1</v>
      </c>
      <c r="Q1031">
        <v>14</v>
      </c>
      <c r="R1031">
        <v>1</v>
      </c>
      <c r="S1031">
        <v>0</v>
      </c>
      <c r="T1031">
        <v>0</v>
      </c>
      <c r="U1031">
        <v>1</v>
      </c>
      <c r="V1031">
        <v>1</v>
      </c>
      <c r="W1031" t="s">
        <v>52</v>
      </c>
      <c r="X1031">
        <v>28</v>
      </c>
      <c r="Y1031">
        <v>0</v>
      </c>
      <c r="Z1031">
        <f t="shared" si="96"/>
        <v>80</v>
      </c>
      <c r="AA1031">
        <f t="shared" si="97"/>
        <v>0.91666666666666663</v>
      </c>
      <c r="AB1031">
        <f t="shared" si="98"/>
        <v>1</v>
      </c>
      <c r="AC1031" t="str">
        <f t="shared" si="99"/>
        <v>Low</v>
      </c>
      <c r="AD1031" t="str">
        <f t="shared" si="100"/>
        <v>Upsell premium bundle</v>
      </c>
      <c r="AE1031">
        <f t="shared" si="101"/>
        <v>20</v>
      </c>
    </row>
    <row r="1032" spans="1:31" x14ac:dyDescent="0.35">
      <c r="A1032" t="s">
        <v>1090</v>
      </c>
      <c r="B1032" s="4">
        <v>45490</v>
      </c>
      <c r="C1032" s="4">
        <v>46143</v>
      </c>
      <c r="D1032" t="s">
        <v>32</v>
      </c>
      <c r="E1032">
        <v>22</v>
      </c>
      <c r="F1032" t="s">
        <v>43</v>
      </c>
      <c r="G1032" t="s">
        <v>34</v>
      </c>
      <c r="H1032" t="s">
        <v>41</v>
      </c>
      <c r="I1032" t="s">
        <v>36</v>
      </c>
      <c r="J1032">
        <v>21</v>
      </c>
      <c r="K1032" s="5">
        <v>76.540000000000006</v>
      </c>
      <c r="L1032" s="5">
        <v>6.46</v>
      </c>
      <c r="M1032">
        <v>24</v>
      </c>
      <c r="N1032">
        <v>8</v>
      </c>
      <c r="O1032">
        <v>3</v>
      </c>
      <c r="P1032">
        <v>4</v>
      </c>
      <c r="Q1032">
        <v>16</v>
      </c>
      <c r="R1032">
        <v>2</v>
      </c>
      <c r="S1032">
        <v>0</v>
      </c>
      <c r="T1032">
        <v>1</v>
      </c>
      <c r="U1032">
        <v>0</v>
      </c>
      <c r="V1032">
        <v>1</v>
      </c>
      <c r="W1032" t="s">
        <v>45</v>
      </c>
      <c r="X1032">
        <v>38</v>
      </c>
      <c r="Y1032">
        <v>1</v>
      </c>
      <c r="Z1032">
        <f t="shared" si="96"/>
        <v>63</v>
      </c>
      <c r="AA1032">
        <f t="shared" si="97"/>
        <v>0.78431372549019607</v>
      </c>
      <c r="AB1032">
        <f t="shared" si="98"/>
        <v>11</v>
      </c>
      <c r="AC1032" t="str">
        <f t="shared" si="99"/>
        <v>Low</v>
      </c>
      <c r="AD1032" t="str">
        <f t="shared" si="100"/>
        <v>Upsell premium bundle</v>
      </c>
      <c r="AE1032">
        <f t="shared" si="101"/>
        <v>37</v>
      </c>
    </row>
    <row r="1033" spans="1:31" x14ac:dyDescent="0.35">
      <c r="A1033" t="s">
        <v>1091</v>
      </c>
      <c r="B1033" s="4">
        <v>45553</v>
      </c>
      <c r="C1033" s="4">
        <v>46143</v>
      </c>
      <c r="D1033" t="s">
        <v>47</v>
      </c>
      <c r="E1033">
        <v>41</v>
      </c>
      <c r="F1033" t="s">
        <v>33</v>
      </c>
      <c r="G1033" t="s">
        <v>48</v>
      </c>
      <c r="H1033" t="s">
        <v>44</v>
      </c>
      <c r="I1033" t="s">
        <v>36</v>
      </c>
      <c r="J1033">
        <v>19</v>
      </c>
      <c r="K1033" s="5">
        <v>779.46</v>
      </c>
      <c r="L1033" s="5">
        <v>137.38</v>
      </c>
      <c r="M1033">
        <v>25</v>
      </c>
      <c r="N1033">
        <v>8</v>
      </c>
      <c r="O1033">
        <v>2</v>
      </c>
      <c r="P1033">
        <v>1</v>
      </c>
      <c r="Q1033">
        <v>16</v>
      </c>
      <c r="R1033">
        <v>0</v>
      </c>
      <c r="S1033">
        <v>0</v>
      </c>
      <c r="T1033">
        <v>1</v>
      </c>
      <c r="U1033">
        <v>1</v>
      </c>
      <c r="V1033">
        <v>1</v>
      </c>
      <c r="W1033" t="s">
        <v>55</v>
      </c>
      <c r="X1033">
        <v>50</v>
      </c>
      <c r="Y1033">
        <v>0</v>
      </c>
      <c r="Z1033">
        <f t="shared" si="96"/>
        <v>66</v>
      </c>
      <c r="AA1033">
        <f t="shared" si="97"/>
        <v>0.83673469387755106</v>
      </c>
      <c r="AB1033">
        <f t="shared" si="98"/>
        <v>0</v>
      </c>
      <c r="AC1033" t="str">
        <f t="shared" si="99"/>
        <v>Low</v>
      </c>
      <c r="AD1033" t="str">
        <f t="shared" si="100"/>
        <v>Upsell premium bundle</v>
      </c>
      <c r="AE1033">
        <f t="shared" si="101"/>
        <v>34</v>
      </c>
    </row>
    <row r="1034" spans="1:31" x14ac:dyDescent="0.35">
      <c r="A1034" t="s">
        <v>1092</v>
      </c>
      <c r="B1034" s="4">
        <v>45999</v>
      </c>
      <c r="C1034" s="4">
        <v>46143</v>
      </c>
      <c r="D1034" t="s">
        <v>39</v>
      </c>
      <c r="E1034">
        <v>67</v>
      </c>
      <c r="F1034" t="s">
        <v>33</v>
      </c>
      <c r="G1034" t="s">
        <v>85</v>
      </c>
      <c r="H1034" t="s">
        <v>41</v>
      </c>
      <c r="I1034" t="s">
        <v>36</v>
      </c>
      <c r="J1034">
        <v>4</v>
      </c>
      <c r="K1034" s="5">
        <v>16.64</v>
      </c>
      <c r="L1034" s="5">
        <v>369.33</v>
      </c>
      <c r="M1034">
        <v>19</v>
      </c>
      <c r="N1034">
        <v>11</v>
      </c>
      <c r="O1034">
        <v>4</v>
      </c>
      <c r="P1034">
        <v>2</v>
      </c>
      <c r="Q1034">
        <v>11</v>
      </c>
      <c r="R1034">
        <v>2</v>
      </c>
      <c r="S1034">
        <v>2</v>
      </c>
      <c r="T1034">
        <v>0</v>
      </c>
      <c r="U1034">
        <v>0</v>
      </c>
      <c r="V1034">
        <v>0</v>
      </c>
      <c r="W1034" t="s">
        <v>50</v>
      </c>
      <c r="X1034">
        <v>-27</v>
      </c>
      <c r="Y1034">
        <v>0</v>
      </c>
      <c r="Z1034">
        <f t="shared" si="96"/>
        <v>46</v>
      </c>
      <c r="AA1034">
        <f t="shared" si="97"/>
        <v>0.88235294117647056</v>
      </c>
      <c r="AB1034">
        <f t="shared" si="98"/>
        <v>66</v>
      </c>
      <c r="AC1034" t="str">
        <f t="shared" si="99"/>
        <v>Medium</v>
      </c>
      <c r="AD1034" t="str">
        <f t="shared" si="100"/>
        <v>Nudge core feature adoption</v>
      </c>
      <c r="AE1034">
        <f t="shared" si="101"/>
        <v>54</v>
      </c>
    </row>
    <row r="1035" spans="1:31" x14ac:dyDescent="0.35">
      <c r="A1035" t="s">
        <v>1093</v>
      </c>
      <c r="B1035" s="4">
        <v>44742</v>
      </c>
      <c r="C1035" s="4">
        <v>46143</v>
      </c>
      <c r="D1035" t="s">
        <v>60</v>
      </c>
      <c r="E1035">
        <v>24</v>
      </c>
      <c r="F1035" t="s">
        <v>61</v>
      </c>
      <c r="G1035" t="s">
        <v>48</v>
      </c>
      <c r="H1035" t="s">
        <v>41</v>
      </c>
      <c r="I1035" t="s">
        <v>36</v>
      </c>
      <c r="J1035">
        <v>46</v>
      </c>
      <c r="K1035" s="5">
        <v>4669.4799999999996</v>
      </c>
      <c r="L1035" s="5">
        <v>3420.65</v>
      </c>
      <c r="M1035">
        <v>34</v>
      </c>
      <c r="N1035">
        <v>12</v>
      </c>
      <c r="O1035">
        <v>7</v>
      </c>
      <c r="P1035">
        <v>1</v>
      </c>
      <c r="Q1035">
        <v>18</v>
      </c>
      <c r="R1035">
        <v>1</v>
      </c>
      <c r="S1035">
        <v>0</v>
      </c>
      <c r="T1035">
        <v>0</v>
      </c>
      <c r="U1035">
        <v>0</v>
      </c>
      <c r="V1035">
        <v>0</v>
      </c>
      <c r="W1035" t="s">
        <v>55</v>
      </c>
      <c r="X1035">
        <v>1</v>
      </c>
      <c r="Y1035">
        <v>0</v>
      </c>
      <c r="Z1035">
        <f t="shared" si="96"/>
        <v>72</v>
      </c>
      <c r="AA1035">
        <f t="shared" si="97"/>
        <v>0.68421052631578949</v>
      </c>
      <c r="AB1035">
        <f t="shared" si="98"/>
        <v>17</v>
      </c>
      <c r="AC1035" t="str">
        <f t="shared" si="99"/>
        <v>Low</v>
      </c>
      <c r="AD1035" t="str">
        <f t="shared" si="100"/>
        <v>Upsell premium bundle</v>
      </c>
      <c r="AE1035">
        <f t="shared" si="101"/>
        <v>28</v>
      </c>
    </row>
    <row r="1036" spans="1:31" x14ac:dyDescent="0.35">
      <c r="A1036" t="s">
        <v>1094</v>
      </c>
      <c r="B1036" s="4">
        <v>45942</v>
      </c>
      <c r="C1036" s="4">
        <v>46143</v>
      </c>
      <c r="D1036" t="s">
        <v>60</v>
      </c>
      <c r="E1036">
        <v>28</v>
      </c>
      <c r="F1036" t="s">
        <v>61</v>
      </c>
      <c r="G1036" t="s">
        <v>63</v>
      </c>
      <c r="H1036" t="s">
        <v>41</v>
      </c>
      <c r="I1036" t="s">
        <v>36</v>
      </c>
      <c r="J1036">
        <v>6</v>
      </c>
      <c r="K1036" s="5">
        <v>0</v>
      </c>
      <c r="L1036" s="5">
        <v>2096.15</v>
      </c>
      <c r="M1036">
        <v>36</v>
      </c>
      <c r="N1036">
        <v>17</v>
      </c>
      <c r="O1036">
        <v>7</v>
      </c>
      <c r="P1036">
        <v>4</v>
      </c>
      <c r="Q1036">
        <v>22</v>
      </c>
      <c r="R1036">
        <v>0</v>
      </c>
      <c r="S1036">
        <v>0</v>
      </c>
      <c r="T1036">
        <v>0</v>
      </c>
      <c r="U1036">
        <v>1</v>
      </c>
      <c r="V1036">
        <v>1</v>
      </c>
      <c r="W1036" t="s">
        <v>52</v>
      </c>
      <c r="X1036">
        <v>66</v>
      </c>
      <c r="Y1036">
        <v>0</v>
      </c>
      <c r="Z1036">
        <f t="shared" si="96"/>
        <v>100</v>
      </c>
      <c r="AA1036">
        <f t="shared" si="97"/>
        <v>1.6111111111111112</v>
      </c>
      <c r="AB1036">
        <f t="shared" si="98"/>
        <v>0</v>
      </c>
      <c r="AC1036" t="str">
        <f t="shared" si="99"/>
        <v>Low</v>
      </c>
      <c r="AD1036" t="str">
        <f t="shared" si="100"/>
        <v>Upsell premium bundle</v>
      </c>
      <c r="AE1036">
        <f t="shared" si="101"/>
        <v>0</v>
      </c>
    </row>
    <row r="1037" spans="1:31" x14ac:dyDescent="0.35">
      <c r="A1037" t="s">
        <v>1095</v>
      </c>
      <c r="B1037" s="4">
        <v>45749</v>
      </c>
      <c r="C1037" s="4">
        <v>46143</v>
      </c>
      <c r="D1037" t="s">
        <v>39</v>
      </c>
      <c r="E1037">
        <v>47</v>
      </c>
      <c r="F1037" t="s">
        <v>43</v>
      </c>
      <c r="G1037" t="s">
        <v>34</v>
      </c>
      <c r="H1037" t="s">
        <v>41</v>
      </c>
      <c r="I1037" t="s">
        <v>49</v>
      </c>
      <c r="J1037">
        <v>13</v>
      </c>
      <c r="K1037" s="5">
        <v>0</v>
      </c>
      <c r="L1037" s="5">
        <v>39.630000000000003</v>
      </c>
      <c r="M1037">
        <v>19</v>
      </c>
      <c r="N1037">
        <v>7</v>
      </c>
      <c r="O1037">
        <v>1</v>
      </c>
      <c r="P1037">
        <v>3</v>
      </c>
      <c r="Q1037">
        <v>7</v>
      </c>
      <c r="R1037">
        <v>0</v>
      </c>
      <c r="S1037">
        <v>0</v>
      </c>
      <c r="T1037">
        <v>1</v>
      </c>
      <c r="U1037">
        <v>0</v>
      </c>
      <c r="V1037">
        <v>0</v>
      </c>
      <c r="W1037" t="s">
        <v>55</v>
      </c>
      <c r="X1037">
        <v>-49</v>
      </c>
      <c r="Y1037">
        <v>1</v>
      </c>
      <c r="Z1037">
        <f t="shared" si="96"/>
        <v>38</v>
      </c>
      <c r="AA1037">
        <f t="shared" si="97"/>
        <v>0.60465116279069764</v>
      </c>
      <c r="AB1037">
        <f t="shared" si="98"/>
        <v>83</v>
      </c>
      <c r="AC1037" t="str">
        <f t="shared" si="99"/>
        <v>High</v>
      </c>
      <c r="AD1037" t="str">
        <f t="shared" si="100"/>
        <v>Deposit incentive</v>
      </c>
      <c r="AE1037">
        <f t="shared" si="101"/>
        <v>62</v>
      </c>
    </row>
    <row r="1038" spans="1:31" x14ac:dyDescent="0.35">
      <c r="A1038" t="s">
        <v>1096</v>
      </c>
      <c r="B1038" s="4">
        <v>45716</v>
      </c>
      <c r="C1038" s="4">
        <v>46143</v>
      </c>
      <c r="D1038" t="s">
        <v>32</v>
      </c>
      <c r="E1038">
        <v>26</v>
      </c>
      <c r="F1038" t="s">
        <v>61</v>
      </c>
      <c r="G1038" t="s">
        <v>34</v>
      </c>
      <c r="H1038" t="s">
        <v>44</v>
      </c>
      <c r="I1038" t="s">
        <v>49</v>
      </c>
      <c r="J1038">
        <v>14</v>
      </c>
      <c r="K1038" s="5">
        <v>323.82</v>
      </c>
      <c r="L1038" s="5">
        <v>203.02</v>
      </c>
      <c r="M1038">
        <v>28</v>
      </c>
      <c r="N1038">
        <v>20</v>
      </c>
      <c r="O1038">
        <v>7</v>
      </c>
      <c r="P1038">
        <v>6</v>
      </c>
      <c r="Q1038">
        <v>21</v>
      </c>
      <c r="R1038">
        <v>2</v>
      </c>
      <c r="S1038">
        <v>0</v>
      </c>
      <c r="T1038">
        <v>1</v>
      </c>
      <c r="U1038">
        <v>0</v>
      </c>
      <c r="V1038">
        <v>0</v>
      </c>
      <c r="W1038" t="s">
        <v>50</v>
      </c>
      <c r="X1038">
        <v>-29</v>
      </c>
      <c r="Y1038">
        <v>1</v>
      </c>
      <c r="Z1038">
        <f t="shared" si="96"/>
        <v>81</v>
      </c>
      <c r="AA1038">
        <f t="shared" si="97"/>
        <v>1.1136363636363635</v>
      </c>
      <c r="AB1038">
        <f t="shared" si="98"/>
        <v>43</v>
      </c>
      <c r="AC1038" t="str">
        <f t="shared" si="99"/>
        <v>Medium</v>
      </c>
      <c r="AD1038" t="str">
        <f t="shared" si="100"/>
        <v>Nudge core feature adoption</v>
      </c>
      <c r="AE1038">
        <f t="shared" si="101"/>
        <v>19</v>
      </c>
    </row>
    <row r="1039" spans="1:31" x14ac:dyDescent="0.35">
      <c r="A1039" t="s">
        <v>1097</v>
      </c>
      <c r="B1039" s="4">
        <v>45545</v>
      </c>
      <c r="C1039" s="4">
        <v>46143</v>
      </c>
      <c r="D1039" t="s">
        <v>39</v>
      </c>
      <c r="E1039">
        <v>55</v>
      </c>
      <c r="F1039" t="s">
        <v>57</v>
      </c>
      <c r="G1039" t="s">
        <v>34</v>
      </c>
      <c r="H1039" t="s">
        <v>58</v>
      </c>
      <c r="I1039" t="s">
        <v>36</v>
      </c>
      <c r="J1039">
        <v>19</v>
      </c>
      <c r="K1039" s="5">
        <v>2166.88</v>
      </c>
      <c r="L1039" s="5">
        <v>0</v>
      </c>
      <c r="M1039">
        <v>49</v>
      </c>
      <c r="N1039">
        <v>16</v>
      </c>
      <c r="O1039">
        <v>6</v>
      </c>
      <c r="P1039">
        <v>9</v>
      </c>
      <c r="Q1039">
        <v>29</v>
      </c>
      <c r="R1039">
        <v>3</v>
      </c>
      <c r="S1039">
        <v>1</v>
      </c>
      <c r="T1039">
        <v>0</v>
      </c>
      <c r="U1039">
        <v>0</v>
      </c>
      <c r="V1039">
        <v>1</v>
      </c>
      <c r="W1039" t="s">
        <v>52</v>
      </c>
      <c r="X1039">
        <v>61</v>
      </c>
      <c r="Y1039">
        <v>0</v>
      </c>
      <c r="Z1039">
        <f t="shared" si="96"/>
        <v>100</v>
      </c>
      <c r="AA1039">
        <f t="shared" si="97"/>
        <v>1.5918367346938775</v>
      </c>
      <c r="AB1039">
        <f t="shared" si="98"/>
        <v>0</v>
      </c>
      <c r="AC1039" t="str">
        <f t="shared" si="99"/>
        <v>Low</v>
      </c>
      <c r="AD1039" t="str">
        <f t="shared" si="100"/>
        <v>Upsell premium bundle</v>
      </c>
      <c r="AE1039">
        <f t="shared" si="101"/>
        <v>0</v>
      </c>
    </row>
    <row r="1040" spans="1:31" x14ac:dyDescent="0.35">
      <c r="A1040" t="s">
        <v>1098</v>
      </c>
      <c r="B1040" s="4">
        <v>45306</v>
      </c>
      <c r="C1040" s="4">
        <v>46143</v>
      </c>
      <c r="D1040" t="s">
        <v>60</v>
      </c>
      <c r="E1040">
        <v>57</v>
      </c>
      <c r="F1040" t="s">
        <v>57</v>
      </c>
      <c r="G1040" t="s">
        <v>85</v>
      </c>
      <c r="H1040" t="s">
        <v>58</v>
      </c>
      <c r="I1040" t="s">
        <v>36</v>
      </c>
      <c r="J1040">
        <v>27</v>
      </c>
      <c r="K1040" s="5">
        <v>1960.73</v>
      </c>
      <c r="L1040" s="5">
        <v>521.87</v>
      </c>
      <c r="M1040">
        <v>16</v>
      </c>
      <c r="N1040">
        <v>7</v>
      </c>
      <c r="O1040">
        <v>4</v>
      </c>
      <c r="P1040">
        <v>1</v>
      </c>
      <c r="Q1040">
        <v>17</v>
      </c>
      <c r="R1040">
        <v>3</v>
      </c>
      <c r="S1040">
        <v>2</v>
      </c>
      <c r="T1040">
        <v>1</v>
      </c>
      <c r="U1040">
        <v>0</v>
      </c>
      <c r="V1040">
        <v>0</v>
      </c>
      <c r="W1040" t="s">
        <v>37</v>
      </c>
      <c r="X1040">
        <v>21</v>
      </c>
      <c r="Y1040">
        <v>0</v>
      </c>
      <c r="Z1040">
        <f t="shared" si="96"/>
        <v>44</v>
      </c>
      <c r="AA1040">
        <f t="shared" si="97"/>
        <v>0.57894736842105265</v>
      </c>
      <c r="AB1040">
        <f t="shared" si="98"/>
        <v>31</v>
      </c>
      <c r="AC1040" t="str">
        <f t="shared" si="99"/>
        <v>Low</v>
      </c>
      <c r="AD1040" t="str">
        <f t="shared" si="100"/>
        <v>Upsell premium bundle</v>
      </c>
      <c r="AE1040">
        <f t="shared" si="101"/>
        <v>56</v>
      </c>
    </row>
    <row r="1041" spans="1:31" x14ac:dyDescent="0.35">
      <c r="A1041" t="s">
        <v>1099</v>
      </c>
      <c r="B1041" s="4">
        <v>45025</v>
      </c>
      <c r="C1041" s="4">
        <v>46143</v>
      </c>
      <c r="D1041" t="s">
        <v>32</v>
      </c>
      <c r="E1041">
        <v>18</v>
      </c>
      <c r="F1041" t="s">
        <v>43</v>
      </c>
      <c r="G1041" t="s">
        <v>40</v>
      </c>
      <c r="H1041" t="s">
        <v>41</v>
      </c>
      <c r="I1041" t="s">
        <v>36</v>
      </c>
      <c r="J1041">
        <v>37</v>
      </c>
      <c r="K1041" s="5">
        <v>66.06</v>
      </c>
      <c r="L1041" s="5">
        <v>0</v>
      </c>
      <c r="M1041">
        <v>13</v>
      </c>
      <c r="N1041">
        <v>8</v>
      </c>
      <c r="O1041">
        <v>2</v>
      </c>
      <c r="P1041">
        <v>0</v>
      </c>
      <c r="Q1041">
        <v>2</v>
      </c>
      <c r="R1041">
        <v>2</v>
      </c>
      <c r="S1041">
        <v>0</v>
      </c>
      <c r="T1041">
        <v>1</v>
      </c>
      <c r="U1041">
        <v>0</v>
      </c>
      <c r="V1041">
        <v>1</v>
      </c>
      <c r="W1041" t="s">
        <v>37</v>
      </c>
      <c r="X1041">
        <v>16</v>
      </c>
      <c r="Y1041">
        <v>1</v>
      </c>
      <c r="Z1041">
        <f t="shared" si="96"/>
        <v>31</v>
      </c>
      <c r="AA1041">
        <f t="shared" si="97"/>
        <v>0.22388059701492538</v>
      </c>
      <c r="AB1041">
        <f t="shared" si="98"/>
        <v>35</v>
      </c>
      <c r="AC1041" t="str">
        <f t="shared" si="99"/>
        <v>Low</v>
      </c>
      <c r="AD1041" t="str">
        <f t="shared" si="100"/>
        <v>Upsell premium bundle</v>
      </c>
      <c r="AE1041">
        <f t="shared" si="101"/>
        <v>69</v>
      </c>
    </row>
    <row r="1042" spans="1:31" x14ac:dyDescent="0.35">
      <c r="A1042" t="s">
        <v>1100</v>
      </c>
      <c r="B1042" s="4">
        <v>45318</v>
      </c>
      <c r="C1042" s="4">
        <v>46143</v>
      </c>
      <c r="D1042" t="s">
        <v>60</v>
      </c>
      <c r="E1042">
        <v>23</v>
      </c>
      <c r="F1042" t="s">
        <v>61</v>
      </c>
      <c r="G1042" t="s">
        <v>85</v>
      </c>
      <c r="H1042" t="s">
        <v>41</v>
      </c>
      <c r="I1042" t="s">
        <v>36</v>
      </c>
      <c r="J1042">
        <v>27</v>
      </c>
      <c r="K1042" s="5">
        <v>2607.35</v>
      </c>
      <c r="L1042" s="5">
        <v>2124.34</v>
      </c>
      <c r="M1042">
        <v>34</v>
      </c>
      <c r="N1042">
        <v>8</v>
      </c>
      <c r="O1042">
        <v>4</v>
      </c>
      <c r="P1042">
        <v>6</v>
      </c>
      <c r="Q1042">
        <v>30</v>
      </c>
      <c r="R1042">
        <v>4</v>
      </c>
      <c r="S1042">
        <v>1</v>
      </c>
      <c r="T1042">
        <v>1</v>
      </c>
      <c r="U1042">
        <v>1</v>
      </c>
      <c r="V1042">
        <v>0</v>
      </c>
      <c r="W1042" t="s">
        <v>50</v>
      </c>
      <c r="X1042">
        <v>0</v>
      </c>
      <c r="Y1042">
        <v>1</v>
      </c>
      <c r="Z1042">
        <f t="shared" si="96"/>
        <v>91</v>
      </c>
      <c r="AA1042">
        <f t="shared" si="97"/>
        <v>1.1228070175438596</v>
      </c>
      <c r="AB1042">
        <f t="shared" si="98"/>
        <v>14</v>
      </c>
      <c r="AC1042" t="str">
        <f t="shared" si="99"/>
        <v>Low</v>
      </c>
      <c r="AD1042" t="str">
        <f t="shared" si="100"/>
        <v>Upsell premium bundle</v>
      </c>
      <c r="AE1042">
        <f t="shared" si="101"/>
        <v>9</v>
      </c>
    </row>
    <row r="1043" spans="1:31" x14ac:dyDescent="0.35">
      <c r="A1043" t="s">
        <v>1101</v>
      </c>
      <c r="B1043" s="4">
        <v>44855</v>
      </c>
      <c r="C1043" s="4">
        <v>46143</v>
      </c>
      <c r="D1043" t="s">
        <v>39</v>
      </c>
      <c r="E1043">
        <v>24</v>
      </c>
      <c r="F1043" t="s">
        <v>57</v>
      </c>
      <c r="G1043" t="s">
        <v>34</v>
      </c>
      <c r="H1043" t="s">
        <v>41</v>
      </c>
      <c r="I1043" t="s">
        <v>49</v>
      </c>
      <c r="J1043">
        <v>42</v>
      </c>
      <c r="K1043" s="5">
        <v>1118.77</v>
      </c>
      <c r="L1043" s="5">
        <v>99.57</v>
      </c>
      <c r="M1043">
        <v>45</v>
      </c>
      <c r="N1043">
        <v>30</v>
      </c>
      <c r="O1043">
        <v>11</v>
      </c>
      <c r="P1043">
        <v>5</v>
      </c>
      <c r="Q1043">
        <v>24</v>
      </c>
      <c r="R1043">
        <v>0</v>
      </c>
      <c r="S1043">
        <v>0</v>
      </c>
      <c r="T1043">
        <v>1</v>
      </c>
      <c r="U1043">
        <v>0</v>
      </c>
      <c r="V1043">
        <v>0</v>
      </c>
      <c r="W1043" t="s">
        <v>55</v>
      </c>
      <c r="X1043">
        <v>44</v>
      </c>
      <c r="Y1043">
        <v>0</v>
      </c>
      <c r="Z1043">
        <f t="shared" si="96"/>
        <v>100</v>
      </c>
      <c r="AA1043">
        <f t="shared" si="97"/>
        <v>0.95833333333333337</v>
      </c>
      <c r="AB1043">
        <f t="shared" si="98"/>
        <v>12</v>
      </c>
      <c r="AC1043" t="str">
        <f t="shared" si="99"/>
        <v>Low</v>
      </c>
      <c r="AD1043" t="str">
        <f t="shared" si="100"/>
        <v>Upsell premium bundle</v>
      </c>
      <c r="AE1043">
        <f t="shared" si="101"/>
        <v>0</v>
      </c>
    </row>
    <row r="1044" spans="1:31" x14ac:dyDescent="0.35">
      <c r="A1044" t="s">
        <v>1102</v>
      </c>
      <c r="B1044" s="4">
        <v>44742</v>
      </c>
      <c r="C1044" s="4">
        <v>46143</v>
      </c>
      <c r="D1044" t="s">
        <v>32</v>
      </c>
      <c r="E1044">
        <v>46</v>
      </c>
      <c r="F1044" t="s">
        <v>43</v>
      </c>
      <c r="G1044" t="s">
        <v>63</v>
      </c>
      <c r="H1044" t="s">
        <v>41</v>
      </c>
      <c r="I1044" t="s">
        <v>36</v>
      </c>
      <c r="J1044">
        <v>46</v>
      </c>
      <c r="K1044" s="5">
        <v>153.63999999999999</v>
      </c>
      <c r="L1044" s="5">
        <v>104.05</v>
      </c>
      <c r="M1044">
        <v>19</v>
      </c>
      <c r="N1044">
        <v>7</v>
      </c>
      <c r="O1044">
        <v>2</v>
      </c>
      <c r="P1044">
        <v>1</v>
      </c>
      <c r="Q1044">
        <v>12</v>
      </c>
      <c r="R1044">
        <v>2</v>
      </c>
      <c r="S1044">
        <v>0</v>
      </c>
      <c r="T1044">
        <v>0</v>
      </c>
      <c r="U1044">
        <v>0</v>
      </c>
      <c r="V1044">
        <v>1</v>
      </c>
      <c r="W1044" t="s">
        <v>37</v>
      </c>
      <c r="X1044">
        <v>19</v>
      </c>
      <c r="Y1044">
        <v>1</v>
      </c>
      <c r="Z1044">
        <f t="shared" si="96"/>
        <v>47</v>
      </c>
      <c r="AA1044">
        <f t="shared" si="97"/>
        <v>0.40789473684210525</v>
      </c>
      <c r="AB1044">
        <f t="shared" si="98"/>
        <v>27</v>
      </c>
      <c r="AC1044" t="str">
        <f t="shared" si="99"/>
        <v>Low</v>
      </c>
      <c r="AD1044" t="str">
        <f t="shared" si="100"/>
        <v>Upsell premium bundle</v>
      </c>
      <c r="AE1044">
        <f t="shared" si="101"/>
        <v>53</v>
      </c>
    </row>
    <row r="1045" spans="1:31" x14ac:dyDescent="0.35">
      <c r="A1045" t="s">
        <v>1103</v>
      </c>
      <c r="B1045" s="4">
        <v>45106</v>
      </c>
      <c r="C1045" s="4">
        <v>46143</v>
      </c>
      <c r="D1045" t="s">
        <v>66</v>
      </c>
      <c r="E1045">
        <v>25</v>
      </c>
      <c r="F1045" t="s">
        <v>43</v>
      </c>
      <c r="G1045" t="s">
        <v>40</v>
      </c>
      <c r="H1045" t="s">
        <v>41</v>
      </c>
      <c r="I1045" t="s">
        <v>36</v>
      </c>
      <c r="J1045">
        <v>34</v>
      </c>
      <c r="K1045" s="5">
        <v>134.72999999999999</v>
      </c>
      <c r="L1045" s="5">
        <v>26.84</v>
      </c>
      <c r="M1045">
        <v>28</v>
      </c>
      <c r="N1045">
        <v>14</v>
      </c>
      <c r="O1045">
        <v>4</v>
      </c>
      <c r="P1045">
        <v>2</v>
      </c>
      <c r="Q1045">
        <v>13</v>
      </c>
      <c r="R1045">
        <v>1</v>
      </c>
      <c r="S1045">
        <v>2</v>
      </c>
      <c r="T1045">
        <v>1</v>
      </c>
      <c r="U1045">
        <v>0</v>
      </c>
      <c r="V1045">
        <v>0</v>
      </c>
      <c r="W1045" t="s">
        <v>52</v>
      </c>
      <c r="X1045">
        <v>28</v>
      </c>
      <c r="Y1045">
        <v>0</v>
      </c>
      <c r="Z1045">
        <f t="shared" si="96"/>
        <v>60</v>
      </c>
      <c r="AA1045">
        <f t="shared" si="97"/>
        <v>0.640625</v>
      </c>
      <c r="AB1045">
        <f t="shared" si="98"/>
        <v>35</v>
      </c>
      <c r="AC1045" t="str">
        <f t="shared" si="99"/>
        <v>Low</v>
      </c>
      <c r="AD1045" t="str">
        <f t="shared" si="100"/>
        <v>Upsell premium bundle</v>
      </c>
      <c r="AE1045">
        <f t="shared" si="101"/>
        <v>40</v>
      </c>
    </row>
    <row r="1046" spans="1:31" x14ac:dyDescent="0.35">
      <c r="A1046" t="s">
        <v>1104</v>
      </c>
      <c r="B1046" s="4">
        <v>45096</v>
      </c>
      <c r="C1046" s="4">
        <v>46143</v>
      </c>
      <c r="D1046" t="s">
        <v>66</v>
      </c>
      <c r="E1046">
        <v>50</v>
      </c>
      <c r="F1046" t="s">
        <v>33</v>
      </c>
      <c r="G1046" t="s">
        <v>40</v>
      </c>
      <c r="H1046" t="s">
        <v>58</v>
      </c>
      <c r="I1046" t="s">
        <v>36</v>
      </c>
      <c r="J1046">
        <v>34</v>
      </c>
      <c r="K1046" s="5">
        <v>379.48</v>
      </c>
      <c r="L1046" s="5">
        <v>334.48</v>
      </c>
      <c r="M1046">
        <v>36</v>
      </c>
      <c r="N1046">
        <v>26</v>
      </c>
      <c r="O1046">
        <v>5</v>
      </c>
      <c r="P1046">
        <v>7</v>
      </c>
      <c r="Q1046">
        <v>23</v>
      </c>
      <c r="R1046">
        <v>0</v>
      </c>
      <c r="S1046">
        <v>1</v>
      </c>
      <c r="T1046">
        <v>1</v>
      </c>
      <c r="U1046">
        <v>0</v>
      </c>
      <c r="V1046">
        <v>1</v>
      </c>
      <c r="W1046" t="s">
        <v>55</v>
      </c>
      <c r="X1046">
        <v>33</v>
      </c>
      <c r="Y1046">
        <v>0</v>
      </c>
      <c r="Z1046">
        <f t="shared" si="96"/>
        <v>100</v>
      </c>
      <c r="AA1046">
        <f t="shared" si="97"/>
        <v>0.921875</v>
      </c>
      <c r="AB1046">
        <f t="shared" si="98"/>
        <v>0</v>
      </c>
      <c r="AC1046" t="str">
        <f t="shared" si="99"/>
        <v>Low</v>
      </c>
      <c r="AD1046" t="str">
        <f t="shared" si="100"/>
        <v>Upsell premium bundle</v>
      </c>
      <c r="AE1046">
        <f t="shared" si="101"/>
        <v>0</v>
      </c>
    </row>
    <row r="1047" spans="1:31" x14ac:dyDescent="0.35">
      <c r="A1047" t="s">
        <v>1105</v>
      </c>
      <c r="B1047" s="4">
        <v>45097</v>
      </c>
      <c r="C1047" s="4">
        <v>46143</v>
      </c>
      <c r="D1047" t="s">
        <v>60</v>
      </c>
      <c r="E1047">
        <v>34</v>
      </c>
      <c r="F1047" t="s">
        <v>57</v>
      </c>
      <c r="G1047" t="s">
        <v>34</v>
      </c>
      <c r="H1047" t="s">
        <v>58</v>
      </c>
      <c r="I1047" t="s">
        <v>49</v>
      </c>
      <c r="J1047">
        <v>34</v>
      </c>
      <c r="K1047" s="5">
        <v>1380.44</v>
      </c>
      <c r="L1047" s="5">
        <v>944.65</v>
      </c>
      <c r="M1047">
        <v>31</v>
      </c>
      <c r="N1047">
        <v>9</v>
      </c>
      <c r="O1047">
        <v>7</v>
      </c>
      <c r="P1047">
        <v>6</v>
      </c>
      <c r="Q1047">
        <v>25</v>
      </c>
      <c r="R1047">
        <v>0</v>
      </c>
      <c r="S1047">
        <v>1</v>
      </c>
      <c r="T1047">
        <v>0</v>
      </c>
      <c r="U1047">
        <v>0</v>
      </c>
      <c r="V1047">
        <v>0</v>
      </c>
      <c r="W1047" t="s">
        <v>50</v>
      </c>
      <c r="X1047">
        <v>0</v>
      </c>
      <c r="Y1047">
        <v>0</v>
      </c>
      <c r="Z1047">
        <f t="shared" si="96"/>
        <v>80</v>
      </c>
      <c r="AA1047">
        <f t="shared" si="97"/>
        <v>0.875</v>
      </c>
      <c r="AB1047">
        <f t="shared" si="98"/>
        <v>40</v>
      </c>
      <c r="AC1047" t="str">
        <f t="shared" si="99"/>
        <v>Medium</v>
      </c>
      <c r="AD1047" t="str">
        <f t="shared" si="100"/>
        <v>Nudge core feature adoption</v>
      </c>
      <c r="AE1047">
        <f t="shared" si="101"/>
        <v>20</v>
      </c>
    </row>
    <row r="1048" spans="1:31" x14ac:dyDescent="0.35">
      <c r="A1048" t="s">
        <v>1106</v>
      </c>
      <c r="B1048" s="4">
        <v>45727</v>
      </c>
      <c r="C1048" s="4">
        <v>46143</v>
      </c>
      <c r="D1048" t="s">
        <v>66</v>
      </c>
      <c r="E1048">
        <v>36</v>
      </c>
      <c r="F1048" t="s">
        <v>57</v>
      </c>
      <c r="G1048" t="s">
        <v>34</v>
      </c>
      <c r="H1048" t="s">
        <v>44</v>
      </c>
      <c r="I1048" t="s">
        <v>49</v>
      </c>
      <c r="J1048">
        <v>13</v>
      </c>
      <c r="K1048" s="5">
        <v>1480.28</v>
      </c>
      <c r="L1048" s="5">
        <v>1837.1</v>
      </c>
      <c r="M1048">
        <v>41</v>
      </c>
      <c r="N1048">
        <v>14</v>
      </c>
      <c r="O1048">
        <v>4</v>
      </c>
      <c r="P1048">
        <v>4</v>
      </c>
      <c r="Q1048">
        <v>24</v>
      </c>
      <c r="R1048">
        <v>3</v>
      </c>
      <c r="S1048">
        <v>0</v>
      </c>
      <c r="T1048">
        <v>1</v>
      </c>
      <c r="U1048">
        <v>1</v>
      </c>
      <c r="V1048">
        <v>1</v>
      </c>
      <c r="W1048" t="s">
        <v>55</v>
      </c>
      <c r="X1048">
        <v>14</v>
      </c>
      <c r="Y1048">
        <v>0</v>
      </c>
      <c r="Z1048">
        <f t="shared" si="96"/>
        <v>100</v>
      </c>
      <c r="AA1048">
        <f t="shared" si="97"/>
        <v>1.5116279069767442</v>
      </c>
      <c r="AB1048">
        <f t="shared" si="98"/>
        <v>3</v>
      </c>
      <c r="AC1048" t="str">
        <f t="shared" si="99"/>
        <v>Low</v>
      </c>
      <c r="AD1048" t="str">
        <f t="shared" si="100"/>
        <v>Upsell premium bundle</v>
      </c>
      <c r="AE1048">
        <f t="shared" si="101"/>
        <v>0</v>
      </c>
    </row>
    <row r="1049" spans="1:31" x14ac:dyDescent="0.35">
      <c r="A1049" t="s">
        <v>1107</v>
      </c>
      <c r="B1049" s="4">
        <v>45356</v>
      </c>
      <c r="C1049" s="4">
        <v>46143</v>
      </c>
      <c r="D1049" t="s">
        <v>66</v>
      </c>
      <c r="E1049">
        <v>60</v>
      </c>
      <c r="F1049" t="s">
        <v>61</v>
      </c>
      <c r="G1049" t="s">
        <v>63</v>
      </c>
      <c r="H1049" t="s">
        <v>41</v>
      </c>
      <c r="I1049" t="s">
        <v>54</v>
      </c>
      <c r="J1049">
        <v>26</v>
      </c>
      <c r="K1049" s="5">
        <v>6471.52</v>
      </c>
      <c r="L1049" s="5">
        <v>4017.27</v>
      </c>
      <c r="M1049">
        <v>0</v>
      </c>
      <c r="N1049">
        <v>0</v>
      </c>
      <c r="O1049">
        <v>0</v>
      </c>
      <c r="P1049">
        <v>0</v>
      </c>
      <c r="Q1049">
        <v>9</v>
      </c>
      <c r="R1049">
        <v>4</v>
      </c>
      <c r="S1049">
        <v>1</v>
      </c>
      <c r="T1049">
        <v>0</v>
      </c>
      <c r="U1049">
        <v>0</v>
      </c>
      <c r="V1049">
        <v>1</v>
      </c>
      <c r="W1049" t="s">
        <v>45</v>
      </c>
      <c r="X1049">
        <v>-30</v>
      </c>
      <c r="Y1049">
        <v>1</v>
      </c>
      <c r="Z1049">
        <f t="shared" si="96"/>
        <v>15</v>
      </c>
      <c r="AA1049">
        <f t="shared" si="97"/>
        <v>0.16071428571428573</v>
      </c>
      <c r="AB1049">
        <f t="shared" si="98"/>
        <v>75</v>
      </c>
      <c r="AC1049" t="str">
        <f t="shared" si="99"/>
        <v>High</v>
      </c>
      <c r="AD1049" t="str">
        <f t="shared" si="100"/>
        <v>Retention call</v>
      </c>
      <c r="AE1049">
        <f t="shared" si="101"/>
        <v>85</v>
      </c>
    </row>
    <row r="1050" spans="1:31" x14ac:dyDescent="0.35">
      <c r="A1050" t="s">
        <v>1108</v>
      </c>
      <c r="B1050" s="4">
        <v>45522</v>
      </c>
      <c r="C1050" s="4">
        <v>46143</v>
      </c>
      <c r="D1050" t="s">
        <v>60</v>
      </c>
      <c r="E1050">
        <v>40</v>
      </c>
      <c r="F1050" t="s">
        <v>33</v>
      </c>
      <c r="G1050" t="s">
        <v>34</v>
      </c>
      <c r="H1050" t="s">
        <v>58</v>
      </c>
      <c r="I1050" t="s">
        <v>49</v>
      </c>
      <c r="J1050">
        <v>20</v>
      </c>
      <c r="K1050" s="5">
        <v>368.14</v>
      </c>
      <c r="L1050" s="5">
        <v>325.52</v>
      </c>
      <c r="M1050">
        <v>28</v>
      </c>
      <c r="N1050">
        <v>20</v>
      </c>
      <c r="O1050">
        <v>5</v>
      </c>
      <c r="P1050">
        <v>4</v>
      </c>
      <c r="Q1050">
        <v>34</v>
      </c>
      <c r="R1050">
        <v>0</v>
      </c>
      <c r="S1050">
        <v>0</v>
      </c>
      <c r="T1050">
        <v>1</v>
      </c>
      <c r="U1050">
        <v>0</v>
      </c>
      <c r="V1050">
        <v>0</v>
      </c>
      <c r="W1050" t="s">
        <v>50</v>
      </c>
      <c r="X1050">
        <v>55</v>
      </c>
      <c r="Y1050">
        <v>0</v>
      </c>
      <c r="Z1050">
        <f t="shared" si="96"/>
        <v>87</v>
      </c>
      <c r="AA1050">
        <f t="shared" si="97"/>
        <v>1.24</v>
      </c>
      <c r="AB1050">
        <f t="shared" si="98"/>
        <v>2</v>
      </c>
      <c r="AC1050" t="str">
        <f t="shared" si="99"/>
        <v>Low</v>
      </c>
      <c r="AD1050" t="str">
        <f t="shared" si="100"/>
        <v>Upsell premium bundle</v>
      </c>
      <c r="AE1050">
        <f t="shared" si="101"/>
        <v>13</v>
      </c>
    </row>
    <row r="1051" spans="1:31" x14ac:dyDescent="0.35">
      <c r="A1051" t="s">
        <v>1109</v>
      </c>
      <c r="B1051" s="4">
        <v>45092</v>
      </c>
      <c r="C1051" s="4">
        <v>46143</v>
      </c>
      <c r="D1051" t="s">
        <v>39</v>
      </c>
      <c r="E1051">
        <v>67</v>
      </c>
      <c r="F1051" t="s">
        <v>61</v>
      </c>
      <c r="G1051" t="s">
        <v>34</v>
      </c>
      <c r="H1051" t="s">
        <v>41</v>
      </c>
      <c r="I1051" t="s">
        <v>36</v>
      </c>
      <c r="J1051">
        <v>35</v>
      </c>
      <c r="K1051" s="5">
        <v>1453.84</v>
      </c>
      <c r="L1051" s="5">
        <v>1107.6600000000001</v>
      </c>
      <c r="M1051">
        <v>24</v>
      </c>
      <c r="N1051">
        <v>10</v>
      </c>
      <c r="O1051">
        <v>3</v>
      </c>
      <c r="P1051">
        <v>2</v>
      </c>
      <c r="Q1051">
        <v>18</v>
      </c>
      <c r="R1051">
        <v>0</v>
      </c>
      <c r="S1051">
        <v>0</v>
      </c>
      <c r="T1051">
        <v>1</v>
      </c>
      <c r="U1051">
        <v>0</v>
      </c>
      <c r="V1051">
        <v>0</v>
      </c>
      <c r="W1051" t="s">
        <v>55</v>
      </c>
      <c r="X1051">
        <v>29</v>
      </c>
      <c r="Y1051">
        <v>0</v>
      </c>
      <c r="Z1051">
        <f t="shared" si="96"/>
        <v>56</v>
      </c>
      <c r="AA1051">
        <f t="shared" si="97"/>
        <v>0.64615384615384619</v>
      </c>
      <c r="AB1051">
        <f t="shared" si="98"/>
        <v>21</v>
      </c>
      <c r="AC1051" t="str">
        <f t="shared" si="99"/>
        <v>Low</v>
      </c>
      <c r="AD1051" t="str">
        <f t="shared" si="100"/>
        <v>Upsell premium bundle</v>
      </c>
      <c r="AE1051">
        <f t="shared" si="101"/>
        <v>44</v>
      </c>
    </row>
    <row r="1052" spans="1:31" x14ac:dyDescent="0.35">
      <c r="A1052" t="s">
        <v>1110</v>
      </c>
      <c r="B1052" s="4">
        <v>45150</v>
      </c>
      <c r="C1052" s="4">
        <v>46143</v>
      </c>
      <c r="D1052" t="s">
        <v>47</v>
      </c>
      <c r="E1052">
        <v>48</v>
      </c>
      <c r="F1052" t="s">
        <v>57</v>
      </c>
      <c r="G1052" t="s">
        <v>63</v>
      </c>
      <c r="H1052" t="s">
        <v>41</v>
      </c>
      <c r="I1052" t="s">
        <v>54</v>
      </c>
      <c r="J1052">
        <v>33</v>
      </c>
      <c r="K1052" s="5">
        <v>1254.96</v>
      </c>
      <c r="L1052" s="5">
        <v>1093.3399999999999</v>
      </c>
      <c r="M1052">
        <v>7</v>
      </c>
      <c r="N1052">
        <v>5</v>
      </c>
      <c r="O1052">
        <v>1</v>
      </c>
      <c r="P1052">
        <v>0</v>
      </c>
      <c r="Q1052">
        <v>20</v>
      </c>
      <c r="R1052">
        <v>2</v>
      </c>
      <c r="S1052">
        <v>0</v>
      </c>
      <c r="T1052">
        <v>1</v>
      </c>
      <c r="U1052">
        <v>0</v>
      </c>
      <c r="V1052">
        <v>0</v>
      </c>
      <c r="W1052" t="s">
        <v>52</v>
      </c>
      <c r="X1052">
        <v>-4</v>
      </c>
      <c r="Y1052">
        <v>1</v>
      </c>
      <c r="Z1052">
        <f t="shared" si="96"/>
        <v>30</v>
      </c>
      <c r="AA1052">
        <f t="shared" si="97"/>
        <v>0.42857142857142855</v>
      </c>
      <c r="AB1052">
        <f t="shared" si="98"/>
        <v>61</v>
      </c>
      <c r="AC1052" t="str">
        <f t="shared" si="99"/>
        <v>Medium</v>
      </c>
      <c r="AD1052" t="str">
        <f t="shared" si="100"/>
        <v>Nudge core feature adoption</v>
      </c>
      <c r="AE1052">
        <f t="shared" si="101"/>
        <v>70</v>
      </c>
    </row>
    <row r="1053" spans="1:31" x14ac:dyDescent="0.35">
      <c r="A1053" t="s">
        <v>1111</v>
      </c>
      <c r="B1053" s="4">
        <v>45029</v>
      </c>
      <c r="C1053" s="4">
        <v>46143</v>
      </c>
      <c r="D1053" t="s">
        <v>66</v>
      </c>
      <c r="E1053">
        <v>39</v>
      </c>
      <c r="F1053" t="s">
        <v>33</v>
      </c>
      <c r="G1053" t="s">
        <v>85</v>
      </c>
      <c r="H1053" t="s">
        <v>41</v>
      </c>
      <c r="I1053" t="s">
        <v>36</v>
      </c>
      <c r="J1053">
        <v>37</v>
      </c>
      <c r="K1053" s="5">
        <v>209.95</v>
      </c>
      <c r="L1053" s="5">
        <v>0</v>
      </c>
      <c r="M1053">
        <v>20</v>
      </c>
      <c r="N1053">
        <v>10</v>
      </c>
      <c r="O1053">
        <v>4</v>
      </c>
      <c r="P1053">
        <v>0</v>
      </c>
      <c r="Q1053">
        <v>2</v>
      </c>
      <c r="R1053">
        <v>0</v>
      </c>
      <c r="S1053">
        <v>0</v>
      </c>
      <c r="T1053">
        <v>1</v>
      </c>
      <c r="U1053">
        <v>0</v>
      </c>
      <c r="V1053">
        <v>1</v>
      </c>
      <c r="W1053" t="s">
        <v>45</v>
      </c>
      <c r="X1053">
        <v>26</v>
      </c>
      <c r="Y1053">
        <v>0</v>
      </c>
      <c r="Z1053">
        <f t="shared" si="96"/>
        <v>43</v>
      </c>
      <c r="AA1053">
        <f t="shared" si="97"/>
        <v>0.32835820895522388</v>
      </c>
      <c r="AB1053">
        <f t="shared" si="98"/>
        <v>28</v>
      </c>
      <c r="AC1053" t="str">
        <f t="shared" si="99"/>
        <v>Low</v>
      </c>
      <c r="AD1053" t="str">
        <f t="shared" si="100"/>
        <v>Upsell premium bundle</v>
      </c>
      <c r="AE1053">
        <f t="shared" si="101"/>
        <v>57</v>
      </c>
    </row>
    <row r="1054" spans="1:31" x14ac:dyDescent="0.35">
      <c r="A1054" t="s">
        <v>1112</v>
      </c>
      <c r="B1054" s="4">
        <v>45981</v>
      </c>
      <c r="C1054" s="4">
        <v>46143</v>
      </c>
      <c r="D1054" t="s">
        <v>60</v>
      </c>
      <c r="E1054">
        <v>53</v>
      </c>
      <c r="F1054" t="s">
        <v>33</v>
      </c>
      <c r="G1054" t="s">
        <v>63</v>
      </c>
      <c r="H1054" t="s">
        <v>41</v>
      </c>
      <c r="I1054" t="s">
        <v>49</v>
      </c>
      <c r="J1054">
        <v>5</v>
      </c>
      <c r="K1054" s="5">
        <v>417.81</v>
      </c>
      <c r="L1054" s="5">
        <v>637.45000000000005</v>
      </c>
      <c r="M1054">
        <v>9</v>
      </c>
      <c r="N1054">
        <v>3</v>
      </c>
      <c r="O1054">
        <v>0</v>
      </c>
      <c r="P1054">
        <v>1</v>
      </c>
      <c r="Q1054">
        <v>12</v>
      </c>
      <c r="R1054">
        <v>2</v>
      </c>
      <c r="S1054">
        <v>1</v>
      </c>
      <c r="T1054">
        <v>1</v>
      </c>
      <c r="U1054">
        <v>0</v>
      </c>
      <c r="V1054">
        <v>0</v>
      </c>
      <c r="W1054" t="s">
        <v>55</v>
      </c>
      <c r="X1054">
        <v>7</v>
      </c>
      <c r="Y1054">
        <v>1</v>
      </c>
      <c r="Z1054">
        <f t="shared" si="96"/>
        <v>24</v>
      </c>
      <c r="AA1054">
        <f t="shared" si="97"/>
        <v>0.6</v>
      </c>
      <c r="AB1054">
        <f t="shared" si="98"/>
        <v>66</v>
      </c>
      <c r="AC1054" t="str">
        <f t="shared" si="99"/>
        <v>Medium</v>
      </c>
      <c r="AD1054" t="str">
        <f t="shared" si="100"/>
        <v>Nudge core feature adoption</v>
      </c>
      <c r="AE1054">
        <f t="shared" si="101"/>
        <v>76</v>
      </c>
    </row>
    <row r="1055" spans="1:31" x14ac:dyDescent="0.35">
      <c r="A1055" t="s">
        <v>1113</v>
      </c>
      <c r="B1055" s="4">
        <v>45357</v>
      </c>
      <c r="C1055" s="4">
        <v>46143</v>
      </c>
      <c r="D1055" t="s">
        <v>66</v>
      </c>
      <c r="E1055">
        <v>31</v>
      </c>
      <c r="F1055" t="s">
        <v>33</v>
      </c>
      <c r="G1055" t="s">
        <v>63</v>
      </c>
      <c r="H1055" t="s">
        <v>41</v>
      </c>
      <c r="I1055" t="s">
        <v>36</v>
      </c>
      <c r="J1055">
        <v>26</v>
      </c>
      <c r="K1055" s="5">
        <v>138.16999999999999</v>
      </c>
      <c r="L1055" s="5">
        <v>20.5</v>
      </c>
      <c r="M1055">
        <v>36</v>
      </c>
      <c r="N1055">
        <v>26</v>
      </c>
      <c r="O1055">
        <v>4</v>
      </c>
      <c r="P1055">
        <v>2</v>
      </c>
      <c r="Q1055">
        <v>32</v>
      </c>
      <c r="R1055">
        <v>0</v>
      </c>
      <c r="S1055">
        <v>0</v>
      </c>
      <c r="T1055">
        <v>1</v>
      </c>
      <c r="U1055">
        <v>0</v>
      </c>
      <c r="V1055">
        <v>0</v>
      </c>
      <c r="W1055" t="s">
        <v>37</v>
      </c>
      <c r="X1055">
        <v>100</v>
      </c>
      <c r="Y1055">
        <v>0</v>
      </c>
      <c r="Z1055">
        <f t="shared" si="96"/>
        <v>94</v>
      </c>
      <c r="AA1055">
        <f t="shared" si="97"/>
        <v>1.2142857142857142</v>
      </c>
      <c r="AB1055">
        <f t="shared" si="98"/>
        <v>0</v>
      </c>
      <c r="AC1055" t="str">
        <f t="shared" si="99"/>
        <v>Low</v>
      </c>
      <c r="AD1055" t="str">
        <f t="shared" si="100"/>
        <v>Upsell premium bundle</v>
      </c>
      <c r="AE1055">
        <f t="shared" si="101"/>
        <v>6</v>
      </c>
    </row>
    <row r="1056" spans="1:31" x14ac:dyDescent="0.35">
      <c r="A1056" t="s">
        <v>1114</v>
      </c>
      <c r="B1056" s="4">
        <v>45857</v>
      </c>
      <c r="C1056" s="4">
        <v>46143</v>
      </c>
      <c r="D1056" t="s">
        <v>66</v>
      </c>
      <c r="E1056">
        <v>54</v>
      </c>
      <c r="F1056" t="s">
        <v>33</v>
      </c>
      <c r="G1056" t="s">
        <v>67</v>
      </c>
      <c r="H1056" t="s">
        <v>58</v>
      </c>
      <c r="I1056" t="s">
        <v>36</v>
      </c>
      <c r="J1056">
        <v>9</v>
      </c>
      <c r="K1056" s="5">
        <v>422.17</v>
      </c>
      <c r="L1056" s="5">
        <v>0</v>
      </c>
      <c r="M1056">
        <v>36</v>
      </c>
      <c r="N1056">
        <v>20</v>
      </c>
      <c r="O1056">
        <v>5</v>
      </c>
      <c r="P1056">
        <v>4</v>
      </c>
      <c r="Q1056">
        <v>24</v>
      </c>
      <c r="R1056">
        <v>7</v>
      </c>
      <c r="S1056">
        <v>3</v>
      </c>
      <c r="T1056">
        <v>1</v>
      </c>
      <c r="U1056">
        <v>1</v>
      </c>
      <c r="V1056">
        <v>1</v>
      </c>
      <c r="W1056" t="s">
        <v>45</v>
      </c>
      <c r="X1056">
        <v>-15</v>
      </c>
      <c r="Y1056">
        <v>1</v>
      </c>
      <c r="Z1056">
        <f t="shared" si="96"/>
        <v>100</v>
      </c>
      <c r="AA1056">
        <f t="shared" si="97"/>
        <v>1.5384615384615385</v>
      </c>
      <c r="AB1056">
        <f t="shared" si="98"/>
        <v>29</v>
      </c>
      <c r="AC1056" t="str">
        <f t="shared" si="99"/>
        <v>Low</v>
      </c>
      <c r="AD1056" t="str">
        <f t="shared" si="100"/>
        <v>Upsell premium bundle</v>
      </c>
      <c r="AE1056">
        <f t="shared" si="101"/>
        <v>0</v>
      </c>
    </row>
    <row r="1057" spans="1:31" x14ac:dyDescent="0.35">
      <c r="A1057" t="s">
        <v>1115</v>
      </c>
      <c r="B1057" s="4">
        <v>45850</v>
      </c>
      <c r="C1057" s="4">
        <v>46143</v>
      </c>
      <c r="D1057" t="s">
        <v>47</v>
      </c>
      <c r="E1057">
        <v>68</v>
      </c>
      <c r="F1057" t="s">
        <v>33</v>
      </c>
      <c r="G1057" t="s">
        <v>40</v>
      </c>
      <c r="H1057" t="s">
        <v>41</v>
      </c>
      <c r="I1057" t="s">
        <v>49</v>
      </c>
      <c r="J1057">
        <v>9</v>
      </c>
      <c r="K1057" s="5">
        <v>442.76</v>
      </c>
      <c r="L1057" s="5">
        <v>363.56</v>
      </c>
      <c r="M1057">
        <v>20</v>
      </c>
      <c r="N1057">
        <v>6</v>
      </c>
      <c r="O1057">
        <v>2</v>
      </c>
      <c r="P1057">
        <v>3</v>
      </c>
      <c r="Q1057">
        <v>16</v>
      </c>
      <c r="R1057">
        <v>2</v>
      </c>
      <c r="S1057">
        <v>0</v>
      </c>
      <c r="T1057">
        <v>1</v>
      </c>
      <c r="U1057">
        <v>0</v>
      </c>
      <c r="V1057">
        <v>0</v>
      </c>
      <c r="W1057" t="s">
        <v>45</v>
      </c>
      <c r="X1057">
        <v>-15</v>
      </c>
      <c r="Y1057">
        <v>1</v>
      </c>
      <c r="Z1057">
        <f t="shared" si="96"/>
        <v>47</v>
      </c>
      <c r="AA1057">
        <f t="shared" si="97"/>
        <v>0.92307692307692313</v>
      </c>
      <c r="AB1057">
        <f t="shared" si="98"/>
        <v>60</v>
      </c>
      <c r="AC1057" t="str">
        <f t="shared" si="99"/>
        <v>Medium</v>
      </c>
      <c r="AD1057" t="str">
        <f t="shared" si="100"/>
        <v>Nudge core feature adoption</v>
      </c>
      <c r="AE1057">
        <f t="shared" si="101"/>
        <v>53</v>
      </c>
    </row>
    <row r="1058" spans="1:31" x14ac:dyDescent="0.35">
      <c r="A1058" t="s">
        <v>1116</v>
      </c>
      <c r="B1058" s="4">
        <v>45648</v>
      </c>
      <c r="C1058" s="4">
        <v>46143</v>
      </c>
      <c r="D1058" t="s">
        <v>39</v>
      </c>
      <c r="E1058">
        <v>40</v>
      </c>
      <c r="F1058" t="s">
        <v>61</v>
      </c>
      <c r="G1058" t="s">
        <v>85</v>
      </c>
      <c r="H1058" t="s">
        <v>58</v>
      </c>
      <c r="I1058" t="s">
        <v>36</v>
      </c>
      <c r="J1058">
        <v>16</v>
      </c>
      <c r="K1058" s="5">
        <v>3275.07</v>
      </c>
      <c r="L1058" s="5">
        <v>1285.57</v>
      </c>
      <c r="M1058">
        <v>18</v>
      </c>
      <c r="N1058">
        <v>10</v>
      </c>
      <c r="O1058">
        <v>3</v>
      </c>
      <c r="P1058">
        <v>3</v>
      </c>
      <c r="Q1058">
        <v>7</v>
      </c>
      <c r="R1058">
        <v>0</v>
      </c>
      <c r="S1058">
        <v>0</v>
      </c>
      <c r="T1058">
        <v>1</v>
      </c>
      <c r="U1058">
        <v>0</v>
      </c>
      <c r="V1058">
        <v>1</v>
      </c>
      <c r="W1058" t="s">
        <v>55</v>
      </c>
      <c r="X1058">
        <v>-13</v>
      </c>
      <c r="Y1058">
        <v>0</v>
      </c>
      <c r="Z1058">
        <f t="shared" si="96"/>
        <v>48</v>
      </c>
      <c r="AA1058">
        <f t="shared" si="97"/>
        <v>0.54347826086956519</v>
      </c>
      <c r="AB1058">
        <f t="shared" si="98"/>
        <v>35</v>
      </c>
      <c r="AC1058" t="str">
        <f t="shared" si="99"/>
        <v>Low</v>
      </c>
      <c r="AD1058" t="str">
        <f t="shared" si="100"/>
        <v>Upsell premium bundle</v>
      </c>
      <c r="AE1058">
        <f t="shared" si="101"/>
        <v>52</v>
      </c>
    </row>
    <row r="1059" spans="1:31" x14ac:dyDescent="0.35">
      <c r="A1059" t="s">
        <v>1117</v>
      </c>
      <c r="B1059" s="4">
        <v>45379</v>
      </c>
      <c r="C1059" s="4">
        <v>46143</v>
      </c>
      <c r="D1059" t="s">
        <v>72</v>
      </c>
      <c r="E1059">
        <v>40</v>
      </c>
      <c r="F1059" t="s">
        <v>43</v>
      </c>
      <c r="G1059" t="s">
        <v>48</v>
      </c>
      <c r="H1059" t="s">
        <v>44</v>
      </c>
      <c r="I1059" t="s">
        <v>36</v>
      </c>
      <c r="J1059">
        <v>25</v>
      </c>
      <c r="K1059" s="5">
        <v>21.35</v>
      </c>
      <c r="L1059" s="5">
        <v>36.51</v>
      </c>
      <c r="M1059">
        <v>30</v>
      </c>
      <c r="N1059">
        <v>16</v>
      </c>
      <c r="O1059">
        <v>1</v>
      </c>
      <c r="P1059">
        <v>1</v>
      </c>
      <c r="Q1059">
        <v>30</v>
      </c>
      <c r="R1059">
        <v>0</v>
      </c>
      <c r="S1059">
        <v>0</v>
      </c>
      <c r="T1059">
        <v>1</v>
      </c>
      <c r="U1059">
        <v>0</v>
      </c>
      <c r="V1059">
        <v>1</v>
      </c>
      <c r="W1059" t="s">
        <v>45</v>
      </c>
      <c r="X1059">
        <v>25</v>
      </c>
      <c r="Y1059">
        <v>0</v>
      </c>
      <c r="Z1059">
        <f t="shared" si="96"/>
        <v>81</v>
      </c>
      <c r="AA1059">
        <f t="shared" si="97"/>
        <v>1.0909090909090908</v>
      </c>
      <c r="AB1059">
        <f t="shared" si="98"/>
        <v>3</v>
      </c>
      <c r="AC1059" t="str">
        <f t="shared" si="99"/>
        <v>Low</v>
      </c>
      <c r="AD1059" t="str">
        <f t="shared" si="100"/>
        <v>Upsell premium bundle</v>
      </c>
      <c r="AE1059">
        <f t="shared" si="101"/>
        <v>19</v>
      </c>
    </row>
    <row r="1060" spans="1:31" x14ac:dyDescent="0.35">
      <c r="A1060" t="s">
        <v>1118</v>
      </c>
      <c r="B1060" s="4">
        <v>44846</v>
      </c>
      <c r="C1060" s="4">
        <v>46143</v>
      </c>
      <c r="D1060" t="s">
        <v>39</v>
      </c>
      <c r="E1060">
        <v>43</v>
      </c>
      <c r="F1060" t="s">
        <v>61</v>
      </c>
      <c r="G1060" t="s">
        <v>34</v>
      </c>
      <c r="H1060" t="s">
        <v>58</v>
      </c>
      <c r="I1060" t="s">
        <v>36</v>
      </c>
      <c r="J1060">
        <v>43</v>
      </c>
      <c r="K1060" s="5">
        <v>1535.05</v>
      </c>
      <c r="L1060" s="5">
        <v>124.45</v>
      </c>
      <c r="M1060">
        <v>46</v>
      </c>
      <c r="N1060">
        <v>17</v>
      </c>
      <c r="O1060">
        <v>11</v>
      </c>
      <c r="P1060">
        <v>9</v>
      </c>
      <c r="Q1060">
        <v>40</v>
      </c>
      <c r="R1060">
        <v>0</v>
      </c>
      <c r="S1060">
        <v>1</v>
      </c>
      <c r="T1060">
        <v>1</v>
      </c>
      <c r="U1060">
        <v>0</v>
      </c>
      <c r="V1060">
        <v>1</v>
      </c>
      <c r="W1060" t="s">
        <v>45</v>
      </c>
      <c r="X1060">
        <v>76</v>
      </c>
      <c r="Y1060">
        <v>0</v>
      </c>
      <c r="Z1060">
        <f t="shared" si="96"/>
        <v>100</v>
      </c>
      <c r="AA1060">
        <f t="shared" si="97"/>
        <v>1.178082191780822</v>
      </c>
      <c r="AB1060">
        <f t="shared" si="98"/>
        <v>0</v>
      </c>
      <c r="AC1060" t="str">
        <f t="shared" si="99"/>
        <v>Low</v>
      </c>
      <c r="AD1060" t="str">
        <f t="shared" si="100"/>
        <v>Upsell premium bundle</v>
      </c>
      <c r="AE1060">
        <f t="shared" si="101"/>
        <v>0</v>
      </c>
    </row>
    <row r="1061" spans="1:31" x14ac:dyDescent="0.35">
      <c r="A1061" t="s">
        <v>1119</v>
      </c>
      <c r="B1061" s="4">
        <v>44760</v>
      </c>
      <c r="C1061" s="4">
        <v>46143</v>
      </c>
      <c r="D1061" t="s">
        <v>72</v>
      </c>
      <c r="E1061">
        <v>49</v>
      </c>
      <c r="F1061" t="s">
        <v>33</v>
      </c>
      <c r="G1061" t="s">
        <v>85</v>
      </c>
      <c r="H1061" t="s">
        <v>44</v>
      </c>
      <c r="I1061" t="s">
        <v>36</v>
      </c>
      <c r="J1061">
        <v>46</v>
      </c>
      <c r="K1061" s="5">
        <v>441.37</v>
      </c>
      <c r="L1061" s="5">
        <v>283.25</v>
      </c>
      <c r="M1061">
        <v>39</v>
      </c>
      <c r="N1061">
        <v>9</v>
      </c>
      <c r="O1061">
        <v>7</v>
      </c>
      <c r="P1061">
        <v>2</v>
      </c>
      <c r="Q1061">
        <v>37</v>
      </c>
      <c r="R1061">
        <v>2</v>
      </c>
      <c r="S1061">
        <v>1</v>
      </c>
      <c r="T1061">
        <v>0</v>
      </c>
      <c r="U1061">
        <v>1</v>
      </c>
      <c r="V1061">
        <v>0</v>
      </c>
      <c r="W1061" t="s">
        <v>50</v>
      </c>
      <c r="X1061">
        <v>62</v>
      </c>
      <c r="Y1061">
        <v>0</v>
      </c>
      <c r="Z1061">
        <f t="shared" si="96"/>
        <v>100</v>
      </c>
      <c r="AA1061">
        <f t="shared" si="97"/>
        <v>1</v>
      </c>
      <c r="AB1061">
        <f t="shared" si="98"/>
        <v>0</v>
      </c>
      <c r="AC1061" t="str">
        <f t="shared" si="99"/>
        <v>Low</v>
      </c>
      <c r="AD1061" t="str">
        <f t="shared" si="100"/>
        <v>Upsell premium bundle</v>
      </c>
      <c r="AE1061">
        <f t="shared" si="101"/>
        <v>0</v>
      </c>
    </row>
    <row r="1062" spans="1:31" x14ac:dyDescent="0.35">
      <c r="A1062" t="s">
        <v>1120</v>
      </c>
      <c r="B1062" s="4">
        <v>46100</v>
      </c>
      <c r="C1062" s="4">
        <v>46143</v>
      </c>
      <c r="D1062" t="s">
        <v>32</v>
      </c>
      <c r="E1062">
        <v>44</v>
      </c>
      <c r="F1062" t="s">
        <v>57</v>
      </c>
      <c r="G1062" t="s">
        <v>40</v>
      </c>
      <c r="H1062" t="s">
        <v>41</v>
      </c>
      <c r="I1062" t="s">
        <v>49</v>
      </c>
      <c r="J1062">
        <v>1</v>
      </c>
      <c r="K1062" s="5">
        <v>0</v>
      </c>
      <c r="L1062" s="5">
        <v>932.33</v>
      </c>
      <c r="M1062">
        <v>36</v>
      </c>
      <c r="N1062">
        <v>22</v>
      </c>
      <c r="O1062">
        <v>7</v>
      </c>
      <c r="P1062">
        <v>1</v>
      </c>
      <c r="Q1062">
        <v>16</v>
      </c>
      <c r="R1062">
        <v>3</v>
      </c>
      <c r="S1062">
        <v>1</v>
      </c>
      <c r="T1062">
        <v>0</v>
      </c>
      <c r="U1062">
        <v>0</v>
      </c>
      <c r="V1062">
        <v>1</v>
      </c>
      <c r="W1062" t="s">
        <v>52</v>
      </c>
      <c r="X1062">
        <v>-23</v>
      </c>
      <c r="Y1062">
        <v>1</v>
      </c>
      <c r="Z1062">
        <f t="shared" si="96"/>
        <v>86</v>
      </c>
      <c r="AA1062">
        <f t="shared" si="97"/>
        <v>1.6774193548387097</v>
      </c>
      <c r="AB1062">
        <f t="shared" si="98"/>
        <v>55</v>
      </c>
      <c r="AC1062" t="str">
        <f t="shared" si="99"/>
        <v>Medium</v>
      </c>
      <c r="AD1062" t="str">
        <f t="shared" si="100"/>
        <v>Nudge core feature adoption</v>
      </c>
      <c r="AE1062">
        <f t="shared" si="101"/>
        <v>14</v>
      </c>
    </row>
    <row r="1063" spans="1:31" x14ac:dyDescent="0.35">
      <c r="A1063" t="s">
        <v>1121</v>
      </c>
      <c r="B1063" s="4">
        <v>44842</v>
      </c>
      <c r="C1063" s="4">
        <v>46143</v>
      </c>
      <c r="D1063" t="s">
        <v>32</v>
      </c>
      <c r="E1063">
        <v>53</v>
      </c>
      <c r="F1063" t="s">
        <v>57</v>
      </c>
      <c r="G1063" t="s">
        <v>63</v>
      </c>
      <c r="H1063" t="s">
        <v>58</v>
      </c>
      <c r="I1063" t="s">
        <v>36</v>
      </c>
      <c r="J1063">
        <v>43</v>
      </c>
      <c r="K1063" s="5">
        <v>1738.05</v>
      </c>
      <c r="L1063" s="5">
        <v>1219.49</v>
      </c>
      <c r="M1063">
        <v>24</v>
      </c>
      <c r="N1063">
        <v>11</v>
      </c>
      <c r="O1063">
        <v>2</v>
      </c>
      <c r="P1063">
        <v>3</v>
      </c>
      <c r="Q1063">
        <v>29</v>
      </c>
      <c r="R1063">
        <v>2</v>
      </c>
      <c r="S1063">
        <v>1</v>
      </c>
      <c r="T1063">
        <v>1</v>
      </c>
      <c r="U1063">
        <v>0</v>
      </c>
      <c r="V1063">
        <v>0</v>
      </c>
      <c r="W1063" t="s">
        <v>45</v>
      </c>
      <c r="X1063">
        <v>-7</v>
      </c>
      <c r="Y1063">
        <v>0</v>
      </c>
      <c r="Z1063">
        <f t="shared" si="96"/>
        <v>67</v>
      </c>
      <c r="AA1063">
        <f t="shared" si="97"/>
        <v>0.72602739726027399</v>
      </c>
      <c r="AB1063">
        <f t="shared" si="98"/>
        <v>30</v>
      </c>
      <c r="AC1063" t="str">
        <f t="shared" si="99"/>
        <v>Low</v>
      </c>
      <c r="AD1063" t="str">
        <f t="shared" si="100"/>
        <v>Upsell premium bundle</v>
      </c>
      <c r="AE1063">
        <f t="shared" si="101"/>
        <v>33</v>
      </c>
    </row>
    <row r="1064" spans="1:31" x14ac:dyDescent="0.35">
      <c r="A1064" t="s">
        <v>1122</v>
      </c>
      <c r="B1064" s="4">
        <v>46028</v>
      </c>
      <c r="C1064" s="4">
        <v>46143</v>
      </c>
      <c r="D1064" t="s">
        <v>66</v>
      </c>
      <c r="E1064">
        <v>59</v>
      </c>
      <c r="F1064" t="s">
        <v>33</v>
      </c>
      <c r="G1064" t="s">
        <v>85</v>
      </c>
      <c r="H1064" t="s">
        <v>41</v>
      </c>
      <c r="I1064" t="s">
        <v>36</v>
      </c>
      <c r="J1064">
        <v>3</v>
      </c>
      <c r="K1064" s="5">
        <v>549.33000000000004</v>
      </c>
      <c r="L1064" s="5">
        <v>355.35</v>
      </c>
      <c r="M1064">
        <v>39</v>
      </c>
      <c r="N1064">
        <v>24</v>
      </c>
      <c r="O1064">
        <v>6</v>
      </c>
      <c r="P1064">
        <v>1</v>
      </c>
      <c r="Q1064">
        <v>27</v>
      </c>
      <c r="R1064">
        <v>0</v>
      </c>
      <c r="S1064">
        <v>0</v>
      </c>
      <c r="T1064">
        <v>1</v>
      </c>
      <c r="U1064">
        <v>0</v>
      </c>
      <c r="V1064">
        <v>0</v>
      </c>
      <c r="W1064" t="s">
        <v>45</v>
      </c>
      <c r="X1064">
        <v>40</v>
      </c>
      <c r="Y1064">
        <v>0</v>
      </c>
      <c r="Z1064">
        <f t="shared" si="96"/>
        <v>93</v>
      </c>
      <c r="AA1064">
        <f t="shared" si="97"/>
        <v>2</v>
      </c>
      <c r="AB1064">
        <f t="shared" si="98"/>
        <v>1</v>
      </c>
      <c r="AC1064" t="str">
        <f t="shared" si="99"/>
        <v>Low</v>
      </c>
      <c r="AD1064" t="str">
        <f t="shared" si="100"/>
        <v>Upsell premium bundle</v>
      </c>
      <c r="AE1064">
        <f t="shared" si="101"/>
        <v>7</v>
      </c>
    </row>
    <row r="1065" spans="1:31" x14ac:dyDescent="0.35">
      <c r="A1065" t="s">
        <v>1123</v>
      </c>
      <c r="B1065" s="4">
        <v>45988</v>
      </c>
      <c r="C1065" s="4">
        <v>46143</v>
      </c>
      <c r="D1065" t="s">
        <v>72</v>
      </c>
      <c r="E1065">
        <v>49</v>
      </c>
      <c r="F1065" t="s">
        <v>33</v>
      </c>
      <c r="G1065" t="s">
        <v>85</v>
      </c>
      <c r="H1065" t="s">
        <v>41</v>
      </c>
      <c r="I1065" t="s">
        <v>36</v>
      </c>
      <c r="J1065">
        <v>5</v>
      </c>
      <c r="K1065" s="5">
        <v>23.86</v>
      </c>
      <c r="L1065" s="5">
        <v>0</v>
      </c>
      <c r="M1065">
        <v>24</v>
      </c>
      <c r="N1065">
        <v>11</v>
      </c>
      <c r="O1065">
        <v>3</v>
      </c>
      <c r="P1065">
        <v>2</v>
      </c>
      <c r="Q1065">
        <v>17</v>
      </c>
      <c r="R1065">
        <v>0</v>
      </c>
      <c r="S1065">
        <v>1</v>
      </c>
      <c r="T1065">
        <v>1</v>
      </c>
      <c r="U1065">
        <v>0</v>
      </c>
      <c r="V1065">
        <v>1</v>
      </c>
      <c r="W1065" t="s">
        <v>37</v>
      </c>
      <c r="X1065">
        <v>47</v>
      </c>
      <c r="Y1065">
        <v>0</v>
      </c>
      <c r="Z1065">
        <f t="shared" si="96"/>
        <v>63</v>
      </c>
      <c r="AA1065">
        <f t="shared" si="97"/>
        <v>1.1714285714285715</v>
      </c>
      <c r="AB1065">
        <f t="shared" si="98"/>
        <v>17</v>
      </c>
      <c r="AC1065" t="str">
        <f t="shared" si="99"/>
        <v>Low</v>
      </c>
      <c r="AD1065" t="str">
        <f t="shared" si="100"/>
        <v>Upsell premium bundle</v>
      </c>
      <c r="AE1065">
        <f t="shared" si="101"/>
        <v>37</v>
      </c>
    </row>
    <row r="1066" spans="1:31" x14ac:dyDescent="0.35">
      <c r="A1066" t="s">
        <v>1124</v>
      </c>
      <c r="B1066" s="4">
        <v>45710</v>
      </c>
      <c r="C1066" s="4">
        <v>46143</v>
      </c>
      <c r="D1066" t="s">
        <v>72</v>
      </c>
      <c r="E1066">
        <v>21</v>
      </c>
      <c r="F1066" t="s">
        <v>33</v>
      </c>
      <c r="G1066" t="s">
        <v>85</v>
      </c>
      <c r="H1066" t="s">
        <v>58</v>
      </c>
      <c r="I1066" t="s">
        <v>36</v>
      </c>
      <c r="J1066">
        <v>14</v>
      </c>
      <c r="K1066" s="5">
        <v>493.08</v>
      </c>
      <c r="L1066" s="5">
        <v>166.75</v>
      </c>
      <c r="M1066">
        <v>39</v>
      </c>
      <c r="N1066">
        <v>27</v>
      </c>
      <c r="O1066">
        <v>9</v>
      </c>
      <c r="P1066">
        <v>4</v>
      </c>
      <c r="Q1066">
        <v>27</v>
      </c>
      <c r="R1066">
        <v>0</v>
      </c>
      <c r="S1066">
        <v>0</v>
      </c>
      <c r="T1066">
        <v>1</v>
      </c>
      <c r="U1066">
        <v>0</v>
      </c>
      <c r="V1066">
        <v>0</v>
      </c>
      <c r="W1066" t="s">
        <v>37</v>
      </c>
      <c r="X1066">
        <v>24</v>
      </c>
      <c r="Y1066">
        <v>0</v>
      </c>
      <c r="Z1066">
        <f t="shared" si="96"/>
        <v>100</v>
      </c>
      <c r="AA1066">
        <f t="shared" si="97"/>
        <v>1.5</v>
      </c>
      <c r="AB1066">
        <f t="shared" si="98"/>
        <v>0</v>
      </c>
      <c r="AC1066" t="str">
        <f t="shared" si="99"/>
        <v>Low</v>
      </c>
      <c r="AD1066" t="str">
        <f t="shared" si="100"/>
        <v>Upsell premium bundle</v>
      </c>
      <c r="AE1066">
        <f t="shared" si="101"/>
        <v>0</v>
      </c>
    </row>
    <row r="1067" spans="1:31" x14ac:dyDescent="0.35">
      <c r="A1067" t="s">
        <v>1125</v>
      </c>
      <c r="B1067" s="4">
        <v>45512</v>
      </c>
      <c r="C1067" s="4">
        <v>46143</v>
      </c>
      <c r="D1067" t="s">
        <v>60</v>
      </c>
      <c r="E1067">
        <v>36</v>
      </c>
      <c r="F1067" t="s">
        <v>57</v>
      </c>
      <c r="G1067" t="s">
        <v>67</v>
      </c>
      <c r="H1067" t="s">
        <v>41</v>
      </c>
      <c r="I1067" t="s">
        <v>49</v>
      </c>
      <c r="J1067">
        <v>21</v>
      </c>
      <c r="K1067" s="5">
        <v>1288.53</v>
      </c>
      <c r="L1067" s="5">
        <v>810.23</v>
      </c>
      <c r="M1067">
        <v>32</v>
      </c>
      <c r="N1067">
        <v>20</v>
      </c>
      <c r="O1067">
        <v>2</v>
      </c>
      <c r="P1067">
        <v>2</v>
      </c>
      <c r="Q1067">
        <v>19</v>
      </c>
      <c r="R1067">
        <v>0</v>
      </c>
      <c r="S1067">
        <v>0</v>
      </c>
      <c r="T1067">
        <v>0</v>
      </c>
      <c r="U1067">
        <v>1</v>
      </c>
      <c r="V1067">
        <v>1</v>
      </c>
      <c r="W1067" t="s">
        <v>52</v>
      </c>
      <c r="X1067">
        <v>40</v>
      </c>
      <c r="Y1067">
        <v>1</v>
      </c>
      <c r="Z1067">
        <f t="shared" si="96"/>
        <v>87</v>
      </c>
      <c r="AA1067">
        <f t="shared" si="97"/>
        <v>1</v>
      </c>
      <c r="AB1067">
        <f t="shared" si="98"/>
        <v>19</v>
      </c>
      <c r="AC1067" t="str">
        <f t="shared" si="99"/>
        <v>Low</v>
      </c>
      <c r="AD1067" t="str">
        <f t="shared" si="100"/>
        <v>Upsell premium bundle</v>
      </c>
      <c r="AE1067">
        <f t="shared" si="101"/>
        <v>13</v>
      </c>
    </row>
    <row r="1068" spans="1:31" x14ac:dyDescent="0.35">
      <c r="A1068" t="s">
        <v>1126</v>
      </c>
      <c r="B1068" s="4">
        <v>44747</v>
      </c>
      <c r="C1068" s="4">
        <v>46143</v>
      </c>
      <c r="D1068" t="s">
        <v>60</v>
      </c>
      <c r="E1068">
        <v>71</v>
      </c>
      <c r="F1068" t="s">
        <v>61</v>
      </c>
      <c r="G1068" t="s">
        <v>63</v>
      </c>
      <c r="H1068" t="s">
        <v>41</v>
      </c>
      <c r="I1068" t="s">
        <v>36</v>
      </c>
      <c r="J1068">
        <v>46</v>
      </c>
      <c r="K1068" s="5">
        <v>1581.33</v>
      </c>
      <c r="L1068" s="5">
        <v>952.74</v>
      </c>
      <c r="M1068">
        <v>24</v>
      </c>
      <c r="N1068">
        <v>9</v>
      </c>
      <c r="O1068">
        <v>7</v>
      </c>
      <c r="P1068">
        <v>1</v>
      </c>
      <c r="Q1068">
        <v>21</v>
      </c>
      <c r="R1068">
        <v>3</v>
      </c>
      <c r="S1068">
        <v>2</v>
      </c>
      <c r="T1068">
        <v>1</v>
      </c>
      <c r="U1068">
        <v>0</v>
      </c>
      <c r="V1068">
        <v>1</v>
      </c>
      <c r="W1068" t="s">
        <v>55</v>
      </c>
      <c r="X1068">
        <v>-1</v>
      </c>
      <c r="Y1068">
        <v>1</v>
      </c>
      <c r="Z1068">
        <f t="shared" si="96"/>
        <v>68</v>
      </c>
      <c r="AA1068">
        <f t="shared" si="97"/>
        <v>0.59210526315789469</v>
      </c>
      <c r="AB1068">
        <f t="shared" si="98"/>
        <v>43</v>
      </c>
      <c r="AC1068" t="str">
        <f t="shared" si="99"/>
        <v>Medium</v>
      </c>
      <c r="AD1068" t="str">
        <f t="shared" si="100"/>
        <v>Nudge core feature adoption</v>
      </c>
      <c r="AE1068">
        <f t="shared" si="101"/>
        <v>32</v>
      </c>
    </row>
    <row r="1069" spans="1:31" x14ac:dyDescent="0.35">
      <c r="A1069" t="s">
        <v>1127</v>
      </c>
      <c r="B1069" s="4">
        <v>45791</v>
      </c>
      <c r="C1069" s="4">
        <v>46143</v>
      </c>
      <c r="D1069" t="s">
        <v>60</v>
      </c>
      <c r="E1069">
        <v>56</v>
      </c>
      <c r="F1069" t="s">
        <v>57</v>
      </c>
      <c r="G1069" t="s">
        <v>67</v>
      </c>
      <c r="H1069" t="s">
        <v>58</v>
      </c>
      <c r="I1069" t="s">
        <v>36</v>
      </c>
      <c r="J1069">
        <v>11</v>
      </c>
      <c r="K1069" s="5">
        <v>928.77</v>
      </c>
      <c r="L1069" s="5">
        <v>834</v>
      </c>
      <c r="M1069">
        <v>29</v>
      </c>
      <c r="N1069">
        <v>12</v>
      </c>
      <c r="O1069">
        <v>8</v>
      </c>
      <c r="P1069">
        <v>1</v>
      </c>
      <c r="Q1069">
        <v>26</v>
      </c>
      <c r="R1069">
        <v>0</v>
      </c>
      <c r="S1069">
        <v>0</v>
      </c>
      <c r="T1069">
        <v>1</v>
      </c>
      <c r="U1069">
        <v>1</v>
      </c>
      <c r="V1069">
        <v>0</v>
      </c>
      <c r="W1069" t="s">
        <v>37</v>
      </c>
      <c r="X1069">
        <v>21</v>
      </c>
      <c r="Y1069">
        <v>0</v>
      </c>
      <c r="Z1069">
        <f t="shared" si="96"/>
        <v>83</v>
      </c>
      <c r="AA1069">
        <f t="shared" si="97"/>
        <v>1.3414634146341464</v>
      </c>
      <c r="AB1069">
        <f t="shared" si="98"/>
        <v>4</v>
      </c>
      <c r="AC1069" t="str">
        <f t="shared" si="99"/>
        <v>Low</v>
      </c>
      <c r="AD1069" t="str">
        <f t="shared" si="100"/>
        <v>Upsell premium bundle</v>
      </c>
      <c r="AE1069">
        <f t="shared" si="101"/>
        <v>17</v>
      </c>
    </row>
    <row r="1070" spans="1:31" x14ac:dyDescent="0.35">
      <c r="A1070" t="s">
        <v>1128</v>
      </c>
      <c r="B1070" s="4">
        <v>45951</v>
      </c>
      <c r="C1070" s="4">
        <v>46143</v>
      </c>
      <c r="D1070" t="s">
        <v>72</v>
      </c>
      <c r="E1070">
        <v>62</v>
      </c>
      <c r="F1070" t="s">
        <v>33</v>
      </c>
      <c r="G1070" t="s">
        <v>63</v>
      </c>
      <c r="H1070" t="s">
        <v>58</v>
      </c>
      <c r="I1070" t="s">
        <v>36</v>
      </c>
      <c r="J1070">
        <v>6</v>
      </c>
      <c r="K1070" s="5">
        <v>401.45</v>
      </c>
      <c r="L1070" s="5">
        <v>59.84</v>
      </c>
      <c r="M1070">
        <v>35</v>
      </c>
      <c r="N1070">
        <v>24</v>
      </c>
      <c r="O1070">
        <v>5</v>
      </c>
      <c r="P1070">
        <v>3</v>
      </c>
      <c r="Q1070">
        <v>31</v>
      </c>
      <c r="R1070">
        <v>0</v>
      </c>
      <c r="S1070">
        <v>0</v>
      </c>
      <c r="T1070">
        <v>1</v>
      </c>
      <c r="U1070">
        <v>0</v>
      </c>
      <c r="V1070">
        <v>1</v>
      </c>
      <c r="W1070" t="s">
        <v>45</v>
      </c>
      <c r="X1070">
        <v>17</v>
      </c>
      <c r="Y1070">
        <v>0</v>
      </c>
      <c r="Z1070">
        <f t="shared" si="96"/>
        <v>100</v>
      </c>
      <c r="AA1070">
        <f t="shared" si="97"/>
        <v>1.8333333333333333</v>
      </c>
      <c r="AB1070">
        <f t="shared" si="98"/>
        <v>0</v>
      </c>
      <c r="AC1070" t="str">
        <f t="shared" si="99"/>
        <v>Low</v>
      </c>
      <c r="AD1070" t="str">
        <f t="shared" si="100"/>
        <v>Upsell premium bundle</v>
      </c>
      <c r="AE1070">
        <f t="shared" si="101"/>
        <v>0</v>
      </c>
    </row>
    <row r="1071" spans="1:31" x14ac:dyDescent="0.35">
      <c r="A1071" t="s">
        <v>1129</v>
      </c>
      <c r="B1071" s="4">
        <v>44713</v>
      </c>
      <c r="C1071" s="4">
        <v>46143</v>
      </c>
      <c r="D1071" t="s">
        <v>66</v>
      </c>
      <c r="E1071">
        <v>69</v>
      </c>
      <c r="F1071" t="s">
        <v>61</v>
      </c>
      <c r="G1071" t="s">
        <v>48</v>
      </c>
      <c r="H1071" t="s">
        <v>41</v>
      </c>
      <c r="I1071" t="s">
        <v>36</v>
      </c>
      <c r="J1071">
        <v>47</v>
      </c>
      <c r="K1071" s="5">
        <v>3794.44</v>
      </c>
      <c r="L1071" s="5">
        <v>2124.56</v>
      </c>
      <c r="M1071">
        <v>24</v>
      </c>
      <c r="N1071">
        <v>9</v>
      </c>
      <c r="O1071">
        <v>5</v>
      </c>
      <c r="P1071">
        <v>1</v>
      </c>
      <c r="Q1071">
        <v>12</v>
      </c>
      <c r="R1071">
        <v>0</v>
      </c>
      <c r="S1071">
        <v>1</v>
      </c>
      <c r="T1071">
        <v>0</v>
      </c>
      <c r="U1071">
        <v>0</v>
      </c>
      <c r="V1071">
        <v>0</v>
      </c>
      <c r="W1071" t="s">
        <v>52</v>
      </c>
      <c r="X1071">
        <v>0</v>
      </c>
      <c r="Y1071">
        <v>0</v>
      </c>
      <c r="Z1071">
        <f t="shared" si="96"/>
        <v>51</v>
      </c>
      <c r="AA1071">
        <f t="shared" si="97"/>
        <v>0.46753246753246752</v>
      </c>
      <c r="AB1071">
        <f t="shared" si="98"/>
        <v>36</v>
      </c>
      <c r="AC1071" t="str">
        <f t="shared" si="99"/>
        <v>Low</v>
      </c>
      <c r="AD1071" t="str">
        <f t="shared" si="100"/>
        <v>Upsell premium bundle</v>
      </c>
      <c r="AE1071">
        <f t="shared" si="101"/>
        <v>49</v>
      </c>
    </row>
    <row r="1072" spans="1:31" x14ac:dyDescent="0.35">
      <c r="A1072" t="s">
        <v>1130</v>
      </c>
      <c r="B1072" s="4">
        <v>44881</v>
      </c>
      <c r="C1072" s="4">
        <v>46143</v>
      </c>
      <c r="D1072" t="s">
        <v>60</v>
      </c>
      <c r="E1072">
        <v>62</v>
      </c>
      <c r="F1072" t="s">
        <v>57</v>
      </c>
      <c r="G1072" t="s">
        <v>40</v>
      </c>
      <c r="H1072" t="s">
        <v>58</v>
      </c>
      <c r="I1072" t="s">
        <v>36</v>
      </c>
      <c r="J1072">
        <v>42</v>
      </c>
      <c r="K1072" s="5">
        <v>1975.62</v>
      </c>
      <c r="L1072" s="5">
        <v>347.58</v>
      </c>
      <c r="M1072">
        <v>36</v>
      </c>
      <c r="N1072">
        <v>23</v>
      </c>
      <c r="O1072">
        <v>3</v>
      </c>
      <c r="P1072">
        <v>1</v>
      </c>
      <c r="Q1072">
        <v>34</v>
      </c>
      <c r="R1072">
        <v>0</v>
      </c>
      <c r="S1072">
        <v>1</v>
      </c>
      <c r="T1072">
        <v>1</v>
      </c>
      <c r="U1072">
        <v>1</v>
      </c>
      <c r="V1072">
        <v>0</v>
      </c>
      <c r="W1072" t="s">
        <v>37</v>
      </c>
      <c r="X1072">
        <v>50</v>
      </c>
      <c r="Y1072">
        <v>0</v>
      </c>
      <c r="Z1072">
        <f t="shared" si="96"/>
        <v>99</v>
      </c>
      <c r="AA1072">
        <f t="shared" si="97"/>
        <v>0.97222222222222221</v>
      </c>
      <c r="AB1072">
        <f t="shared" si="98"/>
        <v>0</v>
      </c>
      <c r="AC1072" t="str">
        <f t="shared" si="99"/>
        <v>Low</v>
      </c>
      <c r="AD1072" t="str">
        <f t="shared" si="100"/>
        <v>Upsell premium bundle</v>
      </c>
      <c r="AE1072">
        <f t="shared" si="101"/>
        <v>1</v>
      </c>
    </row>
    <row r="1073" spans="1:31" x14ac:dyDescent="0.35">
      <c r="A1073" t="s">
        <v>1131</v>
      </c>
      <c r="B1073" s="4">
        <v>45561</v>
      </c>
      <c r="C1073" s="4">
        <v>46143</v>
      </c>
      <c r="D1073" t="s">
        <v>60</v>
      </c>
      <c r="E1073">
        <v>62</v>
      </c>
      <c r="F1073" t="s">
        <v>57</v>
      </c>
      <c r="G1073" t="s">
        <v>67</v>
      </c>
      <c r="H1073" t="s">
        <v>41</v>
      </c>
      <c r="I1073" t="s">
        <v>36</v>
      </c>
      <c r="J1073">
        <v>19</v>
      </c>
      <c r="K1073" s="5">
        <v>1272.18</v>
      </c>
      <c r="L1073" s="5">
        <v>1041.8900000000001</v>
      </c>
      <c r="M1073">
        <v>27</v>
      </c>
      <c r="N1073">
        <v>8</v>
      </c>
      <c r="O1073">
        <v>8</v>
      </c>
      <c r="P1073">
        <v>1</v>
      </c>
      <c r="Q1073">
        <v>24</v>
      </c>
      <c r="R1073">
        <v>0</v>
      </c>
      <c r="S1073">
        <v>0</v>
      </c>
      <c r="T1073">
        <v>1</v>
      </c>
      <c r="U1073">
        <v>0</v>
      </c>
      <c r="V1073">
        <v>0</v>
      </c>
      <c r="W1073" t="s">
        <v>55</v>
      </c>
      <c r="X1073">
        <v>28</v>
      </c>
      <c r="Y1073">
        <v>0</v>
      </c>
      <c r="Z1073">
        <f t="shared" si="96"/>
        <v>68</v>
      </c>
      <c r="AA1073">
        <f t="shared" si="97"/>
        <v>1.0408163265306123</v>
      </c>
      <c r="AB1073">
        <f t="shared" si="98"/>
        <v>17</v>
      </c>
      <c r="AC1073" t="str">
        <f t="shared" si="99"/>
        <v>Low</v>
      </c>
      <c r="AD1073" t="str">
        <f t="shared" si="100"/>
        <v>Upsell premium bundle</v>
      </c>
      <c r="AE1073">
        <f t="shared" si="101"/>
        <v>32</v>
      </c>
    </row>
    <row r="1074" spans="1:31" x14ac:dyDescent="0.35">
      <c r="A1074" t="s">
        <v>1132</v>
      </c>
      <c r="B1074" s="4">
        <v>45128</v>
      </c>
      <c r="C1074" s="4">
        <v>46143</v>
      </c>
      <c r="D1074" t="s">
        <v>66</v>
      </c>
      <c r="E1074">
        <v>47</v>
      </c>
      <c r="F1074" t="s">
        <v>33</v>
      </c>
      <c r="G1074" t="s">
        <v>67</v>
      </c>
      <c r="H1074" t="s">
        <v>41</v>
      </c>
      <c r="I1074" t="s">
        <v>36</v>
      </c>
      <c r="J1074">
        <v>33</v>
      </c>
      <c r="K1074" s="5">
        <v>699.33</v>
      </c>
      <c r="L1074" s="5">
        <v>220.28</v>
      </c>
      <c r="M1074">
        <v>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2</v>
      </c>
      <c r="T1074">
        <v>0</v>
      </c>
      <c r="U1074">
        <v>0</v>
      </c>
      <c r="V1074">
        <v>0</v>
      </c>
      <c r="W1074" t="s">
        <v>37</v>
      </c>
      <c r="X1074">
        <v>-17</v>
      </c>
      <c r="Y1074">
        <v>1</v>
      </c>
      <c r="Z1074">
        <f t="shared" si="96"/>
        <v>4</v>
      </c>
      <c r="AA1074">
        <f t="shared" si="97"/>
        <v>4.7619047619047616E-2</v>
      </c>
      <c r="AB1074">
        <f t="shared" si="98"/>
        <v>81</v>
      </c>
      <c r="AC1074" t="str">
        <f t="shared" si="99"/>
        <v>High</v>
      </c>
      <c r="AD1074" t="str">
        <f t="shared" si="100"/>
        <v>Re-engage with app usage offer</v>
      </c>
      <c r="AE1074">
        <f t="shared" si="101"/>
        <v>96</v>
      </c>
    </row>
    <row r="1075" spans="1:31" x14ac:dyDescent="0.35">
      <c r="A1075" t="s">
        <v>1133</v>
      </c>
      <c r="B1075" s="4">
        <v>45820</v>
      </c>
      <c r="C1075" s="4">
        <v>46143</v>
      </c>
      <c r="D1075" t="s">
        <v>66</v>
      </c>
      <c r="E1075">
        <v>40</v>
      </c>
      <c r="F1075" t="s">
        <v>43</v>
      </c>
      <c r="G1075" t="s">
        <v>40</v>
      </c>
      <c r="H1075" t="s">
        <v>44</v>
      </c>
      <c r="I1075" t="s">
        <v>36</v>
      </c>
      <c r="J1075">
        <v>10</v>
      </c>
      <c r="K1075" s="5">
        <v>72.69</v>
      </c>
      <c r="L1075" s="5">
        <v>19.829999999999998</v>
      </c>
      <c r="M1075">
        <v>32</v>
      </c>
      <c r="N1075">
        <v>21</v>
      </c>
      <c r="O1075">
        <v>5</v>
      </c>
      <c r="P1075">
        <v>0</v>
      </c>
      <c r="Q1075">
        <v>22</v>
      </c>
      <c r="R1075">
        <v>0</v>
      </c>
      <c r="S1075">
        <v>2</v>
      </c>
      <c r="T1075">
        <v>0</v>
      </c>
      <c r="U1075">
        <v>0</v>
      </c>
      <c r="V1075">
        <v>1</v>
      </c>
      <c r="W1075" t="s">
        <v>50</v>
      </c>
      <c r="X1075">
        <v>27</v>
      </c>
      <c r="Y1075">
        <v>0</v>
      </c>
      <c r="Z1075">
        <f t="shared" si="96"/>
        <v>83</v>
      </c>
      <c r="AA1075">
        <f t="shared" si="97"/>
        <v>1.35</v>
      </c>
      <c r="AB1075">
        <f t="shared" si="98"/>
        <v>17</v>
      </c>
      <c r="AC1075" t="str">
        <f t="shared" si="99"/>
        <v>Low</v>
      </c>
      <c r="AD1075" t="str">
        <f t="shared" si="100"/>
        <v>Upsell premium bundle</v>
      </c>
      <c r="AE1075">
        <f t="shared" si="101"/>
        <v>17</v>
      </c>
    </row>
    <row r="1076" spans="1:31" x14ac:dyDescent="0.35">
      <c r="A1076" t="s">
        <v>1134</v>
      </c>
      <c r="B1076" s="4">
        <v>45614</v>
      </c>
      <c r="C1076" s="4">
        <v>46143</v>
      </c>
      <c r="D1076" t="s">
        <v>60</v>
      </c>
      <c r="E1076">
        <v>28</v>
      </c>
      <c r="F1076" t="s">
        <v>57</v>
      </c>
      <c r="G1076" t="s">
        <v>67</v>
      </c>
      <c r="H1076" t="s">
        <v>41</v>
      </c>
      <c r="I1076" t="s">
        <v>36</v>
      </c>
      <c r="J1076">
        <v>17</v>
      </c>
      <c r="K1076" s="5">
        <v>1587.48</v>
      </c>
      <c r="L1076" s="5">
        <v>893.05</v>
      </c>
      <c r="M1076">
        <v>25</v>
      </c>
      <c r="N1076">
        <v>15</v>
      </c>
      <c r="O1076">
        <v>3</v>
      </c>
      <c r="P1076">
        <v>3</v>
      </c>
      <c r="Q1076">
        <v>22</v>
      </c>
      <c r="R1076">
        <v>3</v>
      </c>
      <c r="S1076">
        <v>1</v>
      </c>
      <c r="T1076">
        <v>1</v>
      </c>
      <c r="U1076">
        <v>0</v>
      </c>
      <c r="V1076">
        <v>1</v>
      </c>
      <c r="W1076" t="s">
        <v>55</v>
      </c>
      <c r="X1076">
        <v>-10</v>
      </c>
      <c r="Y1076">
        <v>0</v>
      </c>
      <c r="Z1076">
        <f t="shared" si="96"/>
        <v>73</v>
      </c>
      <c r="AA1076">
        <f t="shared" si="97"/>
        <v>1</v>
      </c>
      <c r="AB1076">
        <f t="shared" si="98"/>
        <v>37</v>
      </c>
      <c r="AC1076" t="str">
        <f t="shared" si="99"/>
        <v>Low</v>
      </c>
      <c r="AD1076" t="str">
        <f t="shared" si="100"/>
        <v>Upsell premium bundle</v>
      </c>
      <c r="AE1076">
        <f t="shared" si="101"/>
        <v>27</v>
      </c>
    </row>
    <row r="1077" spans="1:31" x14ac:dyDescent="0.35">
      <c r="A1077" t="s">
        <v>1135</v>
      </c>
      <c r="B1077" s="4">
        <v>44859</v>
      </c>
      <c r="C1077" s="4">
        <v>46143</v>
      </c>
      <c r="D1077" t="s">
        <v>39</v>
      </c>
      <c r="E1077">
        <v>25</v>
      </c>
      <c r="F1077" t="s">
        <v>57</v>
      </c>
      <c r="G1077" t="s">
        <v>40</v>
      </c>
      <c r="H1077" t="s">
        <v>44</v>
      </c>
      <c r="I1077" t="s">
        <v>36</v>
      </c>
      <c r="J1077">
        <v>42</v>
      </c>
      <c r="K1077" s="5">
        <v>1103.21</v>
      </c>
      <c r="L1077" s="5">
        <v>0</v>
      </c>
      <c r="M1077">
        <v>43</v>
      </c>
      <c r="N1077">
        <v>29</v>
      </c>
      <c r="O1077">
        <v>9</v>
      </c>
      <c r="P1077">
        <v>0</v>
      </c>
      <c r="Q1077">
        <v>21</v>
      </c>
      <c r="R1077">
        <v>3</v>
      </c>
      <c r="S1077">
        <v>1</v>
      </c>
      <c r="T1077">
        <v>1</v>
      </c>
      <c r="U1077">
        <v>0</v>
      </c>
      <c r="V1077">
        <v>1</v>
      </c>
      <c r="W1077" t="s">
        <v>52</v>
      </c>
      <c r="X1077">
        <v>-64</v>
      </c>
      <c r="Y1077">
        <v>0</v>
      </c>
      <c r="Z1077">
        <f t="shared" si="96"/>
        <v>100</v>
      </c>
      <c r="AA1077">
        <f t="shared" si="97"/>
        <v>0.88888888888888884</v>
      </c>
      <c r="AB1077">
        <f t="shared" si="98"/>
        <v>44</v>
      </c>
      <c r="AC1077" t="str">
        <f t="shared" si="99"/>
        <v>Medium</v>
      </c>
      <c r="AD1077" t="str">
        <f t="shared" si="100"/>
        <v>Nudge core feature adoption</v>
      </c>
      <c r="AE1077">
        <f t="shared" si="101"/>
        <v>0</v>
      </c>
    </row>
    <row r="1078" spans="1:31" x14ac:dyDescent="0.35">
      <c r="A1078" t="s">
        <v>1136</v>
      </c>
      <c r="B1078" s="4">
        <v>44714</v>
      </c>
      <c r="C1078" s="4">
        <v>46143</v>
      </c>
      <c r="D1078" t="s">
        <v>60</v>
      </c>
      <c r="E1078">
        <v>66</v>
      </c>
      <c r="F1078" t="s">
        <v>33</v>
      </c>
      <c r="G1078" t="s">
        <v>63</v>
      </c>
      <c r="H1078" t="s">
        <v>58</v>
      </c>
      <c r="I1078" t="s">
        <v>36</v>
      </c>
      <c r="J1078">
        <v>47</v>
      </c>
      <c r="K1078" s="5">
        <v>432.57</v>
      </c>
      <c r="L1078" s="5">
        <v>384.98</v>
      </c>
      <c r="M1078">
        <v>28</v>
      </c>
      <c r="N1078">
        <v>11</v>
      </c>
      <c r="O1078">
        <v>4</v>
      </c>
      <c r="P1078">
        <v>2</v>
      </c>
      <c r="Q1078">
        <v>33</v>
      </c>
      <c r="R1078">
        <v>4</v>
      </c>
      <c r="S1078">
        <v>0</v>
      </c>
      <c r="T1078">
        <v>1</v>
      </c>
      <c r="U1078">
        <v>1</v>
      </c>
      <c r="V1078">
        <v>0</v>
      </c>
      <c r="W1078" t="s">
        <v>50</v>
      </c>
      <c r="X1078">
        <v>46</v>
      </c>
      <c r="Y1078">
        <v>0</v>
      </c>
      <c r="Z1078">
        <f t="shared" si="96"/>
        <v>84</v>
      </c>
      <c r="AA1078">
        <f t="shared" si="97"/>
        <v>0.79220779220779225</v>
      </c>
      <c r="AB1078">
        <f t="shared" si="98"/>
        <v>0</v>
      </c>
      <c r="AC1078" t="str">
        <f t="shared" si="99"/>
        <v>Low</v>
      </c>
      <c r="AD1078" t="str">
        <f t="shared" si="100"/>
        <v>Upsell premium bundle</v>
      </c>
      <c r="AE1078">
        <f t="shared" si="101"/>
        <v>16</v>
      </c>
    </row>
    <row r="1079" spans="1:31" x14ac:dyDescent="0.35">
      <c r="A1079" t="s">
        <v>1137</v>
      </c>
      <c r="B1079" s="4">
        <v>45957</v>
      </c>
      <c r="C1079" s="4">
        <v>46143</v>
      </c>
      <c r="D1079" t="s">
        <v>32</v>
      </c>
      <c r="E1079">
        <v>21</v>
      </c>
      <c r="F1079" t="s">
        <v>33</v>
      </c>
      <c r="G1079" t="s">
        <v>63</v>
      </c>
      <c r="H1079" t="s">
        <v>41</v>
      </c>
      <c r="I1079" t="s">
        <v>49</v>
      </c>
      <c r="J1079">
        <v>6</v>
      </c>
      <c r="K1079" s="5">
        <v>123.18</v>
      </c>
      <c r="L1079" s="5">
        <v>0</v>
      </c>
      <c r="M1079">
        <v>27</v>
      </c>
      <c r="N1079">
        <v>18</v>
      </c>
      <c r="O1079">
        <v>2</v>
      </c>
      <c r="P1079">
        <v>3</v>
      </c>
      <c r="Q1079">
        <v>20</v>
      </c>
      <c r="R1079">
        <v>0</v>
      </c>
      <c r="S1079">
        <v>1</v>
      </c>
      <c r="T1079">
        <v>1</v>
      </c>
      <c r="U1079">
        <v>0</v>
      </c>
      <c r="V1079">
        <v>0</v>
      </c>
      <c r="W1079" t="s">
        <v>52</v>
      </c>
      <c r="X1079">
        <v>31</v>
      </c>
      <c r="Y1079">
        <v>0</v>
      </c>
      <c r="Z1079">
        <f t="shared" si="96"/>
        <v>67</v>
      </c>
      <c r="AA1079">
        <f t="shared" si="97"/>
        <v>1.3055555555555556</v>
      </c>
      <c r="AB1079">
        <f t="shared" si="98"/>
        <v>40</v>
      </c>
      <c r="AC1079" t="str">
        <f t="shared" si="99"/>
        <v>Medium</v>
      </c>
      <c r="AD1079" t="str">
        <f t="shared" si="100"/>
        <v>Nudge core feature adoption</v>
      </c>
      <c r="AE1079">
        <f t="shared" si="101"/>
        <v>33</v>
      </c>
    </row>
    <row r="1080" spans="1:31" x14ac:dyDescent="0.35">
      <c r="A1080" t="s">
        <v>1138</v>
      </c>
      <c r="B1080" s="4">
        <v>46008</v>
      </c>
      <c r="C1080" s="4">
        <v>46143</v>
      </c>
      <c r="D1080" t="s">
        <v>47</v>
      </c>
      <c r="E1080">
        <v>54</v>
      </c>
      <c r="F1080" t="s">
        <v>57</v>
      </c>
      <c r="G1080" t="s">
        <v>40</v>
      </c>
      <c r="H1080" t="s">
        <v>44</v>
      </c>
      <c r="I1080" t="s">
        <v>36</v>
      </c>
      <c r="J1080">
        <v>4</v>
      </c>
      <c r="K1080" s="5">
        <v>1399.26</v>
      </c>
      <c r="L1080" s="5">
        <v>410.26</v>
      </c>
      <c r="M1080">
        <v>30</v>
      </c>
      <c r="N1080">
        <v>10</v>
      </c>
      <c r="O1080">
        <v>4</v>
      </c>
      <c r="P1080">
        <v>5</v>
      </c>
      <c r="Q1080">
        <v>22</v>
      </c>
      <c r="R1080">
        <v>2</v>
      </c>
      <c r="S1080">
        <v>0</v>
      </c>
      <c r="T1080">
        <v>0</v>
      </c>
      <c r="U1080">
        <v>0</v>
      </c>
      <c r="V1080">
        <v>1</v>
      </c>
      <c r="W1080" t="s">
        <v>50</v>
      </c>
      <c r="X1080">
        <v>74</v>
      </c>
      <c r="Y1080">
        <v>0</v>
      </c>
      <c r="Z1080">
        <f t="shared" si="96"/>
        <v>79</v>
      </c>
      <c r="AA1080">
        <f t="shared" si="97"/>
        <v>1.5294117647058822</v>
      </c>
      <c r="AB1080">
        <f t="shared" si="98"/>
        <v>0</v>
      </c>
      <c r="AC1080" t="str">
        <f t="shared" si="99"/>
        <v>Low</v>
      </c>
      <c r="AD1080" t="str">
        <f t="shared" si="100"/>
        <v>Upsell premium bundle</v>
      </c>
      <c r="AE1080">
        <f t="shared" si="101"/>
        <v>21</v>
      </c>
    </row>
    <row r="1081" spans="1:31" x14ac:dyDescent="0.35">
      <c r="A1081" t="s">
        <v>1139</v>
      </c>
      <c r="B1081" s="4">
        <v>46081</v>
      </c>
      <c r="C1081" s="4">
        <v>46143</v>
      </c>
      <c r="D1081" t="s">
        <v>47</v>
      </c>
      <c r="E1081">
        <v>69</v>
      </c>
      <c r="F1081" t="s">
        <v>43</v>
      </c>
      <c r="G1081" t="s">
        <v>40</v>
      </c>
      <c r="H1081" t="s">
        <v>58</v>
      </c>
      <c r="I1081" t="s">
        <v>36</v>
      </c>
      <c r="J1081">
        <v>2</v>
      </c>
      <c r="K1081" s="5">
        <v>32.47</v>
      </c>
      <c r="L1081" s="5">
        <v>66.09</v>
      </c>
      <c r="M1081">
        <v>2</v>
      </c>
      <c r="N1081">
        <v>0</v>
      </c>
      <c r="O1081">
        <v>0</v>
      </c>
      <c r="P1081">
        <v>0</v>
      </c>
      <c r="Q1081">
        <v>8</v>
      </c>
      <c r="R1081">
        <v>1</v>
      </c>
      <c r="S1081">
        <v>2</v>
      </c>
      <c r="T1081">
        <v>0</v>
      </c>
      <c r="U1081">
        <v>0</v>
      </c>
      <c r="V1081">
        <v>0</v>
      </c>
      <c r="W1081" t="s">
        <v>55</v>
      </c>
      <c r="X1081">
        <v>-10</v>
      </c>
      <c r="Y1081">
        <v>1</v>
      </c>
      <c r="Z1081">
        <f t="shared" si="96"/>
        <v>9</v>
      </c>
      <c r="AA1081">
        <f t="shared" si="97"/>
        <v>0.3125</v>
      </c>
      <c r="AB1081">
        <f t="shared" si="98"/>
        <v>64</v>
      </c>
      <c r="AC1081" t="str">
        <f t="shared" si="99"/>
        <v>Medium</v>
      </c>
      <c r="AD1081" t="str">
        <f t="shared" si="100"/>
        <v>Nudge core feature adoption</v>
      </c>
      <c r="AE1081">
        <f t="shared" si="101"/>
        <v>91</v>
      </c>
    </row>
    <row r="1082" spans="1:31" x14ac:dyDescent="0.35">
      <c r="A1082" t="s">
        <v>1140</v>
      </c>
      <c r="B1082" s="4">
        <v>45372</v>
      </c>
      <c r="C1082" s="4">
        <v>46143</v>
      </c>
      <c r="D1082" t="s">
        <v>66</v>
      </c>
      <c r="E1082">
        <v>27</v>
      </c>
      <c r="F1082" t="s">
        <v>43</v>
      </c>
      <c r="G1082" t="s">
        <v>85</v>
      </c>
      <c r="H1082" t="s">
        <v>41</v>
      </c>
      <c r="I1082" t="s">
        <v>36</v>
      </c>
      <c r="J1082">
        <v>25</v>
      </c>
      <c r="K1082" s="5">
        <v>135.55000000000001</v>
      </c>
      <c r="L1082" s="5">
        <v>0</v>
      </c>
      <c r="M1082">
        <v>21</v>
      </c>
      <c r="N1082">
        <v>13</v>
      </c>
      <c r="O1082">
        <v>5</v>
      </c>
      <c r="P1082">
        <v>3</v>
      </c>
      <c r="Q1082">
        <v>13</v>
      </c>
      <c r="R1082">
        <v>2</v>
      </c>
      <c r="S1082">
        <v>1</v>
      </c>
      <c r="T1082">
        <v>1</v>
      </c>
      <c r="U1082">
        <v>0</v>
      </c>
      <c r="V1082">
        <v>0</v>
      </c>
      <c r="W1082" t="s">
        <v>55</v>
      </c>
      <c r="X1082">
        <v>-18</v>
      </c>
      <c r="Y1082">
        <v>1</v>
      </c>
      <c r="Z1082">
        <f t="shared" si="96"/>
        <v>54</v>
      </c>
      <c r="AA1082">
        <f t="shared" si="97"/>
        <v>0.61818181818181817</v>
      </c>
      <c r="AB1082">
        <f t="shared" si="98"/>
        <v>50</v>
      </c>
      <c r="AC1082" t="str">
        <f t="shared" si="99"/>
        <v>Medium</v>
      </c>
      <c r="AD1082" t="str">
        <f t="shared" si="100"/>
        <v>Nudge core feature adoption</v>
      </c>
      <c r="AE1082">
        <f t="shared" si="101"/>
        <v>46</v>
      </c>
    </row>
    <row r="1083" spans="1:31" x14ac:dyDescent="0.35">
      <c r="A1083" t="s">
        <v>1141</v>
      </c>
      <c r="B1083" s="4">
        <v>45344</v>
      </c>
      <c r="C1083" s="4">
        <v>46143</v>
      </c>
      <c r="D1083" t="s">
        <v>39</v>
      </c>
      <c r="E1083">
        <v>61</v>
      </c>
      <c r="F1083" t="s">
        <v>33</v>
      </c>
      <c r="G1083" t="s">
        <v>40</v>
      </c>
      <c r="H1083" t="s">
        <v>41</v>
      </c>
      <c r="I1083" t="s">
        <v>36</v>
      </c>
      <c r="J1083">
        <v>26</v>
      </c>
      <c r="K1083" s="5">
        <v>413.84</v>
      </c>
      <c r="L1083" s="5">
        <v>247.05</v>
      </c>
      <c r="M1083">
        <v>12</v>
      </c>
      <c r="N1083">
        <v>4</v>
      </c>
      <c r="O1083">
        <v>1</v>
      </c>
      <c r="P1083">
        <v>0</v>
      </c>
      <c r="Q1083">
        <v>8</v>
      </c>
      <c r="R1083">
        <v>0</v>
      </c>
      <c r="S1083">
        <v>1</v>
      </c>
      <c r="T1083">
        <v>1</v>
      </c>
      <c r="U1083">
        <v>0</v>
      </c>
      <c r="V1083">
        <v>1</v>
      </c>
      <c r="W1083" t="s">
        <v>50</v>
      </c>
      <c r="X1083">
        <v>4</v>
      </c>
      <c r="Y1083">
        <v>1</v>
      </c>
      <c r="Z1083">
        <f t="shared" si="96"/>
        <v>31</v>
      </c>
      <c r="AA1083">
        <f t="shared" si="97"/>
        <v>0.35714285714285715</v>
      </c>
      <c r="AB1083">
        <f t="shared" si="98"/>
        <v>52</v>
      </c>
      <c r="AC1083" t="str">
        <f t="shared" si="99"/>
        <v>Medium</v>
      </c>
      <c r="AD1083" t="str">
        <f t="shared" si="100"/>
        <v>Nudge core feature adoption</v>
      </c>
      <c r="AE1083">
        <f t="shared" si="101"/>
        <v>69</v>
      </c>
    </row>
    <row r="1084" spans="1:31" x14ac:dyDescent="0.35">
      <c r="A1084" t="s">
        <v>1142</v>
      </c>
      <c r="B1084" s="4">
        <v>44785</v>
      </c>
      <c r="C1084" s="4">
        <v>46143</v>
      </c>
      <c r="D1084" t="s">
        <v>72</v>
      </c>
      <c r="E1084">
        <v>19</v>
      </c>
      <c r="F1084" t="s">
        <v>77</v>
      </c>
      <c r="G1084" t="s">
        <v>40</v>
      </c>
      <c r="H1084" t="s">
        <v>41</v>
      </c>
      <c r="I1084" t="s">
        <v>36</v>
      </c>
      <c r="J1084">
        <v>45</v>
      </c>
      <c r="K1084" s="5">
        <v>10162.549999999999</v>
      </c>
      <c r="L1084" s="5">
        <v>8114.82</v>
      </c>
      <c r="M1084">
        <v>24</v>
      </c>
      <c r="N1084">
        <v>7</v>
      </c>
      <c r="O1084">
        <v>2</v>
      </c>
      <c r="P1084">
        <v>0</v>
      </c>
      <c r="Q1084">
        <v>15</v>
      </c>
      <c r="R1084">
        <v>2</v>
      </c>
      <c r="S1084">
        <v>1</v>
      </c>
      <c r="T1084">
        <v>1</v>
      </c>
      <c r="U1084">
        <v>0</v>
      </c>
      <c r="V1084">
        <v>0</v>
      </c>
      <c r="W1084" t="s">
        <v>52</v>
      </c>
      <c r="X1084">
        <v>25</v>
      </c>
      <c r="Y1084">
        <v>1</v>
      </c>
      <c r="Z1084">
        <f t="shared" si="96"/>
        <v>47</v>
      </c>
      <c r="AA1084">
        <f t="shared" si="97"/>
        <v>0.52</v>
      </c>
      <c r="AB1084">
        <f t="shared" si="98"/>
        <v>22</v>
      </c>
      <c r="AC1084" t="str">
        <f t="shared" si="99"/>
        <v>Low</v>
      </c>
      <c r="AD1084" t="str">
        <f t="shared" si="100"/>
        <v>Upsell premium bundle</v>
      </c>
      <c r="AE1084">
        <f t="shared" si="101"/>
        <v>53</v>
      </c>
    </row>
    <row r="1085" spans="1:31" x14ac:dyDescent="0.35">
      <c r="A1085" t="s">
        <v>1143</v>
      </c>
      <c r="B1085" s="4">
        <v>45387</v>
      </c>
      <c r="C1085" s="4">
        <v>46143</v>
      </c>
      <c r="D1085" t="s">
        <v>32</v>
      </c>
      <c r="E1085">
        <v>61</v>
      </c>
      <c r="F1085" t="s">
        <v>43</v>
      </c>
      <c r="G1085" t="s">
        <v>40</v>
      </c>
      <c r="H1085" t="s">
        <v>41</v>
      </c>
      <c r="I1085" t="s">
        <v>36</v>
      </c>
      <c r="J1085">
        <v>25</v>
      </c>
      <c r="K1085" s="5">
        <v>76.8</v>
      </c>
      <c r="L1085" s="5">
        <v>45.22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 t="s">
        <v>55</v>
      </c>
      <c r="X1085">
        <v>11</v>
      </c>
      <c r="Y1085">
        <v>1</v>
      </c>
      <c r="Z1085">
        <f t="shared" si="96"/>
        <v>3</v>
      </c>
      <c r="AA1085">
        <f t="shared" si="97"/>
        <v>5.4545454545454543E-2</v>
      </c>
      <c r="AB1085">
        <f t="shared" si="98"/>
        <v>51</v>
      </c>
      <c r="AC1085" t="str">
        <f t="shared" si="99"/>
        <v>Medium</v>
      </c>
      <c r="AD1085" t="str">
        <f t="shared" si="100"/>
        <v>Nudge core feature adoption</v>
      </c>
      <c r="AE1085">
        <f t="shared" si="101"/>
        <v>97</v>
      </c>
    </row>
    <row r="1086" spans="1:31" x14ac:dyDescent="0.35">
      <c r="A1086" t="s">
        <v>1144</v>
      </c>
      <c r="B1086" s="4">
        <v>45777</v>
      </c>
      <c r="C1086" s="4">
        <v>46143</v>
      </c>
      <c r="D1086" t="s">
        <v>39</v>
      </c>
      <c r="E1086">
        <v>50</v>
      </c>
      <c r="F1086" t="s">
        <v>43</v>
      </c>
      <c r="G1086" t="s">
        <v>67</v>
      </c>
      <c r="H1086" t="s">
        <v>41</v>
      </c>
      <c r="I1086" t="s">
        <v>49</v>
      </c>
      <c r="J1086">
        <v>12</v>
      </c>
      <c r="K1086" s="5">
        <v>49.1</v>
      </c>
      <c r="L1086" s="5">
        <v>18.25</v>
      </c>
      <c r="M1086">
        <v>15</v>
      </c>
      <c r="N1086">
        <v>4</v>
      </c>
      <c r="O1086">
        <v>2</v>
      </c>
      <c r="P1086">
        <v>0</v>
      </c>
      <c r="Q1086">
        <v>12</v>
      </c>
      <c r="R1086">
        <v>5</v>
      </c>
      <c r="S1086">
        <v>2</v>
      </c>
      <c r="T1086">
        <v>1</v>
      </c>
      <c r="U1086">
        <v>0</v>
      </c>
      <c r="V1086">
        <v>0</v>
      </c>
      <c r="W1086" t="s">
        <v>50</v>
      </c>
      <c r="X1086">
        <v>-53</v>
      </c>
      <c r="Y1086">
        <v>1</v>
      </c>
      <c r="Z1086">
        <f t="shared" si="96"/>
        <v>33</v>
      </c>
      <c r="AA1086">
        <f t="shared" si="97"/>
        <v>0.6428571428571429</v>
      </c>
      <c r="AB1086">
        <f t="shared" si="98"/>
        <v>96</v>
      </c>
      <c r="AC1086" t="str">
        <f t="shared" si="99"/>
        <v>High</v>
      </c>
      <c r="AD1086" t="str">
        <f t="shared" si="100"/>
        <v>Deposit incentive</v>
      </c>
      <c r="AE1086">
        <f t="shared" si="101"/>
        <v>67</v>
      </c>
    </row>
    <row r="1087" spans="1:31" x14ac:dyDescent="0.35">
      <c r="A1087" t="s">
        <v>1145</v>
      </c>
      <c r="B1087" s="4">
        <v>45264</v>
      </c>
      <c r="C1087" s="4">
        <v>46143</v>
      </c>
      <c r="D1087" t="s">
        <v>72</v>
      </c>
      <c r="E1087">
        <v>48</v>
      </c>
      <c r="F1087" t="s">
        <v>61</v>
      </c>
      <c r="G1087" t="s">
        <v>85</v>
      </c>
      <c r="H1087" t="s">
        <v>41</v>
      </c>
      <c r="I1087" t="s">
        <v>36</v>
      </c>
      <c r="J1087">
        <v>29</v>
      </c>
      <c r="K1087" s="5">
        <v>0</v>
      </c>
      <c r="L1087" s="5">
        <v>895.91</v>
      </c>
      <c r="M1087">
        <v>20</v>
      </c>
      <c r="N1087">
        <v>6</v>
      </c>
      <c r="O1087">
        <v>3</v>
      </c>
      <c r="P1087">
        <v>1</v>
      </c>
      <c r="Q1087">
        <v>16</v>
      </c>
      <c r="R1087">
        <v>1</v>
      </c>
      <c r="S1087">
        <v>1</v>
      </c>
      <c r="T1087">
        <v>1</v>
      </c>
      <c r="U1087">
        <v>0</v>
      </c>
      <c r="V1087">
        <v>0</v>
      </c>
      <c r="W1087" t="s">
        <v>37</v>
      </c>
      <c r="X1087">
        <v>5</v>
      </c>
      <c r="Y1087">
        <v>1</v>
      </c>
      <c r="Z1087">
        <f t="shared" si="96"/>
        <v>46</v>
      </c>
      <c r="AA1087">
        <f t="shared" si="97"/>
        <v>0.61016949152542377</v>
      </c>
      <c r="AB1087">
        <f t="shared" si="98"/>
        <v>44</v>
      </c>
      <c r="AC1087" t="str">
        <f t="shared" si="99"/>
        <v>Medium</v>
      </c>
      <c r="AD1087" t="str">
        <f t="shared" si="100"/>
        <v>Nudge core feature adoption</v>
      </c>
      <c r="AE1087">
        <f t="shared" si="101"/>
        <v>54</v>
      </c>
    </row>
    <row r="1088" spans="1:31" x14ac:dyDescent="0.35">
      <c r="A1088" t="s">
        <v>1146</v>
      </c>
      <c r="B1088" s="4">
        <v>45812</v>
      </c>
      <c r="C1088" s="4">
        <v>46143</v>
      </c>
      <c r="D1088" t="s">
        <v>32</v>
      </c>
      <c r="E1088">
        <v>68</v>
      </c>
      <c r="F1088" t="s">
        <v>43</v>
      </c>
      <c r="G1088" t="s">
        <v>34</v>
      </c>
      <c r="H1088" t="s">
        <v>58</v>
      </c>
      <c r="I1088" t="s">
        <v>36</v>
      </c>
      <c r="J1088">
        <v>11</v>
      </c>
      <c r="K1088" s="5">
        <v>170.46</v>
      </c>
      <c r="L1088" s="5">
        <v>136.96</v>
      </c>
      <c r="M1088">
        <v>13</v>
      </c>
      <c r="N1088">
        <v>6</v>
      </c>
      <c r="O1088">
        <v>0</v>
      </c>
      <c r="P1088">
        <v>0</v>
      </c>
      <c r="Q1088">
        <v>17</v>
      </c>
      <c r="R1088">
        <v>1</v>
      </c>
      <c r="S1088">
        <v>0</v>
      </c>
      <c r="T1088">
        <v>1</v>
      </c>
      <c r="U1088">
        <v>0</v>
      </c>
      <c r="V1088">
        <v>0</v>
      </c>
      <c r="W1088" t="s">
        <v>55</v>
      </c>
      <c r="X1088">
        <v>33</v>
      </c>
      <c r="Y1088">
        <v>0</v>
      </c>
      <c r="Z1088">
        <f t="shared" si="96"/>
        <v>34</v>
      </c>
      <c r="AA1088">
        <f t="shared" si="97"/>
        <v>0.73170731707317072</v>
      </c>
      <c r="AB1088">
        <f t="shared" si="98"/>
        <v>16</v>
      </c>
      <c r="AC1088" t="str">
        <f t="shared" si="99"/>
        <v>Low</v>
      </c>
      <c r="AD1088" t="str">
        <f t="shared" si="100"/>
        <v>Upsell premium bundle</v>
      </c>
      <c r="AE1088">
        <f t="shared" si="101"/>
        <v>66</v>
      </c>
    </row>
    <row r="1089" spans="1:31" x14ac:dyDescent="0.35">
      <c r="A1089" t="s">
        <v>1147</v>
      </c>
      <c r="B1089" s="4">
        <v>45449</v>
      </c>
      <c r="C1089" s="4">
        <v>46143</v>
      </c>
      <c r="D1089" t="s">
        <v>39</v>
      </c>
      <c r="E1089">
        <v>63</v>
      </c>
      <c r="F1089" t="s">
        <v>33</v>
      </c>
      <c r="G1089" t="s">
        <v>63</v>
      </c>
      <c r="H1089" t="s">
        <v>41</v>
      </c>
      <c r="I1089" t="s">
        <v>36</v>
      </c>
      <c r="J1089">
        <v>23</v>
      </c>
      <c r="K1089" s="5">
        <v>306.41000000000003</v>
      </c>
      <c r="L1089" s="5">
        <v>497.89</v>
      </c>
      <c r="M1089">
        <v>14</v>
      </c>
      <c r="N1089">
        <v>6</v>
      </c>
      <c r="O1089">
        <v>4</v>
      </c>
      <c r="P1089">
        <v>1</v>
      </c>
      <c r="Q1089">
        <v>8</v>
      </c>
      <c r="R1089">
        <v>1</v>
      </c>
      <c r="S1089">
        <v>1</v>
      </c>
      <c r="T1089">
        <v>1</v>
      </c>
      <c r="U1089">
        <v>1</v>
      </c>
      <c r="V1089">
        <v>1</v>
      </c>
      <c r="W1089" t="s">
        <v>55</v>
      </c>
      <c r="X1089">
        <v>51</v>
      </c>
      <c r="Y1089">
        <v>0</v>
      </c>
      <c r="Z1089">
        <f t="shared" si="96"/>
        <v>48</v>
      </c>
      <c r="AA1089">
        <f t="shared" si="97"/>
        <v>0.41509433962264153</v>
      </c>
      <c r="AB1089">
        <f t="shared" si="98"/>
        <v>20</v>
      </c>
      <c r="AC1089" t="str">
        <f t="shared" si="99"/>
        <v>Low</v>
      </c>
      <c r="AD1089" t="str">
        <f t="shared" si="100"/>
        <v>Upsell premium bundle</v>
      </c>
      <c r="AE1089">
        <f t="shared" si="101"/>
        <v>52</v>
      </c>
    </row>
    <row r="1090" spans="1:31" x14ac:dyDescent="0.35">
      <c r="A1090" t="s">
        <v>1148</v>
      </c>
      <c r="B1090" s="4">
        <v>45382</v>
      </c>
      <c r="C1090" s="4">
        <v>46143</v>
      </c>
      <c r="D1090" t="s">
        <v>32</v>
      </c>
      <c r="E1090">
        <v>70</v>
      </c>
      <c r="F1090" t="s">
        <v>57</v>
      </c>
      <c r="G1090" t="s">
        <v>40</v>
      </c>
      <c r="H1090" t="s">
        <v>41</v>
      </c>
      <c r="I1090" t="s">
        <v>54</v>
      </c>
      <c r="J1090">
        <v>25</v>
      </c>
      <c r="K1090" s="5">
        <v>1569.54</v>
      </c>
      <c r="L1090" s="5">
        <v>269.92</v>
      </c>
      <c r="M1090">
        <v>17</v>
      </c>
      <c r="N1090">
        <v>4</v>
      </c>
      <c r="O1090">
        <v>4</v>
      </c>
      <c r="P1090">
        <v>3</v>
      </c>
      <c r="Q1090">
        <v>13</v>
      </c>
      <c r="R1090">
        <v>0</v>
      </c>
      <c r="S1090">
        <v>2</v>
      </c>
      <c r="T1090">
        <v>1</v>
      </c>
      <c r="U1090">
        <v>0</v>
      </c>
      <c r="V1090">
        <v>1</v>
      </c>
      <c r="W1090" t="s">
        <v>50</v>
      </c>
      <c r="X1090">
        <v>38</v>
      </c>
      <c r="Y1090">
        <v>1</v>
      </c>
      <c r="Z1090">
        <f t="shared" ref="Z1090:Z1153" si="102">MIN(100,ROUND((M1090*1.1+N1090*0.7+O1090*1.2+P1090*1.4+Q1090*0.9+U1090*8+V1090*7),0))</f>
        <v>49</v>
      </c>
      <c r="AA1090">
        <f t="shared" ref="AA1090:AA1153" si="103">IFERROR((M1090+Q1090)/(30+J1090),0)</f>
        <v>0.54545454545454541</v>
      </c>
      <c r="AB1090">
        <f t="shared" ref="AB1090:AB1153" si="104">ROUND(MIN(100,MAX(0,60-Z1090*0.4-R1090*1.5+S1090*8-IF(L1090&gt;1500,10,0)-X1090*0.5+IF(I1090="Completed",-8,8)+IF(H1090="Free",6,-4))),0)</f>
        <v>51</v>
      </c>
      <c r="AC1090" t="str">
        <f t="shared" ref="AC1090:AC1153" si="105">IF(AB1090&gt;=70,"High",IF(AB1090&gt;=40,"Medium","Low"))</f>
        <v>Medium</v>
      </c>
      <c r="AD1090" t="str">
        <f t="shared" ref="AD1090:AD1153" si="106">IF(AC1090="High",IF(Q1090&lt;5,"Re-engage with app usage offer",IF(K1090&lt;100,"Deposit incentive","Retention call")),IF(AC1090="Medium","Nudge core feature adoption","Upsell premium bundle"))</f>
        <v>Nudge core feature adoption</v>
      </c>
      <c r="AE1090">
        <f t="shared" ref="AE1090:AE1153" si="107">100-Z1090</f>
        <v>51</v>
      </c>
    </row>
    <row r="1091" spans="1:31" x14ac:dyDescent="0.35">
      <c r="A1091" t="s">
        <v>1149</v>
      </c>
      <c r="B1091" s="4">
        <v>45862</v>
      </c>
      <c r="C1091" s="4">
        <v>46143</v>
      </c>
      <c r="D1091" t="s">
        <v>32</v>
      </c>
      <c r="E1091">
        <v>46</v>
      </c>
      <c r="F1091" t="s">
        <v>61</v>
      </c>
      <c r="G1091" t="s">
        <v>67</v>
      </c>
      <c r="H1091" t="s">
        <v>44</v>
      </c>
      <c r="I1091" t="s">
        <v>36</v>
      </c>
      <c r="J1091">
        <v>9</v>
      </c>
      <c r="K1091" s="5">
        <v>4244.04</v>
      </c>
      <c r="L1091" s="5">
        <v>0</v>
      </c>
      <c r="M1091">
        <v>35</v>
      </c>
      <c r="N1091">
        <v>12</v>
      </c>
      <c r="O1091">
        <v>10</v>
      </c>
      <c r="P1091">
        <v>1</v>
      </c>
      <c r="Q1091">
        <v>13</v>
      </c>
      <c r="R1091">
        <v>4</v>
      </c>
      <c r="S1091">
        <v>0</v>
      </c>
      <c r="T1091">
        <v>0</v>
      </c>
      <c r="U1091">
        <v>0</v>
      </c>
      <c r="V1091">
        <v>1</v>
      </c>
      <c r="W1091" t="s">
        <v>37</v>
      </c>
      <c r="X1091">
        <v>16</v>
      </c>
      <c r="Y1091">
        <v>0</v>
      </c>
      <c r="Z1091">
        <f t="shared" si="102"/>
        <v>79</v>
      </c>
      <c r="AA1091">
        <f t="shared" si="103"/>
        <v>1.2307692307692308</v>
      </c>
      <c r="AB1091">
        <f t="shared" si="104"/>
        <v>2</v>
      </c>
      <c r="AC1091" t="str">
        <f t="shared" si="105"/>
        <v>Low</v>
      </c>
      <c r="AD1091" t="str">
        <f t="shared" si="106"/>
        <v>Upsell premium bundle</v>
      </c>
      <c r="AE1091">
        <f t="shared" si="107"/>
        <v>21</v>
      </c>
    </row>
    <row r="1092" spans="1:31" x14ac:dyDescent="0.35">
      <c r="A1092" t="s">
        <v>1150</v>
      </c>
      <c r="B1092" s="4">
        <v>45301</v>
      </c>
      <c r="C1092" s="4">
        <v>46143</v>
      </c>
      <c r="D1092" t="s">
        <v>72</v>
      </c>
      <c r="E1092">
        <v>62</v>
      </c>
      <c r="F1092" t="s">
        <v>57</v>
      </c>
      <c r="G1092" t="s">
        <v>40</v>
      </c>
      <c r="H1092" t="s">
        <v>41</v>
      </c>
      <c r="I1092" t="s">
        <v>36</v>
      </c>
      <c r="J1092">
        <v>28</v>
      </c>
      <c r="K1092" s="5">
        <v>208.52</v>
      </c>
      <c r="L1092" s="5">
        <v>345.84</v>
      </c>
      <c r="M1092">
        <v>9</v>
      </c>
      <c r="N1092">
        <v>6</v>
      </c>
      <c r="O1092">
        <v>0</v>
      </c>
      <c r="P1092">
        <v>0</v>
      </c>
      <c r="Q1092">
        <v>10</v>
      </c>
      <c r="R1092">
        <v>0</v>
      </c>
      <c r="S1092">
        <v>0</v>
      </c>
      <c r="T1092">
        <v>1</v>
      </c>
      <c r="U1092">
        <v>0</v>
      </c>
      <c r="V1092">
        <v>0</v>
      </c>
      <c r="W1092" t="s">
        <v>55</v>
      </c>
      <c r="X1092">
        <v>15</v>
      </c>
      <c r="Y1092">
        <v>0</v>
      </c>
      <c r="Z1092">
        <f t="shared" si="102"/>
        <v>23</v>
      </c>
      <c r="AA1092">
        <f t="shared" si="103"/>
        <v>0.32758620689655171</v>
      </c>
      <c r="AB1092">
        <f t="shared" si="104"/>
        <v>41</v>
      </c>
      <c r="AC1092" t="str">
        <f t="shared" si="105"/>
        <v>Medium</v>
      </c>
      <c r="AD1092" t="str">
        <f t="shared" si="106"/>
        <v>Nudge core feature adoption</v>
      </c>
      <c r="AE1092">
        <f t="shared" si="107"/>
        <v>77</v>
      </c>
    </row>
    <row r="1093" spans="1:31" x14ac:dyDescent="0.35">
      <c r="A1093" t="s">
        <v>1151</v>
      </c>
      <c r="B1093" s="4">
        <v>45643</v>
      </c>
      <c r="C1093" s="4">
        <v>46143</v>
      </c>
      <c r="D1093" t="s">
        <v>32</v>
      </c>
      <c r="E1093">
        <v>30</v>
      </c>
      <c r="F1093" t="s">
        <v>57</v>
      </c>
      <c r="G1093" t="s">
        <v>34</v>
      </c>
      <c r="H1093" t="s">
        <v>58</v>
      </c>
      <c r="I1093" t="s">
        <v>36</v>
      </c>
      <c r="J1093">
        <v>16</v>
      </c>
      <c r="K1093" s="5">
        <v>342.06</v>
      </c>
      <c r="L1093" s="5">
        <v>0</v>
      </c>
      <c r="M1093">
        <v>32</v>
      </c>
      <c r="N1093">
        <v>20</v>
      </c>
      <c r="O1093">
        <v>7</v>
      </c>
      <c r="P1093">
        <v>5</v>
      </c>
      <c r="Q1093">
        <v>26</v>
      </c>
      <c r="R1093">
        <v>0</v>
      </c>
      <c r="S1093">
        <v>2</v>
      </c>
      <c r="T1093">
        <v>1</v>
      </c>
      <c r="U1093">
        <v>1</v>
      </c>
      <c r="V1093">
        <v>0</v>
      </c>
      <c r="W1093" t="s">
        <v>55</v>
      </c>
      <c r="X1093">
        <v>-4</v>
      </c>
      <c r="Y1093">
        <v>0</v>
      </c>
      <c r="Z1093">
        <f t="shared" si="102"/>
        <v>96</v>
      </c>
      <c r="AA1093">
        <f t="shared" si="103"/>
        <v>1.2608695652173914</v>
      </c>
      <c r="AB1093">
        <f t="shared" si="104"/>
        <v>28</v>
      </c>
      <c r="AC1093" t="str">
        <f t="shared" si="105"/>
        <v>Low</v>
      </c>
      <c r="AD1093" t="str">
        <f t="shared" si="106"/>
        <v>Upsell premium bundle</v>
      </c>
      <c r="AE1093">
        <f t="shared" si="107"/>
        <v>4</v>
      </c>
    </row>
    <row r="1094" spans="1:31" x14ac:dyDescent="0.35">
      <c r="A1094" t="s">
        <v>1152</v>
      </c>
      <c r="B1094" s="4">
        <v>44756</v>
      </c>
      <c r="C1094" s="4">
        <v>46143</v>
      </c>
      <c r="D1094" t="s">
        <v>60</v>
      </c>
      <c r="E1094">
        <v>69</v>
      </c>
      <c r="F1094" t="s">
        <v>33</v>
      </c>
      <c r="G1094" t="s">
        <v>40</v>
      </c>
      <c r="H1094" t="s">
        <v>44</v>
      </c>
      <c r="I1094" t="s">
        <v>36</v>
      </c>
      <c r="J1094">
        <v>46</v>
      </c>
      <c r="K1094" s="5">
        <v>232.66</v>
      </c>
      <c r="L1094" s="5">
        <v>711.5</v>
      </c>
      <c r="M1094">
        <v>44</v>
      </c>
      <c r="N1094">
        <v>19</v>
      </c>
      <c r="O1094">
        <v>3</v>
      </c>
      <c r="P1094">
        <v>7</v>
      </c>
      <c r="Q1094">
        <v>29</v>
      </c>
      <c r="R1094">
        <v>1</v>
      </c>
      <c r="S1094">
        <v>0</v>
      </c>
      <c r="T1094">
        <v>1</v>
      </c>
      <c r="U1094">
        <v>0</v>
      </c>
      <c r="V1094">
        <v>1</v>
      </c>
      <c r="W1094" t="s">
        <v>50</v>
      </c>
      <c r="X1094">
        <v>81</v>
      </c>
      <c r="Y1094">
        <v>0</v>
      </c>
      <c r="Z1094">
        <f t="shared" si="102"/>
        <v>100</v>
      </c>
      <c r="AA1094">
        <f t="shared" si="103"/>
        <v>0.96052631578947367</v>
      </c>
      <c r="AB1094">
        <f t="shared" si="104"/>
        <v>0</v>
      </c>
      <c r="AC1094" t="str">
        <f t="shared" si="105"/>
        <v>Low</v>
      </c>
      <c r="AD1094" t="str">
        <f t="shared" si="106"/>
        <v>Upsell premium bundle</v>
      </c>
      <c r="AE1094">
        <f t="shared" si="107"/>
        <v>0</v>
      </c>
    </row>
    <row r="1095" spans="1:31" x14ac:dyDescent="0.35">
      <c r="A1095" t="s">
        <v>1153</v>
      </c>
      <c r="B1095" s="4">
        <v>44704</v>
      </c>
      <c r="C1095" s="4">
        <v>46143</v>
      </c>
      <c r="D1095" t="s">
        <v>60</v>
      </c>
      <c r="E1095">
        <v>30</v>
      </c>
      <c r="F1095" t="s">
        <v>43</v>
      </c>
      <c r="G1095" t="s">
        <v>34</v>
      </c>
      <c r="H1095" t="s">
        <v>41</v>
      </c>
      <c r="I1095" t="s">
        <v>36</v>
      </c>
      <c r="J1095">
        <v>47</v>
      </c>
      <c r="K1095" s="5">
        <v>91.4</v>
      </c>
      <c r="L1095" s="5">
        <v>55.18</v>
      </c>
      <c r="M1095">
        <v>30</v>
      </c>
      <c r="N1095">
        <v>10</v>
      </c>
      <c r="O1095">
        <v>8</v>
      </c>
      <c r="P1095">
        <v>3</v>
      </c>
      <c r="Q1095">
        <v>25</v>
      </c>
      <c r="R1095">
        <v>0</v>
      </c>
      <c r="S1095">
        <v>0</v>
      </c>
      <c r="T1095">
        <v>1</v>
      </c>
      <c r="U1095">
        <v>0</v>
      </c>
      <c r="V1095">
        <v>0</v>
      </c>
      <c r="W1095" t="s">
        <v>37</v>
      </c>
      <c r="X1095">
        <v>39</v>
      </c>
      <c r="Y1095">
        <v>0</v>
      </c>
      <c r="Z1095">
        <f t="shared" si="102"/>
        <v>76</v>
      </c>
      <c r="AA1095">
        <f t="shared" si="103"/>
        <v>0.7142857142857143</v>
      </c>
      <c r="AB1095">
        <f t="shared" si="104"/>
        <v>8</v>
      </c>
      <c r="AC1095" t="str">
        <f t="shared" si="105"/>
        <v>Low</v>
      </c>
      <c r="AD1095" t="str">
        <f t="shared" si="106"/>
        <v>Upsell premium bundle</v>
      </c>
      <c r="AE1095">
        <f t="shared" si="107"/>
        <v>24</v>
      </c>
    </row>
    <row r="1096" spans="1:31" x14ac:dyDescent="0.35">
      <c r="A1096" t="s">
        <v>1154</v>
      </c>
      <c r="B1096" s="4">
        <v>44815</v>
      </c>
      <c r="C1096" s="4">
        <v>46143</v>
      </c>
      <c r="D1096" t="s">
        <v>66</v>
      </c>
      <c r="E1096">
        <v>50</v>
      </c>
      <c r="F1096" t="s">
        <v>57</v>
      </c>
      <c r="G1096" t="s">
        <v>63</v>
      </c>
      <c r="H1096" t="s">
        <v>41</v>
      </c>
      <c r="I1096" t="s">
        <v>36</v>
      </c>
      <c r="J1096">
        <v>44</v>
      </c>
      <c r="K1096" s="5">
        <v>316.83</v>
      </c>
      <c r="L1096" s="5">
        <v>1450.33</v>
      </c>
      <c r="M1096">
        <v>24</v>
      </c>
      <c r="N1096">
        <v>15</v>
      </c>
      <c r="O1096">
        <v>1</v>
      </c>
      <c r="P1096">
        <v>1</v>
      </c>
      <c r="Q1096">
        <v>8</v>
      </c>
      <c r="R1096">
        <v>0</v>
      </c>
      <c r="S1096">
        <v>0</v>
      </c>
      <c r="T1096">
        <v>1</v>
      </c>
      <c r="U1096">
        <v>0</v>
      </c>
      <c r="V1096">
        <v>0</v>
      </c>
      <c r="W1096" t="s">
        <v>55</v>
      </c>
      <c r="X1096">
        <v>27</v>
      </c>
      <c r="Y1096">
        <v>0</v>
      </c>
      <c r="Z1096">
        <f t="shared" si="102"/>
        <v>47</v>
      </c>
      <c r="AA1096">
        <f t="shared" si="103"/>
        <v>0.43243243243243246</v>
      </c>
      <c r="AB1096">
        <f t="shared" si="104"/>
        <v>26</v>
      </c>
      <c r="AC1096" t="str">
        <f t="shared" si="105"/>
        <v>Low</v>
      </c>
      <c r="AD1096" t="str">
        <f t="shared" si="106"/>
        <v>Upsell premium bundle</v>
      </c>
      <c r="AE1096">
        <f t="shared" si="107"/>
        <v>53</v>
      </c>
    </row>
    <row r="1097" spans="1:31" x14ac:dyDescent="0.35">
      <c r="A1097" t="s">
        <v>1155</v>
      </c>
      <c r="B1097" s="4">
        <v>45208</v>
      </c>
      <c r="C1097" s="4">
        <v>46143</v>
      </c>
      <c r="D1097" t="s">
        <v>60</v>
      </c>
      <c r="E1097">
        <v>68</v>
      </c>
      <c r="F1097" t="s">
        <v>61</v>
      </c>
      <c r="G1097" t="s">
        <v>85</v>
      </c>
      <c r="H1097" t="s">
        <v>58</v>
      </c>
      <c r="I1097" t="s">
        <v>36</v>
      </c>
      <c r="J1097">
        <v>31</v>
      </c>
      <c r="K1097" s="5">
        <v>4403.7700000000004</v>
      </c>
      <c r="L1097" s="5">
        <v>0</v>
      </c>
      <c r="M1097">
        <v>35</v>
      </c>
      <c r="N1097">
        <v>23</v>
      </c>
      <c r="O1097">
        <v>5</v>
      </c>
      <c r="P1097">
        <v>2</v>
      </c>
      <c r="Q1097">
        <v>23</v>
      </c>
      <c r="R1097">
        <v>3</v>
      </c>
      <c r="S1097">
        <v>0</v>
      </c>
      <c r="T1097">
        <v>1</v>
      </c>
      <c r="U1097">
        <v>0</v>
      </c>
      <c r="V1097">
        <v>0</v>
      </c>
      <c r="W1097" t="s">
        <v>45</v>
      </c>
      <c r="X1097">
        <v>32</v>
      </c>
      <c r="Y1097">
        <v>0</v>
      </c>
      <c r="Z1097">
        <f t="shared" si="102"/>
        <v>84</v>
      </c>
      <c r="AA1097">
        <f t="shared" si="103"/>
        <v>0.95081967213114749</v>
      </c>
      <c r="AB1097">
        <f t="shared" si="104"/>
        <v>0</v>
      </c>
      <c r="AC1097" t="str">
        <f t="shared" si="105"/>
        <v>Low</v>
      </c>
      <c r="AD1097" t="str">
        <f t="shared" si="106"/>
        <v>Upsell premium bundle</v>
      </c>
      <c r="AE1097">
        <f t="shared" si="107"/>
        <v>16</v>
      </c>
    </row>
    <row r="1098" spans="1:31" x14ac:dyDescent="0.35">
      <c r="A1098" t="s">
        <v>1156</v>
      </c>
      <c r="B1098" s="4">
        <v>45018</v>
      </c>
      <c r="C1098" s="4">
        <v>46143</v>
      </c>
      <c r="D1098" t="s">
        <v>32</v>
      </c>
      <c r="E1098">
        <v>48</v>
      </c>
      <c r="F1098" t="s">
        <v>43</v>
      </c>
      <c r="G1098" t="s">
        <v>63</v>
      </c>
      <c r="H1098" t="s">
        <v>58</v>
      </c>
      <c r="I1098" t="s">
        <v>36</v>
      </c>
      <c r="J1098">
        <v>37</v>
      </c>
      <c r="K1098" s="5">
        <v>42.43</v>
      </c>
      <c r="L1098" s="5">
        <v>35.130000000000003</v>
      </c>
      <c r="M1098">
        <v>30</v>
      </c>
      <c r="N1098">
        <v>10</v>
      </c>
      <c r="O1098">
        <v>7</v>
      </c>
      <c r="P1098">
        <v>3</v>
      </c>
      <c r="Q1098">
        <v>17</v>
      </c>
      <c r="R1098">
        <v>0</v>
      </c>
      <c r="S1098">
        <v>0</v>
      </c>
      <c r="T1098">
        <v>0</v>
      </c>
      <c r="U1098">
        <v>0</v>
      </c>
      <c r="V1098">
        <v>1</v>
      </c>
      <c r="W1098" t="s">
        <v>55</v>
      </c>
      <c r="X1098">
        <v>31</v>
      </c>
      <c r="Y1098">
        <v>0</v>
      </c>
      <c r="Z1098">
        <f t="shared" si="102"/>
        <v>75</v>
      </c>
      <c r="AA1098">
        <f t="shared" si="103"/>
        <v>0.70149253731343286</v>
      </c>
      <c r="AB1098">
        <f t="shared" si="104"/>
        <v>3</v>
      </c>
      <c r="AC1098" t="str">
        <f t="shared" si="105"/>
        <v>Low</v>
      </c>
      <c r="AD1098" t="str">
        <f t="shared" si="106"/>
        <v>Upsell premium bundle</v>
      </c>
      <c r="AE1098">
        <f t="shared" si="107"/>
        <v>25</v>
      </c>
    </row>
    <row r="1099" spans="1:31" x14ac:dyDescent="0.35">
      <c r="A1099" t="s">
        <v>1157</v>
      </c>
      <c r="B1099" s="4">
        <v>45398</v>
      </c>
      <c r="C1099" s="4">
        <v>46143</v>
      </c>
      <c r="D1099" t="s">
        <v>32</v>
      </c>
      <c r="E1099">
        <v>41</v>
      </c>
      <c r="F1099" t="s">
        <v>57</v>
      </c>
      <c r="G1099" t="s">
        <v>67</v>
      </c>
      <c r="H1099" t="s">
        <v>58</v>
      </c>
      <c r="I1099" t="s">
        <v>36</v>
      </c>
      <c r="J1099">
        <v>24</v>
      </c>
      <c r="K1099" s="5">
        <v>1332.91</v>
      </c>
      <c r="L1099" s="5">
        <v>1035.24</v>
      </c>
      <c r="M1099">
        <v>30</v>
      </c>
      <c r="N1099">
        <v>11</v>
      </c>
      <c r="O1099">
        <v>4</v>
      </c>
      <c r="P1099">
        <v>3</v>
      </c>
      <c r="Q1099">
        <v>26</v>
      </c>
      <c r="R1099">
        <v>2</v>
      </c>
      <c r="S1099">
        <v>2</v>
      </c>
      <c r="T1099">
        <v>1</v>
      </c>
      <c r="U1099">
        <v>0</v>
      </c>
      <c r="V1099">
        <v>1</v>
      </c>
      <c r="W1099" t="s">
        <v>50</v>
      </c>
      <c r="X1099">
        <v>23</v>
      </c>
      <c r="Y1099">
        <v>0</v>
      </c>
      <c r="Z1099">
        <f t="shared" si="102"/>
        <v>80</v>
      </c>
      <c r="AA1099">
        <f t="shared" si="103"/>
        <v>1.037037037037037</v>
      </c>
      <c r="AB1099">
        <f t="shared" si="104"/>
        <v>18</v>
      </c>
      <c r="AC1099" t="str">
        <f t="shared" si="105"/>
        <v>Low</v>
      </c>
      <c r="AD1099" t="str">
        <f t="shared" si="106"/>
        <v>Upsell premium bundle</v>
      </c>
      <c r="AE1099">
        <f t="shared" si="107"/>
        <v>20</v>
      </c>
    </row>
    <row r="1100" spans="1:31" x14ac:dyDescent="0.35">
      <c r="A1100" t="s">
        <v>1158</v>
      </c>
      <c r="B1100" s="4">
        <v>45926</v>
      </c>
      <c r="C1100" s="4">
        <v>46143</v>
      </c>
      <c r="D1100" t="s">
        <v>66</v>
      </c>
      <c r="E1100">
        <v>49</v>
      </c>
      <c r="F1100" t="s">
        <v>43</v>
      </c>
      <c r="G1100" t="s">
        <v>63</v>
      </c>
      <c r="H1100" t="s">
        <v>41</v>
      </c>
      <c r="I1100" t="s">
        <v>36</v>
      </c>
      <c r="J1100">
        <v>7</v>
      </c>
      <c r="K1100" s="5">
        <v>43.96</v>
      </c>
      <c r="L1100" s="5">
        <v>18.510000000000002</v>
      </c>
      <c r="M1100">
        <v>33</v>
      </c>
      <c r="N1100">
        <v>22</v>
      </c>
      <c r="O1100">
        <v>6</v>
      </c>
      <c r="P1100">
        <v>6</v>
      </c>
      <c r="Q1100">
        <v>23</v>
      </c>
      <c r="R1100">
        <v>1</v>
      </c>
      <c r="S1100">
        <v>0</v>
      </c>
      <c r="T1100">
        <v>1</v>
      </c>
      <c r="U1100">
        <v>1</v>
      </c>
      <c r="V1100">
        <v>0</v>
      </c>
      <c r="W1100" t="s">
        <v>37</v>
      </c>
      <c r="X1100">
        <v>10</v>
      </c>
      <c r="Y1100">
        <v>0</v>
      </c>
      <c r="Z1100">
        <f t="shared" si="102"/>
        <v>96</v>
      </c>
      <c r="AA1100">
        <f t="shared" si="103"/>
        <v>1.5135135135135136</v>
      </c>
      <c r="AB1100">
        <f t="shared" si="104"/>
        <v>13</v>
      </c>
      <c r="AC1100" t="str">
        <f t="shared" si="105"/>
        <v>Low</v>
      </c>
      <c r="AD1100" t="str">
        <f t="shared" si="106"/>
        <v>Upsell premium bundle</v>
      </c>
      <c r="AE1100">
        <f t="shared" si="107"/>
        <v>4</v>
      </c>
    </row>
    <row r="1101" spans="1:31" x14ac:dyDescent="0.35">
      <c r="A1101" t="s">
        <v>1159</v>
      </c>
      <c r="B1101" s="4">
        <v>45272</v>
      </c>
      <c r="C1101" s="4">
        <v>46143</v>
      </c>
      <c r="D1101" t="s">
        <v>72</v>
      </c>
      <c r="E1101">
        <v>43</v>
      </c>
      <c r="F1101" t="s">
        <v>33</v>
      </c>
      <c r="G1101" t="s">
        <v>85</v>
      </c>
      <c r="H1101" t="s">
        <v>41</v>
      </c>
      <c r="I1101" t="s">
        <v>36</v>
      </c>
      <c r="J1101">
        <v>29</v>
      </c>
      <c r="K1101" s="5">
        <v>201.89</v>
      </c>
      <c r="L1101" s="5">
        <v>480.79</v>
      </c>
      <c r="M1101">
        <v>12</v>
      </c>
      <c r="N1101">
        <v>5</v>
      </c>
      <c r="O1101">
        <v>2</v>
      </c>
      <c r="P1101">
        <v>1</v>
      </c>
      <c r="Q1101">
        <v>6</v>
      </c>
      <c r="R1101">
        <v>0</v>
      </c>
      <c r="S1101">
        <v>0</v>
      </c>
      <c r="T1101">
        <v>1</v>
      </c>
      <c r="U1101">
        <v>0</v>
      </c>
      <c r="V1101">
        <v>0</v>
      </c>
      <c r="W1101" t="s">
        <v>55</v>
      </c>
      <c r="X1101">
        <v>31</v>
      </c>
      <c r="Y1101">
        <v>1</v>
      </c>
      <c r="Z1101">
        <f t="shared" si="102"/>
        <v>26</v>
      </c>
      <c r="AA1101">
        <f t="shared" si="103"/>
        <v>0.30508474576271188</v>
      </c>
      <c r="AB1101">
        <f t="shared" si="104"/>
        <v>32</v>
      </c>
      <c r="AC1101" t="str">
        <f t="shared" si="105"/>
        <v>Low</v>
      </c>
      <c r="AD1101" t="str">
        <f t="shared" si="106"/>
        <v>Upsell premium bundle</v>
      </c>
      <c r="AE1101">
        <f t="shared" si="107"/>
        <v>74</v>
      </c>
    </row>
    <row r="1102" spans="1:31" x14ac:dyDescent="0.35">
      <c r="A1102" t="s">
        <v>1160</v>
      </c>
      <c r="B1102" s="4">
        <v>45283</v>
      </c>
      <c r="C1102" s="4">
        <v>46143</v>
      </c>
      <c r="D1102" t="s">
        <v>66</v>
      </c>
      <c r="E1102">
        <v>23</v>
      </c>
      <c r="F1102" t="s">
        <v>57</v>
      </c>
      <c r="G1102" t="s">
        <v>63</v>
      </c>
      <c r="H1102" t="s">
        <v>58</v>
      </c>
      <c r="I1102" t="s">
        <v>36</v>
      </c>
      <c r="J1102">
        <v>28</v>
      </c>
      <c r="K1102" s="5">
        <v>817.7</v>
      </c>
      <c r="L1102" s="5">
        <v>504.08</v>
      </c>
      <c r="M1102">
        <v>29</v>
      </c>
      <c r="N1102">
        <v>19</v>
      </c>
      <c r="O1102">
        <v>7</v>
      </c>
      <c r="P1102">
        <v>0</v>
      </c>
      <c r="Q1102">
        <v>29</v>
      </c>
      <c r="R1102">
        <v>4</v>
      </c>
      <c r="S1102">
        <v>0</v>
      </c>
      <c r="T1102">
        <v>0</v>
      </c>
      <c r="U1102">
        <v>1</v>
      </c>
      <c r="V1102">
        <v>0</v>
      </c>
      <c r="W1102" t="s">
        <v>55</v>
      </c>
      <c r="X1102">
        <v>7</v>
      </c>
      <c r="Y1102">
        <v>1</v>
      </c>
      <c r="Z1102">
        <f t="shared" si="102"/>
        <v>88</v>
      </c>
      <c r="AA1102">
        <f t="shared" si="103"/>
        <v>1</v>
      </c>
      <c r="AB1102">
        <f t="shared" si="104"/>
        <v>3</v>
      </c>
      <c r="AC1102" t="str">
        <f t="shared" si="105"/>
        <v>Low</v>
      </c>
      <c r="AD1102" t="str">
        <f t="shared" si="106"/>
        <v>Upsell premium bundle</v>
      </c>
      <c r="AE1102">
        <f t="shared" si="107"/>
        <v>12</v>
      </c>
    </row>
    <row r="1103" spans="1:31" x14ac:dyDescent="0.35">
      <c r="A1103" t="s">
        <v>1161</v>
      </c>
      <c r="B1103" s="4">
        <v>45355</v>
      </c>
      <c r="C1103" s="4">
        <v>46143</v>
      </c>
      <c r="D1103" t="s">
        <v>32</v>
      </c>
      <c r="E1103">
        <v>55</v>
      </c>
      <c r="F1103" t="s">
        <v>43</v>
      </c>
      <c r="G1103" t="s">
        <v>48</v>
      </c>
      <c r="H1103" t="s">
        <v>44</v>
      </c>
      <c r="I1103" t="s">
        <v>36</v>
      </c>
      <c r="J1103">
        <v>26</v>
      </c>
      <c r="K1103" s="5">
        <v>82.75</v>
      </c>
      <c r="L1103" s="5">
        <v>38.6</v>
      </c>
      <c r="M1103">
        <v>51</v>
      </c>
      <c r="N1103">
        <v>18</v>
      </c>
      <c r="O1103">
        <v>8</v>
      </c>
      <c r="P1103">
        <v>3</v>
      </c>
      <c r="Q1103">
        <v>35</v>
      </c>
      <c r="R1103">
        <v>1</v>
      </c>
      <c r="S1103">
        <v>1</v>
      </c>
      <c r="T1103">
        <v>1</v>
      </c>
      <c r="U1103">
        <v>1</v>
      </c>
      <c r="V1103">
        <v>1</v>
      </c>
      <c r="W1103" t="s">
        <v>45</v>
      </c>
      <c r="X1103">
        <v>73</v>
      </c>
      <c r="Y1103">
        <v>0</v>
      </c>
      <c r="Z1103">
        <f t="shared" si="102"/>
        <v>100</v>
      </c>
      <c r="AA1103">
        <f t="shared" si="103"/>
        <v>1.5357142857142858</v>
      </c>
      <c r="AB1103">
        <f t="shared" si="104"/>
        <v>0</v>
      </c>
      <c r="AC1103" t="str">
        <f t="shared" si="105"/>
        <v>Low</v>
      </c>
      <c r="AD1103" t="str">
        <f t="shared" si="106"/>
        <v>Upsell premium bundle</v>
      </c>
      <c r="AE1103">
        <f t="shared" si="107"/>
        <v>0</v>
      </c>
    </row>
    <row r="1104" spans="1:31" x14ac:dyDescent="0.35">
      <c r="A1104" t="s">
        <v>1162</v>
      </c>
      <c r="B1104" s="4">
        <v>45153</v>
      </c>
      <c r="C1104" s="4">
        <v>46143</v>
      </c>
      <c r="D1104" t="s">
        <v>66</v>
      </c>
      <c r="E1104">
        <v>72</v>
      </c>
      <c r="F1104" t="s">
        <v>61</v>
      </c>
      <c r="G1104" t="s">
        <v>34</v>
      </c>
      <c r="H1104" t="s">
        <v>44</v>
      </c>
      <c r="I1104" t="s">
        <v>36</v>
      </c>
      <c r="J1104">
        <v>33</v>
      </c>
      <c r="K1104" s="5">
        <v>2264.25</v>
      </c>
      <c r="L1104" s="5">
        <v>0</v>
      </c>
      <c r="M1104">
        <v>44</v>
      </c>
      <c r="N1104">
        <v>21</v>
      </c>
      <c r="O1104">
        <v>3</v>
      </c>
      <c r="P1104">
        <v>6</v>
      </c>
      <c r="Q1104">
        <v>38</v>
      </c>
      <c r="R1104">
        <v>2</v>
      </c>
      <c r="S1104">
        <v>0</v>
      </c>
      <c r="T1104">
        <v>0</v>
      </c>
      <c r="U1104">
        <v>0</v>
      </c>
      <c r="V1104">
        <v>0</v>
      </c>
      <c r="W1104" t="s">
        <v>52</v>
      </c>
      <c r="X1104">
        <v>46</v>
      </c>
      <c r="Y1104">
        <v>0</v>
      </c>
      <c r="Z1104">
        <f t="shared" si="102"/>
        <v>100</v>
      </c>
      <c r="AA1104">
        <f t="shared" si="103"/>
        <v>1.3015873015873016</v>
      </c>
      <c r="AB1104">
        <f t="shared" si="104"/>
        <v>0</v>
      </c>
      <c r="AC1104" t="str">
        <f t="shared" si="105"/>
        <v>Low</v>
      </c>
      <c r="AD1104" t="str">
        <f t="shared" si="106"/>
        <v>Upsell premium bundle</v>
      </c>
      <c r="AE1104">
        <f t="shared" si="107"/>
        <v>0</v>
      </c>
    </row>
    <row r="1105" spans="1:31" x14ac:dyDescent="0.35">
      <c r="A1105" t="s">
        <v>1163</v>
      </c>
      <c r="B1105" s="4">
        <v>46110</v>
      </c>
      <c r="C1105" s="4">
        <v>46143</v>
      </c>
      <c r="D1105" t="s">
        <v>39</v>
      </c>
      <c r="E1105">
        <v>36</v>
      </c>
      <c r="F1105" t="s">
        <v>57</v>
      </c>
      <c r="G1105" t="s">
        <v>67</v>
      </c>
      <c r="H1105" t="s">
        <v>58</v>
      </c>
      <c r="I1105" t="s">
        <v>36</v>
      </c>
      <c r="J1105">
        <v>1</v>
      </c>
      <c r="K1105" s="5">
        <v>0</v>
      </c>
      <c r="L1105" s="5">
        <v>1226.3499999999999</v>
      </c>
      <c r="M1105">
        <v>16</v>
      </c>
      <c r="N1105">
        <v>7</v>
      </c>
      <c r="O1105">
        <v>1</v>
      </c>
      <c r="P1105">
        <v>1</v>
      </c>
      <c r="Q1105">
        <v>21</v>
      </c>
      <c r="R1105">
        <v>0</v>
      </c>
      <c r="S1105">
        <v>1</v>
      </c>
      <c r="T1105">
        <v>0</v>
      </c>
      <c r="U1105">
        <v>0</v>
      </c>
      <c r="V1105">
        <v>1</v>
      </c>
      <c r="W1105" t="s">
        <v>52</v>
      </c>
      <c r="X1105">
        <v>-8</v>
      </c>
      <c r="Y1105">
        <v>1</v>
      </c>
      <c r="Z1105">
        <f t="shared" si="102"/>
        <v>51</v>
      </c>
      <c r="AA1105">
        <f t="shared" si="103"/>
        <v>1.1935483870967742</v>
      </c>
      <c r="AB1105">
        <f t="shared" si="104"/>
        <v>40</v>
      </c>
      <c r="AC1105" t="str">
        <f t="shared" si="105"/>
        <v>Medium</v>
      </c>
      <c r="AD1105" t="str">
        <f t="shared" si="106"/>
        <v>Nudge core feature adoption</v>
      </c>
      <c r="AE1105">
        <f t="shared" si="107"/>
        <v>49</v>
      </c>
    </row>
    <row r="1106" spans="1:31" x14ac:dyDescent="0.35">
      <c r="A1106" t="s">
        <v>1164</v>
      </c>
      <c r="B1106" s="4">
        <v>45062</v>
      </c>
      <c r="C1106" s="4">
        <v>46143</v>
      </c>
      <c r="D1106" t="s">
        <v>66</v>
      </c>
      <c r="E1106">
        <v>29</v>
      </c>
      <c r="F1106" t="s">
        <v>43</v>
      </c>
      <c r="G1106" t="s">
        <v>63</v>
      </c>
      <c r="H1106" t="s">
        <v>41</v>
      </c>
      <c r="I1106" t="s">
        <v>36</v>
      </c>
      <c r="J1106">
        <v>36</v>
      </c>
      <c r="K1106" s="5">
        <v>17.25</v>
      </c>
      <c r="L1106" s="5">
        <v>30.24</v>
      </c>
      <c r="M1106">
        <v>4</v>
      </c>
      <c r="N1106">
        <v>2</v>
      </c>
      <c r="O1106">
        <v>1</v>
      </c>
      <c r="P1106">
        <v>0</v>
      </c>
      <c r="Q1106">
        <v>27</v>
      </c>
      <c r="R1106">
        <v>4</v>
      </c>
      <c r="S1106">
        <v>1</v>
      </c>
      <c r="T1106">
        <v>0</v>
      </c>
      <c r="U1106">
        <v>0</v>
      </c>
      <c r="V1106">
        <v>1</v>
      </c>
      <c r="W1106" t="s">
        <v>45</v>
      </c>
      <c r="X1106">
        <v>-41</v>
      </c>
      <c r="Y1106">
        <v>1</v>
      </c>
      <c r="Z1106">
        <f t="shared" si="102"/>
        <v>38</v>
      </c>
      <c r="AA1106">
        <f t="shared" si="103"/>
        <v>0.46969696969696972</v>
      </c>
      <c r="AB1106">
        <f t="shared" si="104"/>
        <v>65</v>
      </c>
      <c r="AC1106" t="str">
        <f t="shared" si="105"/>
        <v>Medium</v>
      </c>
      <c r="AD1106" t="str">
        <f t="shared" si="106"/>
        <v>Nudge core feature adoption</v>
      </c>
      <c r="AE1106">
        <f t="shared" si="107"/>
        <v>62</v>
      </c>
    </row>
    <row r="1107" spans="1:31" x14ac:dyDescent="0.35">
      <c r="A1107" t="s">
        <v>1165</v>
      </c>
      <c r="B1107" s="4">
        <v>46102</v>
      </c>
      <c r="C1107" s="4">
        <v>46143</v>
      </c>
      <c r="D1107" t="s">
        <v>66</v>
      </c>
      <c r="E1107">
        <v>55</v>
      </c>
      <c r="F1107" t="s">
        <v>33</v>
      </c>
      <c r="G1107" t="s">
        <v>34</v>
      </c>
      <c r="H1107" t="s">
        <v>41</v>
      </c>
      <c r="I1107" t="s">
        <v>36</v>
      </c>
      <c r="J1107">
        <v>1</v>
      </c>
      <c r="K1107" s="5">
        <v>747.18</v>
      </c>
      <c r="L1107" s="5">
        <v>268.38</v>
      </c>
      <c r="M1107">
        <v>27</v>
      </c>
      <c r="N1107">
        <v>8</v>
      </c>
      <c r="O1107">
        <v>6</v>
      </c>
      <c r="P1107">
        <v>5</v>
      </c>
      <c r="Q1107">
        <v>15</v>
      </c>
      <c r="R1107">
        <v>0</v>
      </c>
      <c r="S1107">
        <v>1</v>
      </c>
      <c r="T1107">
        <v>1</v>
      </c>
      <c r="U1107">
        <v>0</v>
      </c>
      <c r="V1107">
        <v>1</v>
      </c>
      <c r="W1107" t="s">
        <v>50</v>
      </c>
      <c r="X1107">
        <v>16</v>
      </c>
      <c r="Y1107">
        <v>0</v>
      </c>
      <c r="Z1107">
        <f t="shared" si="102"/>
        <v>70</v>
      </c>
      <c r="AA1107">
        <f t="shared" si="103"/>
        <v>1.3548387096774193</v>
      </c>
      <c r="AB1107">
        <f t="shared" si="104"/>
        <v>30</v>
      </c>
      <c r="AC1107" t="str">
        <f t="shared" si="105"/>
        <v>Low</v>
      </c>
      <c r="AD1107" t="str">
        <f t="shared" si="106"/>
        <v>Upsell premium bundle</v>
      </c>
      <c r="AE1107">
        <f t="shared" si="107"/>
        <v>30</v>
      </c>
    </row>
    <row r="1108" spans="1:31" x14ac:dyDescent="0.35">
      <c r="A1108" t="s">
        <v>1166</v>
      </c>
      <c r="B1108" s="4">
        <v>45549</v>
      </c>
      <c r="C1108" s="4">
        <v>46143</v>
      </c>
      <c r="D1108" t="s">
        <v>47</v>
      </c>
      <c r="E1108">
        <v>31</v>
      </c>
      <c r="F1108" t="s">
        <v>61</v>
      </c>
      <c r="G1108" t="s">
        <v>67</v>
      </c>
      <c r="H1108" t="s">
        <v>58</v>
      </c>
      <c r="I1108" t="s">
        <v>36</v>
      </c>
      <c r="J1108">
        <v>19</v>
      </c>
      <c r="K1108" s="5">
        <v>96.34</v>
      </c>
      <c r="L1108" s="5">
        <v>0</v>
      </c>
      <c r="M1108">
        <v>42</v>
      </c>
      <c r="N1108">
        <v>11</v>
      </c>
      <c r="O1108">
        <v>4</v>
      </c>
      <c r="P1108">
        <v>1</v>
      </c>
      <c r="Q1108">
        <v>23</v>
      </c>
      <c r="R1108">
        <v>0</v>
      </c>
      <c r="S1108">
        <v>0</v>
      </c>
      <c r="T1108">
        <v>1</v>
      </c>
      <c r="U1108">
        <v>1</v>
      </c>
      <c r="V1108">
        <v>1</v>
      </c>
      <c r="W1108" t="s">
        <v>52</v>
      </c>
      <c r="X1108">
        <v>40</v>
      </c>
      <c r="Y1108">
        <v>0</v>
      </c>
      <c r="Z1108">
        <f t="shared" si="102"/>
        <v>96</v>
      </c>
      <c r="AA1108">
        <f t="shared" si="103"/>
        <v>1.3265306122448979</v>
      </c>
      <c r="AB1108">
        <f t="shared" si="104"/>
        <v>0</v>
      </c>
      <c r="AC1108" t="str">
        <f t="shared" si="105"/>
        <v>Low</v>
      </c>
      <c r="AD1108" t="str">
        <f t="shared" si="106"/>
        <v>Upsell premium bundle</v>
      </c>
      <c r="AE1108">
        <f t="shared" si="107"/>
        <v>4</v>
      </c>
    </row>
    <row r="1109" spans="1:31" x14ac:dyDescent="0.35">
      <c r="A1109" t="s">
        <v>1167</v>
      </c>
      <c r="B1109" s="4">
        <v>45851</v>
      </c>
      <c r="C1109" s="4">
        <v>46143</v>
      </c>
      <c r="D1109" t="s">
        <v>72</v>
      </c>
      <c r="E1109">
        <v>58</v>
      </c>
      <c r="F1109" t="s">
        <v>57</v>
      </c>
      <c r="G1109" t="s">
        <v>40</v>
      </c>
      <c r="H1109" t="s">
        <v>41</v>
      </c>
      <c r="I1109" t="s">
        <v>36</v>
      </c>
      <c r="J1109">
        <v>9</v>
      </c>
      <c r="K1109" s="5">
        <v>758.42</v>
      </c>
      <c r="L1109" s="5">
        <v>749.9</v>
      </c>
      <c r="M1109">
        <v>34</v>
      </c>
      <c r="N1109">
        <v>25</v>
      </c>
      <c r="O1109">
        <v>8</v>
      </c>
      <c r="P1109">
        <v>0</v>
      </c>
      <c r="Q1109">
        <v>16</v>
      </c>
      <c r="R1109">
        <v>0</v>
      </c>
      <c r="S1109">
        <v>1</v>
      </c>
      <c r="T1109">
        <v>1</v>
      </c>
      <c r="U1109">
        <v>0</v>
      </c>
      <c r="V1109">
        <v>0</v>
      </c>
      <c r="W1109" t="s">
        <v>37</v>
      </c>
      <c r="X1109">
        <v>11</v>
      </c>
      <c r="Y1109">
        <v>0</v>
      </c>
      <c r="Z1109">
        <f t="shared" si="102"/>
        <v>79</v>
      </c>
      <c r="AA1109">
        <f t="shared" si="103"/>
        <v>1.2820512820512822</v>
      </c>
      <c r="AB1109">
        <f t="shared" si="104"/>
        <v>29</v>
      </c>
      <c r="AC1109" t="str">
        <f t="shared" si="105"/>
        <v>Low</v>
      </c>
      <c r="AD1109" t="str">
        <f t="shared" si="106"/>
        <v>Upsell premium bundle</v>
      </c>
      <c r="AE1109">
        <f t="shared" si="107"/>
        <v>21</v>
      </c>
    </row>
    <row r="1110" spans="1:31" x14ac:dyDescent="0.35">
      <c r="A1110" t="s">
        <v>1168</v>
      </c>
      <c r="B1110" s="4">
        <v>44918</v>
      </c>
      <c r="C1110" s="4">
        <v>46143</v>
      </c>
      <c r="D1110" t="s">
        <v>32</v>
      </c>
      <c r="E1110">
        <v>71</v>
      </c>
      <c r="F1110" t="s">
        <v>43</v>
      </c>
      <c r="G1110" t="s">
        <v>63</v>
      </c>
      <c r="H1110" t="s">
        <v>41</v>
      </c>
      <c r="I1110" t="s">
        <v>36</v>
      </c>
      <c r="J1110">
        <v>40</v>
      </c>
      <c r="K1110" s="5">
        <v>124.27</v>
      </c>
      <c r="L1110" s="5">
        <v>94.48</v>
      </c>
      <c r="M1110">
        <v>26</v>
      </c>
      <c r="N1110">
        <v>13</v>
      </c>
      <c r="O1110">
        <v>2</v>
      </c>
      <c r="P1110">
        <v>0</v>
      </c>
      <c r="Q1110">
        <v>10</v>
      </c>
      <c r="R1110">
        <v>0</v>
      </c>
      <c r="S1110">
        <v>0</v>
      </c>
      <c r="T1110">
        <v>1</v>
      </c>
      <c r="U1110">
        <v>0</v>
      </c>
      <c r="V1110">
        <v>1</v>
      </c>
      <c r="W1110" t="s">
        <v>45</v>
      </c>
      <c r="X1110">
        <v>35</v>
      </c>
      <c r="Y1110">
        <v>0</v>
      </c>
      <c r="Z1110">
        <f t="shared" si="102"/>
        <v>56</v>
      </c>
      <c r="AA1110">
        <f t="shared" si="103"/>
        <v>0.51428571428571423</v>
      </c>
      <c r="AB1110">
        <f t="shared" si="104"/>
        <v>18</v>
      </c>
      <c r="AC1110" t="str">
        <f t="shared" si="105"/>
        <v>Low</v>
      </c>
      <c r="AD1110" t="str">
        <f t="shared" si="106"/>
        <v>Upsell premium bundle</v>
      </c>
      <c r="AE1110">
        <f t="shared" si="107"/>
        <v>44</v>
      </c>
    </row>
    <row r="1111" spans="1:31" x14ac:dyDescent="0.35">
      <c r="A1111" t="s">
        <v>1169</v>
      </c>
      <c r="B1111" s="4">
        <v>45555</v>
      </c>
      <c r="C1111" s="4">
        <v>46143</v>
      </c>
      <c r="D1111" t="s">
        <v>32</v>
      </c>
      <c r="E1111">
        <v>38</v>
      </c>
      <c r="F1111" t="s">
        <v>57</v>
      </c>
      <c r="G1111" t="s">
        <v>67</v>
      </c>
      <c r="H1111" t="s">
        <v>41</v>
      </c>
      <c r="I1111" t="s">
        <v>36</v>
      </c>
      <c r="J1111">
        <v>19</v>
      </c>
      <c r="K1111" s="5">
        <v>638.41999999999996</v>
      </c>
      <c r="L1111" s="5">
        <v>288.07</v>
      </c>
      <c r="M1111">
        <v>10</v>
      </c>
      <c r="N1111">
        <v>4</v>
      </c>
      <c r="O1111">
        <v>1</v>
      </c>
      <c r="P1111">
        <v>0</v>
      </c>
      <c r="Q1111">
        <v>8</v>
      </c>
      <c r="R1111">
        <v>0</v>
      </c>
      <c r="S1111">
        <v>0</v>
      </c>
      <c r="T1111">
        <v>1</v>
      </c>
      <c r="U1111">
        <v>1</v>
      </c>
      <c r="V1111">
        <v>0</v>
      </c>
      <c r="W1111" t="s">
        <v>50</v>
      </c>
      <c r="X1111">
        <v>16</v>
      </c>
      <c r="Y1111">
        <v>0</v>
      </c>
      <c r="Z1111">
        <f t="shared" si="102"/>
        <v>30</v>
      </c>
      <c r="AA1111">
        <f t="shared" si="103"/>
        <v>0.36734693877551022</v>
      </c>
      <c r="AB1111">
        <f t="shared" si="104"/>
        <v>38</v>
      </c>
      <c r="AC1111" t="str">
        <f t="shared" si="105"/>
        <v>Low</v>
      </c>
      <c r="AD1111" t="str">
        <f t="shared" si="106"/>
        <v>Upsell premium bundle</v>
      </c>
      <c r="AE1111">
        <f t="shared" si="107"/>
        <v>70</v>
      </c>
    </row>
    <row r="1112" spans="1:31" x14ac:dyDescent="0.35">
      <c r="A1112" t="s">
        <v>1170</v>
      </c>
      <c r="B1112" s="4">
        <v>45328</v>
      </c>
      <c r="C1112" s="4">
        <v>46143</v>
      </c>
      <c r="D1112" t="s">
        <v>60</v>
      </c>
      <c r="E1112">
        <v>35</v>
      </c>
      <c r="F1112" t="s">
        <v>61</v>
      </c>
      <c r="G1112" t="s">
        <v>48</v>
      </c>
      <c r="H1112" t="s">
        <v>41</v>
      </c>
      <c r="I1112" t="s">
        <v>36</v>
      </c>
      <c r="J1112">
        <v>27</v>
      </c>
      <c r="K1112" s="5">
        <v>1171.6099999999999</v>
      </c>
      <c r="L1112" s="5">
        <v>2577.12</v>
      </c>
      <c r="M1112">
        <v>8</v>
      </c>
      <c r="N1112">
        <v>2</v>
      </c>
      <c r="O1112">
        <v>2</v>
      </c>
      <c r="P1112">
        <v>0</v>
      </c>
      <c r="Q1112">
        <v>4</v>
      </c>
      <c r="R1112">
        <v>1</v>
      </c>
      <c r="S1112">
        <v>0</v>
      </c>
      <c r="T1112">
        <v>0</v>
      </c>
      <c r="U1112">
        <v>1</v>
      </c>
      <c r="V1112">
        <v>1</v>
      </c>
      <c r="W1112" t="s">
        <v>55</v>
      </c>
      <c r="X1112">
        <v>14</v>
      </c>
      <c r="Y1112">
        <v>1</v>
      </c>
      <c r="Z1112">
        <f t="shared" si="102"/>
        <v>31</v>
      </c>
      <c r="AA1112">
        <f t="shared" si="103"/>
        <v>0.21052631578947367</v>
      </c>
      <c r="AB1112">
        <f t="shared" si="104"/>
        <v>27</v>
      </c>
      <c r="AC1112" t="str">
        <f t="shared" si="105"/>
        <v>Low</v>
      </c>
      <c r="AD1112" t="str">
        <f t="shared" si="106"/>
        <v>Upsell premium bundle</v>
      </c>
      <c r="AE1112">
        <f t="shared" si="107"/>
        <v>69</v>
      </c>
    </row>
    <row r="1113" spans="1:31" x14ac:dyDescent="0.35">
      <c r="A1113" t="s">
        <v>1171</v>
      </c>
      <c r="B1113" s="4">
        <v>45407</v>
      </c>
      <c r="C1113" s="4">
        <v>46143</v>
      </c>
      <c r="D1113" t="s">
        <v>39</v>
      </c>
      <c r="E1113">
        <v>37</v>
      </c>
      <c r="F1113" t="s">
        <v>77</v>
      </c>
      <c r="G1113" t="s">
        <v>63</v>
      </c>
      <c r="H1113" t="s">
        <v>41</v>
      </c>
      <c r="I1113" t="s">
        <v>49</v>
      </c>
      <c r="J1113">
        <v>24</v>
      </c>
      <c r="K1113" s="5">
        <v>9028.2199999999993</v>
      </c>
      <c r="L1113" s="5">
        <v>7971.94</v>
      </c>
      <c r="M1113">
        <v>13</v>
      </c>
      <c r="N1113">
        <v>8</v>
      </c>
      <c r="O1113">
        <v>3</v>
      </c>
      <c r="P1113">
        <v>0</v>
      </c>
      <c r="Q1113">
        <v>2</v>
      </c>
      <c r="R1113">
        <v>0</v>
      </c>
      <c r="S1113">
        <v>0</v>
      </c>
      <c r="T1113">
        <v>1</v>
      </c>
      <c r="U1113">
        <v>1</v>
      </c>
      <c r="V1113">
        <v>0</v>
      </c>
      <c r="W1113" t="s">
        <v>50</v>
      </c>
      <c r="X1113">
        <v>4</v>
      </c>
      <c r="Y1113">
        <v>1</v>
      </c>
      <c r="Z1113">
        <f t="shared" si="102"/>
        <v>33</v>
      </c>
      <c r="AA1113">
        <f t="shared" si="103"/>
        <v>0.27777777777777779</v>
      </c>
      <c r="AB1113">
        <f t="shared" si="104"/>
        <v>49</v>
      </c>
      <c r="AC1113" t="str">
        <f t="shared" si="105"/>
        <v>Medium</v>
      </c>
      <c r="AD1113" t="str">
        <f t="shared" si="106"/>
        <v>Nudge core feature adoption</v>
      </c>
      <c r="AE1113">
        <f t="shared" si="107"/>
        <v>67</v>
      </c>
    </row>
    <row r="1114" spans="1:31" x14ac:dyDescent="0.35">
      <c r="A1114" t="s">
        <v>1172</v>
      </c>
      <c r="B1114" s="4">
        <v>45502</v>
      </c>
      <c r="C1114" s="4">
        <v>46143</v>
      </c>
      <c r="D1114" t="s">
        <v>66</v>
      </c>
      <c r="E1114">
        <v>61</v>
      </c>
      <c r="F1114" t="s">
        <v>33</v>
      </c>
      <c r="G1114" t="s">
        <v>40</v>
      </c>
      <c r="H1114" t="s">
        <v>41</v>
      </c>
      <c r="I1114" t="s">
        <v>49</v>
      </c>
      <c r="J1114">
        <v>21</v>
      </c>
      <c r="K1114" s="5">
        <v>119.63</v>
      </c>
      <c r="L1114" s="5">
        <v>229.32</v>
      </c>
      <c r="M1114">
        <v>37</v>
      </c>
      <c r="N1114">
        <v>10</v>
      </c>
      <c r="O1114">
        <v>8</v>
      </c>
      <c r="P1114">
        <v>7</v>
      </c>
      <c r="Q1114">
        <v>31</v>
      </c>
      <c r="R1114">
        <v>0</v>
      </c>
      <c r="S1114">
        <v>2</v>
      </c>
      <c r="T1114">
        <v>0</v>
      </c>
      <c r="U1114">
        <v>0</v>
      </c>
      <c r="V1114">
        <v>1</v>
      </c>
      <c r="W1114" t="s">
        <v>52</v>
      </c>
      <c r="X1114">
        <v>67</v>
      </c>
      <c r="Y1114">
        <v>0</v>
      </c>
      <c r="Z1114">
        <f t="shared" si="102"/>
        <v>100</v>
      </c>
      <c r="AA1114">
        <f t="shared" si="103"/>
        <v>1.3333333333333333</v>
      </c>
      <c r="AB1114">
        <f t="shared" si="104"/>
        <v>17</v>
      </c>
      <c r="AC1114" t="str">
        <f t="shared" si="105"/>
        <v>Low</v>
      </c>
      <c r="AD1114" t="str">
        <f t="shared" si="106"/>
        <v>Upsell premium bundle</v>
      </c>
      <c r="AE1114">
        <f t="shared" si="107"/>
        <v>0</v>
      </c>
    </row>
    <row r="1115" spans="1:31" x14ac:dyDescent="0.35">
      <c r="A1115" t="s">
        <v>1173</v>
      </c>
      <c r="B1115" s="4">
        <v>45891</v>
      </c>
      <c r="C1115" s="4">
        <v>46143</v>
      </c>
      <c r="D1115" t="s">
        <v>60</v>
      </c>
      <c r="E1115">
        <v>30</v>
      </c>
      <c r="F1115" t="s">
        <v>77</v>
      </c>
      <c r="G1115" t="s">
        <v>34</v>
      </c>
      <c r="H1115" t="s">
        <v>41</v>
      </c>
      <c r="I1115" t="s">
        <v>36</v>
      </c>
      <c r="J1115">
        <v>8</v>
      </c>
      <c r="K1115" s="5">
        <v>18169.650000000001</v>
      </c>
      <c r="L1115" s="5">
        <v>69.55</v>
      </c>
      <c r="M1115">
        <v>1</v>
      </c>
      <c r="N1115">
        <v>0</v>
      </c>
      <c r="O1115">
        <v>0</v>
      </c>
      <c r="P1115">
        <v>0</v>
      </c>
      <c r="Q1115">
        <v>25</v>
      </c>
      <c r="R1115">
        <v>3</v>
      </c>
      <c r="S1115">
        <v>0</v>
      </c>
      <c r="T1115">
        <v>1</v>
      </c>
      <c r="U1115">
        <v>1</v>
      </c>
      <c r="V1115">
        <v>0</v>
      </c>
      <c r="W1115" t="s">
        <v>52</v>
      </c>
      <c r="X1115">
        <v>-14</v>
      </c>
      <c r="Y1115">
        <v>0</v>
      </c>
      <c r="Z1115">
        <f t="shared" si="102"/>
        <v>32</v>
      </c>
      <c r="AA1115">
        <f t="shared" si="103"/>
        <v>0.68421052631578949</v>
      </c>
      <c r="AB1115">
        <f t="shared" si="104"/>
        <v>48</v>
      </c>
      <c r="AC1115" t="str">
        <f t="shared" si="105"/>
        <v>Medium</v>
      </c>
      <c r="AD1115" t="str">
        <f t="shared" si="106"/>
        <v>Nudge core feature adoption</v>
      </c>
      <c r="AE1115">
        <f t="shared" si="107"/>
        <v>68</v>
      </c>
    </row>
    <row r="1116" spans="1:31" x14ac:dyDescent="0.35">
      <c r="A1116" t="s">
        <v>1174</v>
      </c>
      <c r="B1116" s="4">
        <v>46083</v>
      </c>
      <c r="C1116" s="4">
        <v>46143</v>
      </c>
      <c r="D1116" t="s">
        <v>72</v>
      </c>
      <c r="E1116">
        <v>45</v>
      </c>
      <c r="F1116" t="s">
        <v>57</v>
      </c>
      <c r="G1116" t="s">
        <v>85</v>
      </c>
      <c r="H1116" t="s">
        <v>41</v>
      </c>
      <c r="I1116" t="s">
        <v>36</v>
      </c>
      <c r="J1116">
        <v>2</v>
      </c>
      <c r="K1116" s="5">
        <v>1142.3800000000001</v>
      </c>
      <c r="L1116" s="5">
        <v>568.74</v>
      </c>
      <c r="M1116">
        <v>11</v>
      </c>
      <c r="N1116">
        <v>6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1</v>
      </c>
      <c r="V1116">
        <v>0</v>
      </c>
      <c r="W1116" t="s">
        <v>37</v>
      </c>
      <c r="X1116">
        <v>4</v>
      </c>
      <c r="Y1116">
        <v>0</v>
      </c>
      <c r="Z1116">
        <f t="shared" si="102"/>
        <v>27</v>
      </c>
      <c r="AA1116">
        <f t="shared" si="103"/>
        <v>0.34375</v>
      </c>
      <c r="AB1116">
        <f t="shared" si="104"/>
        <v>45</v>
      </c>
      <c r="AC1116" t="str">
        <f t="shared" si="105"/>
        <v>Medium</v>
      </c>
      <c r="AD1116" t="str">
        <f t="shared" si="106"/>
        <v>Nudge core feature adoption</v>
      </c>
      <c r="AE1116">
        <f t="shared" si="107"/>
        <v>73</v>
      </c>
    </row>
    <row r="1117" spans="1:31" x14ac:dyDescent="0.35">
      <c r="A1117" t="s">
        <v>1175</v>
      </c>
      <c r="B1117" s="4">
        <v>45166</v>
      </c>
      <c r="C1117" s="4">
        <v>46143</v>
      </c>
      <c r="D1117" t="s">
        <v>39</v>
      </c>
      <c r="E1117">
        <v>62</v>
      </c>
      <c r="F1117" t="s">
        <v>57</v>
      </c>
      <c r="G1117" t="s">
        <v>85</v>
      </c>
      <c r="H1117" t="s">
        <v>41</v>
      </c>
      <c r="I1117" t="s">
        <v>36</v>
      </c>
      <c r="J1117">
        <v>32</v>
      </c>
      <c r="K1117" s="5">
        <v>2067.66</v>
      </c>
      <c r="L1117" s="5">
        <v>1359.32</v>
      </c>
      <c r="M1117">
        <v>21</v>
      </c>
      <c r="N1117">
        <v>6</v>
      </c>
      <c r="O1117">
        <v>1</v>
      </c>
      <c r="P1117">
        <v>3</v>
      </c>
      <c r="Q1117">
        <v>10</v>
      </c>
      <c r="R1117">
        <v>3</v>
      </c>
      <c r="S1117">
        <v>2</v>
      </c>
      <c r="T1117">
        <v>1</v>
      </c>
      <c r="U1117">
        <v>0</v>
      </c>
      <c r="V1117">
        <v>0</v>
      </c>
      <c r="W1117" t="s">
        <v>37</v>
      </c>
      <c r="X1117">
        <v>-19</v>
      </c>
      <c r="Y1117">
        <v>1</v>
      </c>
      <c r="Z1117">
        <f t="shared" si="102"/>
        <v>42</v>
      </c>
      <c r="AA1117">
        <f t="shared" si="103"/>
        <v>0.5</v>
      </c>
      <c r="AB1117">
        <f t="shared" si="104"/>
        <v>62</v>
      </c>
      <c r="AC1117" t="str">
        <f t="shared" si="105"/>
        <v>Medium</v>
      </c>
      <c r="AD1117" t="str">
        <f t="shared" si="106"/>
        <v>Nudge core feature adoption</v>
      </c>
      <c r="AE1117">
        <f t="shared" si="107"/>
        <v>58</v>
      </c>
    </row>
    <row r="1118" spans="1:31" x14ac:dyDescent="0.35">
      <c r="A1118" t="s">
        <v>1176</v>
      </c>
      <c r="B1118" s="4">
        <v>46006</v>
      </c>
      <c r="C1118" s="4">
        <v>46143</v>
      </c>
      <c r="D1118" t="s">
        <v>32</v>
      </c>
      <c r="E1118">
        <v>58</v>
      </c>
      <c r="F1118" t="s">
        <v>57</v>
      </c>
      <c r="G1118" t="s">
        <v>67</v>
      </c>
      <c r="H1118" t="s">
        <v>58</v>
      </c>
      <c r="I1118" t="s">
        <v>36</v>
      </c>
      <c r="J1118">
        <v>4</v>
      </c>
      <c r="K1118" s="5">
        <v>1660.09</v>
      </c>
      <c r="L1118" s="5">
        <v>777.6</v>
      </c>
      <c r="M1118">
        <v>39</v>
      </c>
      <c r="N1118">
        <v>14</v>
      </c>
      <c r="O1118">
        <v>2</v>
      </c>
      <c r="P1118">
        <v>2</v>
      </c>
      <c r="Q1118">
        <v>34</v>
      </c>
      <c r="R1118">
        <v>2</v>
      </c>
      <c r="S1118">
        <v>2</v>
      </c>
      <c r="T1118">
        <v>0</v>
      </c>
      <c r="U1118">
        <v>0</v>
      </c>
      <c r="V1118">
        <v>1</v>
      </c>
      <c r="W1118" t="s">
        <v>55</v>
      </c>
      <c r="X1118">
        <v>0</v>
      </c>
      <c r="Y1118">
        <v>0</v>
      </c>
      <c r="Z1118">
        <f t="shared" si="102"/>
        <v>96</v>
      </c>
      <c r="AA1118">
        <f t="shared" si="103"/>
        <v>2.1470588235294117</v>
      </c>
      <c r="AB1118">
        <f t="shared" si="104"/>
        <v>23</v>
      </c>
      <c r="AC1118" t="str">
        <f t="shared" si="105"/>
        <v>Low</v>
      </c>
      <c r="AD1118" t="str">
        <f t="shared" si="106"/>
        <v>Upsell premium bundle</v>
      </c>
      <c r="AE1118">
        <f t="shared" si="107"/>
        <v>4</v>
      </c>
    </row>
    <row r="1119" spans="1:31" x14ac:dyDescent="0.35">
      <c r="A1119" t="s">
        <v>1177</v>
      </c>
      <c r="B1119" s="4">
        <v>45845</v>
      </c>
      <c r="C1119" s="4">
        <v>46143</v>
      </c>
      <c r="D1119" t="s">
        <v>47</v>
      </c>
      <c r="E1119">
        <v>40</v>
      </c>
      <c r="F1119" t="s">
        <v>57</v>
      </c>
      <c r="G1119" t="s">
        <v>48</v>
      </c>
      <c r="H1119" t="s">
        <v>58</v>
      </c>
      <c r="I1119" t="s">
        <v>36</v>
      </c>
      <c r="J1119">
        <v>9</v>
      </c>
      <c r="K1119" s="5">
        <v>2842.74</v>
      </c>
      <c r="L1119" s="5">
        <v>1959.7</v>
      </c>
      <c r="M1119">
        <v>45</v>
      </c>
      <c r="N1119">
        <v>18</v>
      </c>
      <c r="O1119">
        <v>2</v>
      </c>
      <c r="P1119">
        <v>1</v>
      </c>
      <c r="Q1119">
        <v>32</v>
      </c>
      <c r="R1119">
        <v>1</v>
      </c>
      <c r="S1119">
        <v>0</v>
      </c>
      <c r="T1119">
        <v>1</v>
      </c>
      <c r="U1119">
        <v>1</v>
      </c>
      <c r="V1119">
        <v>0</v>
      </c>
      <c r="W1119" t="s">
        <v>55</v>
      </c>
      <c r="X1119">
        <v>75</v>
      </c>
      <c r="Y1119">
        <v>0</v>
      </c>
      <c r="Z1119">
        <f t="shared" si="102"/>
        <v>100</v>
      </c>
      <c r="AA1119">
        <f t="shared" si="103"/>
        <v>1.9743589743589745</v>
      </c>
      <c r="AB1119">
        <f t="shared" si="104"/>
        <v>0</v>
      </c>
      <c r="AC1119" t="str">
        <f t="shared" si="105"/>
        <v>Low</v>
      </c>
      <c r="AD1119" t="str">
        <f t="shared" si="106"/>
        <v>Upsell premium bundle</v>
      </c>
      <c r="AE1119">
        <f t="shared" si="107"/>
        <v>0</v>
      </c>
    </row>
    <row r="1120" spans="1:31" x14ac:dyDescent="0.35">
      <c r="A1120" t="s">
        <v>1178</v>
      </c>
      <c r="B1120" s="4">
        <v>45743</v>
      </c>
      <c r="C1120" s="4">
        <v>46143</v>
      </c>
      <c r="D1120" t="s">
        <v>32</v>
      </c>
      <c r="E1120">
        <v>69</v>
      </c>
      <c r="F1120" t="s">
        <v>61</v>
      </c>
      <c r="G1120" t="s">
        <v>63</v>
      </c>
      <c r="H1120" t="s">
        <v>41</v>
      </c>
      <c r="I1120" t="s">
        <v>36</v>
      </c>
      <c r="J1120">
        <v>13</v>
      </c>
      <c r="K1120" s="5">
        <v>3806.39</v>
      </c>
      <c r="L1120" s="5">
        <v>1534.28</v>
      </c>
      <c r="M1120">
        <v>28</v>
      </c>
      <c r="N1120">
        <v>18</v>
      </c>
      <c r="O1120">
        <v>7</v>
      </c>
      <c r="P1120">
        <v>5</v>
      </c>
      <c r="Q1120">
        <v>7</v>
      </c>
      <c r="R1120">
        <v>3</v>
      </c>
      <c r="S1120">
        <v>1</v>
      </c>
      <c r="T1120">
        <v>1</v>
      </c>
      <c r="U1120">
        <v>0</v>
      </c>
      <c r="V1120">
        <v>1</v>
      </c>
      <c r="W1120" t="s">
        <v>50</v>
      </c>
      <c r="X1120">
        <v>-40</v>
      </c>
      <c r="Y1120">
        <v>0</v>
      </c>
      <c r="Z1120">
        <f t="shared" si="102"/>
        <v>72</v>
      </c>
      <c r="AA1120">
        <f t="shared" si="103"/>
        <v>0.81395348837209303</v>
      </c>
      <c r="AB1120">
        <f t="shared" si="104"/>
        <v>43</v>
      </c>
      <c r="AC1120" t="str">
        <f t="shared" si="105"/>
        <v>Medium</v>
      </c>
      <c r="AD1120" t="str">
        <f t="shared" si="106"/>
        <v>Nudge core feature adoption</v>
      </c>
      <c r="AE1120">
        <f t="shared" si="107"/>
        <v>28</v>
      </c>
    </row>
    <row r="1121" spans="1:31" x14ac:dyDescent="0.35">
      <c r="A1121" t="s">
        <v>1179</v>
      </c>
      <c r="B1121" s="4">
        <v>45167</v>
      </c>
      <c r="C1121" s="4">
        <v>46143</v>
      </c>
      <c r="D1121" t="s">
        <v>47</v>
      </c>
      <c r="E1121">
        <v>53</v>
      </c>
      <c r="F1121" t="s">
        <v>33</v>
      </c>
      <c r="G1121" t="s">
        <v>40</v>
      </c>
      <c r="H1121" t="s">
        <v>35</v>
      </c>
      <c r="I1121" t="s">
        <v>36</v>
      </c>
      <c r="J1121">
        <v>32</v>
      </c>
      <c r="K1121" s="5">
        <v>473.19</v>
      </c>
      <c r="L1121" s="5">
        <v>196.27</v>
      </c>
      <c r="M1121">
        <v>35</v>
      </c>
      <c r="N1121">
        <v>24</v>
      </c>
      <c r="O1121">
        <v>3</v>
      </c>
      <c r="P1121">
        <v>6</v>
      </c>
      <c r="Q1121">
        <v>30</v>
      </c>
      <c r="R1121">
        <v>0</v>
      </c>
      <c r="S1121">
        <v>1</v>
      </c>
      <c r="T1121">
        <v>0</v>
      </c>
      <c r="U1121">
        <v>1</v>
      </c>
      <c r="V1121">
        <v>0</v>
      </c>
      <c r="W1121" t="s">
        <v>37</v>
      </c>
      <c r="X1121">
        <v>64</v>
      </c>
      <c r="Y1121">
        <v>0</v>
      </c>
      <c r="Z1121">
        <f t="shared" si="102"/>
        <v>100</v>
      </c>
      <c r="AA1121">
        <f t="shared" si="103"/>
        <v>1.0483870967741935</v>
      </c>
      <c r="AB1121">
        <f t="shared" si="104"/>
        <v>0</v>
      </c>
      <c r="AC1121" t="str">
        <f t="shared" si="105"/>
        <v>Low</v>
      </c>
      <c r="AD1121" t="str">
        <f t="shared" si="106"/>
        <v>Upsell premium bundle</v>
      </c>
      <c r="AE1121">
        <f t="shared" si="107"/>
        <v>0</v>
      </c>
    </row>
    <row r="1122" spans="1:31" x14ac:dyDescent="0.35">
      <c r="A1122" t="s">
        <v>1180</v>
      </c>
      <c r="B1122" s="4">
        <v>46070</v>
      </c>
      <c r="C1122" s="4">
        <v>46143</v>
      </c>
      <c r="D1122" t="s">
        <v>60</v>
      </c>
      <c r="E1122">
        <v>63</v>
      </c>
      <c r="F1122" t="s">
        <v>33</v>
      </c>
      <c r="G1122" t="s">
        <v>34</v>
      </c>
      <c r="H1122" t="s">
        <v>41</v>
      </c>
      <c r="I1122" t="s">
        <v>36</v>
      </c>
      <c r="J1122">
        <v>2</v>
      </c>
      <c r="K1122" s="5">
        <v>232.45</v>
      </c>
      <c r="L1122" s="5">
        <v>314.54000000000002</v>
      </c>
      <c r="M1122">
        <v>30</v>
      </c>
      <c r="N1122">
        <v>9</v>
      </c>
      <c r="O1122">
        <v>1</v>
      </c>
      <c r="P1122">
        <v>1</v>
      </c>
      <c r="Q1122">
        <v>25</v>
      </c>
      <c r="R1122">
        <v>2</v>
      </c>
      <c r="S1122">
        <v>1</v>
      </c>
      <c r="T1122">
        <v>0</v>
      </c>
      <c r="U1122">
        <v>0</v>
      </c>
      <c r="V1122">
        <v>0</v>
      </c>
      <c r="W1122" t="s">
        <v>50</v>
      </c>
      <c r="X1122">
        <v>-35</v>
      </c>
      <c r="Y1122">
        <v>0</v>
      </c>
      <c r="Z1122">
        <f t="shared" si="102"/>
        <v>64</v>
      </c>
      <c r="AA1122">
        <f t="shared" si="103"/>
        <v>1.71875</v>
      </c>
      <c r="AB1122">
        <f t="shared" si="104"/>
        <v>55</v>
      </c>
      <c r="AC1122" t="str">
        <f t="shared" si="105"/>
        <v>Medium</v>
      </c>
      <c r="AD1122" t="str">
        <f t="shared" si="106"/>
        <v>Nudge core feature adoption</v>
      </c>
      <c r="AE1122">
        <f t="shared" si="107"/>
        <v>36</v>
      </c>
    </row>
    <row r="1123" spans="1:31" x14ac:dyDescent="0.35">
      <c r="A1123" t="s">
        <v>1181</v>
      </c>
      <c r="B1123" s="4">
        <v>46070</v>
      </c>
      <c r="C1123" s="4">
        <v>46143</v>
      </c>
      <c r="D1123" t="s">
        <v>66</v>
      </c>
      <c r="E1123">
        <v>23</v>
      </c>
      <c r="F1123" t="s">
        <v>57</v>
      </c>
      <c r="G1123" t="s">
        <v>48</v>
      </c>
      <c r="H1123" t="s">
        <v>58</v>
      </c>
      <c r="I1123" t="s">
        <v>36</v>
      </c>
      <c r="J1123">
        <v>2</v>
      </c>
      <c r="K1123" s="5">
        <v>604.37</v>
      </c>
      <c r="L1123" s="5">
        <v>87.7</v>
      </c>
      <c r="M1123">
        <v>27</v>
      </c>
      <c r="N1123">
        <v>12</v>
      </c>
      <c r="O1123">
        <v>2</v>
      </c>
      <c r="P1123">
        <v>5</v>
      </c>
      <c r="Q1123">
        <v>32</v>
      </c>
      <c r="R1123">
        <v>0</v>
      </c>
      <c r="S1123">
        <v>0</v>
      </c>
      <c r="T1123">
        <v>1</v>
      </c>
      <c r="U1123">
        <v>1</v>
      </c>
      <c r="V1123">
        <v>1</v>
      </c>
      <c r="W1123" t="s">
        <v>55</v>
      </c>
      <c r="X1123">
        <v>29</v>
      </c>
      <c r="Y1123">
        <v>0</v>
      </c>
      <c r="Z1123">
        <f t="shared" si="102"/>
        <v>91</v>
      </c>
      <c r="AA1123">
        <f t="shared" si="103"/>
        <v>1.84375</v>
      </c>
      <c r="AB1123">
        <f t="shared" si="104"/>
        <v>0</v>
      </c>
      <c r="AC1123" t="str">
        <f t="shared" si="105"/>
        <v>Low</v>
      </c>
      <c r="AD1123" t="str">
        <f t="shared" si="106"/>
        <v>Upsell premium bundle</v>
      </c>
      <c r="AE1123">
        <f t="shared" si="107"/>
        <v>9</v>
      </c>
    </row>
    <row r="1124" spans="1:31" x14ac:dyDescent="0.35">
      <c r="A1124" t="s">
        <v>1182</v>
      </c>
      <c r="B1124" s="4">
        <v>44789</v>
      </c>
      <c r="C1124" s="4">
        <v>46143</v>
      </c>
      <c r="D1124" t="s">
        <v>47</v>
      </c>
      <c r="E1124">
        <v>67</v>
      </c>
      <c r="F1124" t="s">
        <v>33</v>
      </c>
      <c r="G1124" t="s">
        <v>63</v>
      </c>
      <c r="H1124" t="s">
        <v>41</v>
      </c>
      <c r="I1124" t="s">
        <v>36</v>
      </c>
      <c r="J1124">
        <v>45</v>
      </c>
      <c r="K1124" s="5">
        <v>168.77</v>
      </c>
      <c r="L1124" s="5">
        <v>208.97</v>
      </c>
      <c r="M1124">
        <v>33</v>
      </c>
      <c r="N1124">
        <v>23</v>
      </c>
      <c r="O1124">
        <v>7</v>
      </c>
      <c r="P1124">
        <v>4</v>
      </c>
      <c r="Q1124">
        <v>26</v>
      </c>
      <c r="R1124">
        <v>4</v>
      </c>
      <c r="S1124">
        <v>1</v>
      </c>
      <c r="T1124">
        <v>1</v>
      </c>
      <c r="U1124">
        <v>0</v>
      </c>
      <c r="V1124">
        <v>0</v>
      </c>
      <c r="W1124" t="s">
        <v>45</v>
      </c>
      <c r="X1124">
        <v>29</v>
      </c>
      <c r="Y1124">
        <v>0</v>
      </c>
      <c r="Z1124">
        <f t="shared" si="102"/>
        <v>90</v>
      </c>
      <c r="AA1124">
        <f t="shared" si="103"/>
        <v>0.78666666666666663</v>
      </c>
      <c r="AB1124">
        <f t="shared" si="104"/>
        <v>10</v>
      </c>
      <c r="AC1124" t="str">
        <f t="shared" si="105"/>
        <v>Low</v>
      </c>
      <c r="AD1124" t="str">
        <f t="shared" si="106"/>
        <v>Upsell premium bundle</v>
      </c>
      <c r="AE1124">
        <f t="shared" si="107"/>
        <v>10</v>
      </c>
    </row>
    <row r="1125" spans="1:31" x14ac:dyDescent="0.35">
      <c r="A1125" t="s">
        <v>1183</v>
      </c>
      <c r="B1125" s="4">
        <v>45828</v>
      </c>
      <c r="C1125" s="4">
        <v>46143</v>
      </c>
      <c r="D1125" t="s">
        <v>72</v>
      </c>
      <c r="E1125">
        <v>51</v>
      </c>
      <c r="F1125" t="s">
        <v>77</v>
      </c>
      <c r="G1125" t="s">
        <v>63</v>
      </c>
      <c r="H1125" t="s">
        <v>41</v>
      </c>
      <c r="I1125" t="s">
        <v>49</v>
      </c>
      <c r="J1125">
        <v>10</v>
      </c>
      <c r="K1125" s="5">
        <v>13560.81</v>
      </c>
      <c r="L1125" s="5">
        <v>7847.17</v>
      </c>
      <c r="M1125">
        <v>26</v>
      </c>
      <c r="N1125">
        <v>10</v>
      </c>
      <c r="O1125">
        <v>7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0</v>
      </c>
      <c r="V1125">
        <v>0</v>
      </c>
      <c r="W1125" t="s">
        <v>50</v>
      </c>
      <c r="X1125">
        <v>20</v>
      </c>
      <c r="Y1125">
        <v>1</v>
      </c>
      <c r="Z1125">
        <f t="shared" si="102"/>
        <v>44</v>
      </c>
      <c r="AA1125">
        <f t="shared" si="103"/>
        <v>0.65</v>
      </c>
      <c r="AB1125">
        <f t="shared" si="104"/>
        <v>44</v>
      </c>
      <c r="AC1125" t="str">
        <f t="shared" si="105"/>
        <v>Medium</v>
      </c>
      <c r="AD1125" t="str">
        <f t="shared" si="106"/>
        <v>Nudge core feature adoption</v>
      </c>
      <c r="AE1125">
        <f t="shared" si="107"/>
        <v>56</v>
      </c>
    </row>
    <row r="1126" spans="1:31" x14ac:dyDescent="0.35">
      <c r="A1126" t="s">
        <v>1184</v>
      </c>
      <c r="B1126" s="4">
        <v>45246</v>
      </c>
      <c r="C1126" s="4">
        <v>46143</v>
      </c>
      <c r="D1126" t="s">
        <v>60</v>
      </c>
      <c r="E1126">
        <v>61</v>
      </c>
      <c r="F1126" t="s">
        <v>43</v>
      </c>
      <c r="G1126" t="s">
        <v>63</v>
      </c>
      <c r="H1126" t="s">
        <v>58</v>
      </c>
      <c r="I1126" t="s">
        <v>36</v>
      </c>
      <c r="J1126">
        <v>29</v>
      </c>
      <c r="K1126" s="5">
        <v>110.81</v>
      </c>
      <c r="L1126" s="5">
        <v>18.89</v>
      </c>
      <c r="M1126">
        <v>28</v>
      </c>
      <c r="N1126">
        <v>13</v>
      </c>
      <c r="O1126">
        <v>5</v>
      </c>
      <c r="P1126">
        <v>2</v>
      </c>
      <c r="Q1126">
        <v>31</v>
      </c>
      <c r="R1126">
        <v>1</v>
      </c>
      <c r="S1126">
        <v>0</v>
      </c>
      <c r="T1126">
        <v>1</v>
      </c>
      <c r="U1126">
        <v>1</v>
      </c>
      <c r="V1126">
        <v>0</v>
      </c>
      <c r="W1126" t="s">
        <v>37</v>
      </c>
      <c r="X1126">
        <v>44</v>
      </c>
      <c r="Y1126">
        <v>0</v>
      </c>
      <c r="Z1126">
        <f t="shared" si="102"/>
        <v>85</v>
      </c>
      <c r="AA1126">
        <f t="shared" si="103"/>
        <v>1</v>
      </c>
      <c r="AB1126">
        <f t="shared" si="104"/>
        <v>0</v>
      </c>
      <c r="AC1126" t="str">
        <f t="shared" si="105"/>
        <v>Low</v>
      </c>
      <c r="AD1126" t="str">
        <f t="shared" si="106"/>
        <v>Upsell premium bundle</v>
      </c>
      <c r="AE1126">
        <f t="shared" si="107"/>
        <v>15</v>
      </c>
    </row>
    <row r="1127" spans="1:31" x14ac:dyDescent="0.35">
      <c r="A1127" t="s">
        <v>1185</v>
      </c>
      <c r="B1127" s="4">
        <v>45317</v>
      </c>
      <c r="C1127" s="4">
        <v>46143</v>
      </c>
      <c r="D1127" t="s">
        <v>72</v>
      </c>
      <c r="E1127">
        <v>50</v>
      </c>
      <c r="F1127" t="s">
        <v>57</v>
      </c>
      <c r="G1127" t="s">
        <v>34</v>
      </c>
      <c r="H1127" t="s">
        <v>41</v>
      </c>
      <c r="I1127" t="s">
        <v>36</v>
      </c>
      <c r="J1127">
        <v>27</v>
      </c>
      <c r="K1127" s="5">
        <v>486.26</v>
      </c>
      <c r="L1127" s="5">
        <v>584.09</v>
      </c>
      <c r="M1127">
        <v>19</v>
      </c>
      <c r="N1127">
        <v>13</v>
      </c>
      <c r="O1127">
        <v>3</v>
      </c>
      <c r="P1127">
        <v>0</v>
      </c>
      <c r="Q1127">
        <v>25</v>
      </c>
      <c r="R1127">
        <v>1</v>
      </c>
      <c r="S1127">
        <v>0</v>
      </c>
      <c r="T1127">
        <v>1</v>
      </c>
      <c r="U1127">
        <v>0</v>
      </c>
      <c r="V1127">
        <v>0</v>
      </c>
      <c r="W1127" t="s">
        <v>50</v>
      </c>
      <c r="X1127">
        <v>32</v>
      </c>
      <c r="Y1127">
        <v>0</v>
      </c>
      <c r="Z1127">
        <f t="shared" si="102"/>
        <v>56</v>
      </c>
      <c r="AA1127">
        <f t="shared" si="103"/>
        <v>0.77192982456140347</v>
      </c>
      <c r="AB1127">
        <f t="shared" si="104"/>
        <v>18</v>
      </c>
      <c r="AC1127" t="str">
        <f t="shared" si="105"/>
        <v>Low</v>
      </c>
      <c r="AD1127" t="str">
        <f t="shared" si="106"/>
        <v>Upsell premium bundle</v>
      </c>
      <c r="AE1127">
        <f t="shared" si="107"/>
        <v>44</v>
      </c>
    </row>
    <row r="1128" spans="1:31" x14ac:dyDescent="0.35">
      <c r="A1128" t="s">
        <v>1186</v>
      </c>
      <c r="B1128" s="4">
        <v>45875</v>
      </c>
      <c r="C1128" s="4">
        <v>46143</v>
      </c>
      <c r="D1128" t="s">
        <v>72</v>
      </c>
      <c r="E1128">
        <v>55</v>
      </c>
      <c r="F1128" t="s">
        <v>43</v>
      </c>
      <c r="G1128" t="s">
        <v>48</v>
      </c>
      <c r="H1128" t="s">
        <v>58</v>
      </c>
      <c r="I1128" t="s">
        <v>36</v>
      </c>
      <c r="J1128">
        <v>8</v>
      </c>
      <c r="K1128" s="5">
        <v>66.72</v>
      </c>
      <c r="L1128" s="5">
        <v>0</v>
      </c>
      <c r="M1128">
        <v>48</v>
      </c>
      <c r="N1128">
        <v>32</v>
      </c>
      <c r="O1128">
        <v>11</v>
      </c>
      <c r="P1128">
        <v>3</v>
      </c>
      <c r="Q1128">
        <v>38</v>
      </c>
      <c r="R1128">
        <v>0</v>
      </c>
      <c r="S1128">
        <v>0</v>
      </c>
      <c r="T1128">
        <v>1</v>
      </c>
      <c r="U1128">
        <v>1</v>
      </c>
      <c r="V1128">
        <v>0</v>
      </c>
      <c r="W1128" t="s">
        <v>50</v>
      </c>
      <c r="X1128">
        <v>63</v>
      </c>
      <c r="Y1128">
        <v>0</v>
      </c>
      <c r="Z1128">
        <f t="shared" si="102"/>
        <v>100</v>
      </c>
      <c r="AA1128">
        <f t="shared" si="103"/>
        <v>2.263157894736842</v>
      </c>
      <c r="AB1128">
        <f t="shared" si="104"/>
        <v>0</v>
      </c>
      <c r="AC1128" t="str">
        <f t="shared" si="105"/>
        <v>Low</v>
      </c>
      <c r="AD1128" t="str">
        <f t="shared" si="106"/>
        <v>Upsell premium bundle</v>
      </c>
      <c r="AE1128">
        <f t="shared" si="107"/>
        <v>0</v>
      </c>
    </row>
    <row r="1129" spans="1:31" x14ac:dyDescent="0.35">
      <c r="A1129" t="s">
        <v>1187</v>
      </c>
      <c r="B1129" s="4">
        <v>44828</v>
      </c>
      <c r="C1129" s="4">
        <v>46143</v>
      </c>
      <c r="D1129" t="s">
        <v>66</v>
      </c>
      <c r="E1129">
        <v>53</v>
      </c>
      <c r="F1129" t="s">
        <v>57</v>
      </c>
      <c r="G1129" t="s">
        <v>67</v>
      </c>
      <c r="H1129" t="s">
        <v>41</v>
      </c>
      <c r="I1129" t="s">
        <v>49</v>
      </c>
      <c r="J1129">
        <v>43</v>
      </c>
      <c r="K1129" s="5">
        <v>193.21</v>
      </c>
      <c r="L1129" s="5">
        <v>1549.43</v>
      </c>
      <c r="M1129">
        <v>17</v>
      </c>
      <c r="N1129">
        <v>10</v>
      </c>
      <c r="O1129">
        <v>0</v>
      </c>
      <c r="P1129">
        <v>2</v>
      </c>
      <c r="Q1129">
        <v>15</v>
      </c>
      <c r="R1129">
        <v>1</v>
      </c>
      <c r="S1129">
        <v>0</v>
      </c>
      <c r="T1129">
        <v>0</v>
      </c>
      <c r="U1129">
        <v>0</v>
      </c>
      <c r="V1129">
        <v>0</v>
      </c>
      <c r="W1129" t="s">
        <v>37</v>
      </c>
      <c r="X1129">
        <v>-3</v>
      </c>
      <c r="Y1129">
        <v>1</v>
      </c>
      <c r="Z1129">
        <f t="shared" si="102"/>
        <v>42</v>
      </c>
      <c r="AA1129">
        <f t="shared" si="103"/>
        <v>0.43835616438356162</v>
      </c>
      <c r="AB1129">
        <f t="shared" si="104"/>
        <v>47</v>
      </c>
      <c r="AC1129" t="str">
        <f t="shared" si="105"/>
        <v>Medium</v>
      </c>
      <c r="AD1129" t="str">
        <f t="shared" si="106"/>
        <v>Nudge core feature adoption</v>
      </c>
      <c r="AE1129">
        <f t="shared" si="107"/>
        <v>58</v>
      </c>
    </row>
    <row r="1130" spans="1:31" x14ac:dyDescent="0.35">
      <c r="A1130" t="s">
        <v>1188</v>
      </c>
      <c r="B1130" s="4">
        <v>45036</v>
      </c>
      <c r="C1130" s="4">
        <v>46143</v>
      </c>
      <c r="D1130" t="s">
        <v>47</v>
      </c>
      <c r="E1130">
        <v>54</v>
      </c>
      <c r="F1130" t="s">
        <v>61</v>
      </c>
      <c r="G1130" t="s">
        <v>63</v>
      </c>
      <c r="H1130" t="s">
        <v>58</v>
      </c>
      <c r="I1130" t="s">
        <v>36</v>
      </c>
      <c r="J1130">
        <v>36</v>
      </c>
      <c r="K1130" s="5">
        <v>5474.34</v>
      </c>
      <c r="L1130" s="5">
        <v>2677.54</v>
      </c>
      <c r="M1130">
        <v>25</v>
      </c>
      <c r="N1130">
        <v>8</v>
      </c>
      <c r="O1130">
        <v>4</v>
      </c>
      <c r="P1130">
        <v>1</v>
      </c>
      <c r="Q1130">
        <v>16</v>
      </c>
      <c r="R1130">
        <v>0</v>
      </c>
      <c r="S1130">
        <v>0</v>
      </c>
      <c r="T1130">
        <v>0</v>
      </c>
      <c r="U1130">
        <v>0</v>
      </c>
      <c r="V1130">
        <v>0</v>
      </c>
      <c r="W1130" t="s">
        <v>45</v>
      </c>
      <c r="X1130">
        <v>38</v>
      </c>
      <c r="Y1130">
        <v>0</v>
      </c>
      <c r="Z1130">
        <f t="shared" si="102"/>
        <v>54</v>
      </c>
      <c r="AA1130">
        <f t="shared" si="103"/>
        <v>0.62121212121212122</v>
      </c>
      <c r="AB1130">
        <f t="shared" si="104"/>
        <v>0</v>
      </c>
      <c r="AC1130" t="str">
        <f t="shared" si="105"/>
        <v>Low</v>
      </c>
      <c r="AD1130" t="str">
        <f t="shared" si="106"/>
        <v>Upsell premium bundle</v>
      </c>
      <c r="AE1130">
        <f t="shared" si="107"/>
        <v>46</v>
      </c>
    </row>
    <row r="1131" spans="1:31" x14ac:dyDescent="0.35">
      <c r="A1131" t="s">
        <v>1189</v>
      </c>
      <c r="B1131" s="4">
        <v>45066</v>
      </c>
      <c r="C1131" s="4">
        <v>46143</v>
      </c>
      <c r="D1131" t="s">
        <v>47</v>
      </c>
      <c r="E1131">
        <v>23</v>
      </c>
      <c r="F1131" t="s">
        <v>43</v>
      </c>
      <c r="G1131" t="s">
        <v>48</v>
      </c>
      <c r="H1131" t="s">
        <v>41</v>
      </c>
      <c r="I1131" t="s">
        <v>36</v>
      </c>
      <c r="J1131">
        <v>35</v>
      </c>
      <c r="K1131" s="5">
        <v>71.73</v>
      </c>
      <c r="L1131" s="5">
        <v>92.33</v>
      </c>
      <c r="M1131">
        <v>6</v>
      </c>
      <c r="N1131">
        <v>3</v>
      </c>
      <c r="O1131">
        <v>0</v>
      </c>
      <c r="P1131">
        <v>0</v>
      </c>
      <c r="Q1131">
        <v>4</v>
      </c>
      <c r="R1131">
        <v>0</v>
      </c>
      <c r="S1131">
        <v>0</v>
      </c>
      <c r="T1131">
        <v>0</v>
      </c>
      <c r="U1131">
        <v>0</v>
      </c>
      <c r="V1131">
        <v>1</v>
      </c>
      <c r="W1131" t="s">
        <v>37</v>
      </c>
      <c r="X1131">
        <v>44</v>
      </c>
      <c r="Y1131">
        <v>0</v>
      </c>
      <c r="Z1131">
        <f t="shared" si="102"/>
        <v>19</v>
      </c>
      <c r="AA1131">
        <f t="shared" si="103"/>
        <v>0.15384615384615385</v>
      </c>
      <c r="AB1131">
        <f t="shared" si="104"/>
        <v>28</v>
      </c>
      <c r="AC1131" t="str">
        <f t="shared" si="105"/>
        <v>Low</v>
      </c>
      <c r="AD1131" t="str">
        <f t="shared" si="106"/>
        <v>Upsell premium bundle</v>
      </c>
      <c r="AE1131">
        <f t="shared" si="107"/>
        <v>81</v>
      </c>
    </row>
    <row r="1132" spans="1:31" x14ac:dyDescent="0.35">
      <c r="A1132" t="s">
        <v>1190</v>
      </c>
      <c r="B1132" s="4">
        <v>45031</v>
      </c>
      <c r="C1132" s="4">
        <v>46143</v>
      </c>
      <c r="D1132" t="s">
        <v>72</v>
      </c>
      <c r="E1132">
        <v>48</v>
      </c>
      <c r="F1132" t="s">
        <v>77</v>
      </c>
      <c r="G1132" t="s">
        <v>34</v>
      </c>
      <c r="H1132" t="s">
        <v>41</v>
      </c>
      <c r="I1132" t="s">
        <v>49</v>
      </c>
      <c r="J1132">
        <v>37</v>
      </c>
      <c r="K1132" s="5">
        <v>6483.28</v>
      </c>
      <c r="L1132" s="5">
        <v>3134.67</v>
      </c>
      <c r="M1132">
        <v>9</v>
      </c>
      <c r="N1132">
        <v>2</v>
      </c>
      <c r="O1132">
        <v>1</v>
      </c>
      <c r="P1132">
        <v>0</v>
      </c>
      <c r="Q1132">
        <v>8</v>
      </c>
      <c r="R1132">
        <v>3</v>
      </c>
      <c r="S1132">
        <v>1</v>
      </c>
      <c r="T1132">
        <v>1</v>
      </c>
      <c r="U1132">
        <v>0</v>
      </c>
      <c r="V1132">
        <v>0</v>
      </c>
      <c r="W1132" t="s">
        <v>45</v>
      </c>
      <c r="X1132">
        <v>2</v>
      </c>
      <c r="Y1132">
        <v>1</v>
      </c>
      <c r="Z1132">
        <f t="shared" si="102"/>
        <v>20</v>
      </c>
      <c r="AA1132">
        <f t="shared" si="103"/>
        <v>0.2537313432835821</v>
      </c>
      <c r="AB1132">
        <f t="shared" si="104"/>
        <v>59</v>
      </c>
      <c r="AC1132" t="str">
        <f t="shared" si="105"/>
        <v>Medium</v>
      </c>
      <c r="AD1132" t="str">
        <f t="shared" si="106"/>
        <v>Nudge core feature adoption</v>
      </c>
      <c r="AE1132">
        <f t="shared" si="107"/>
        <v>80</v>
      </c>
    </row>
    <row r="1133" spans="1:31" x14ac:dyDescent="0.35">
      <c r="A1133" t="s">
        <v>1191</v>
      </c>
      <c r="B1133" s="4">
        <v>45929</v>
      </c>
      <c r="C1133" s="4">
        <v>46143</v>
      </c>
      <c r="D1133" t="s">
        <v>47</v>
      </c>
      <c r="E1133">
        <v>68</v>
      </c>
      <c r="F1133" t="s">
        <v>57</v>
      </c>
      <c r="G1133" t="s">
        <v>48</v>
      </c>
      <c r="H1133" t="s">
        <v>41</v>
      </c>
      <c r="I1133" t="s">
        <v>36</v>
      </c>
      <c r="J1133">
        <v>7</v>
      </c>
      <c r="K1133" s="5">
        <v>1402.98</v>
      </c>
      <c r="L1133" s="5">
        <v>812.39</v>
      </c>
      <c r="M1133">
        <v>15</v>
      </c>
      <c r="N1133">
        <v>10</v>
      </c>
      <c r="O1133">
        <v>3</v>
      </c>
      <c r="P1133">
        <v>1</v>
      </c>
      <c r="Q1133">
        <v>28</v>
      </c>
      <c r="R1133">
        <v>3</v>
      </c>
      <c r="S1133">
        <v>0</v>
      </c>
      <c r="T1133">
        <v>0</v>
      </c>
      <c r="U1133">
        <v>0</v>
      </c>
      <c r="V1133">
        <v>1</v>
      </c>
      <c r="W1133" t="s">
        <v>52</v>
      </c>
      <c r="X1133">
        <v>68</v>
      </c>
      <c r="Y1133">
        <v>0</v>
      </c>
      <c r="Z1133">
        <f t="shared" si="102"/>
        <v>61</v>
      </c>
      <c r="AA1133">
        <f t="shared" si="103"/>
        <v>1.1621621621621621</v>
      </c>
      <c r="AB1133">
        <f t="shared" si="104"/>
        <v>0</v>
      </c>
      <c r="AC1133" t="str">
        <f t="shared" si="105"/>
        <v>Low</v>
      </c>
      <c r="AD1133" t="str">
        <f t="shared" si="106"/>
        <v>Upsell premium bundle</v>
      </c>
      <c r="AE1133">
        <f t="shared" si="107"/>
        <v>39</v>
      </c>
    </row>
    <row r="1134" spans="1:31" x14ac:dyDescent="0.35">
      <c r="A1134" t="s">
        <v>1192</v>
      </c>
      <c r="B1134" s="4">
        <v>44993</v>
      </c>
      <c r="C1134" s="4">
        <v>46143</v>
      </c>
      <c r="D1134" t="s">
        <v>72</v>
      </c>
      <c r="E1134">
        <v>30</v>
      </c>
      <c r="F1134" t="s">
        <v>43</v>
      </c>
      <c r="G1134" t="s">
        <v>67</v>
      </c>
      <c r="H1134" t="s">
        <v>41</v>
      </c>
      <c r="I1134" t="s">
        <v>36</v>
      </c>
      <c r="J1134">
        <v>38</v>
      </c>
      <c r="K1134" s="5">
        <v>89.97</v>
      </c>
      <c r="L1134" s="5">
        <v>91.11</v>
      </c>
      <c r="M1134">
        <v>30</v>
      </c>
      <c r="N1134">
        <v>9</v>
      </c>
      <c r="O1134">
        <v>8</v>
      </c>
      <c r="P1134">
        <v>0</v>
      </c>
      <c r="Q1134">
        <v>19</v>
      </c>
      <c r="R1134">
        <v>1</v>
      </c>
      <c r="S1134">
        <v>0</v>
      </c>
      <c r="T1134">
        <v>1</v>
      </c>
      <c r="U1134">
        <v>0</v>
      </c>
      <c r="V1134">
        <v>1</v>
      </c>
      <c r="W1134" t="s">
        <v>52</v>
      </c>
      <c r="X1134">
        <v>71</v>
      </c>
      <c r="Y1134">
        <v>0</v>
      </c>
      <c r="Z1134">
        <f t="shared" si="102"/>
        <v>73</v>
      </c>
      <c r="AA1134">
        <f t="shared" si="103"/>
        <v>0.72058823529411764</v>
      </c>
      <c r="AB1134">
        <f t="shared" si="104"/>
        <v>0</v>
      </c>
      <c r="AC1134" t="str">
        <f t="shared" si="105"/>
        <v>Low</v>
      </c>
      <c r="AD1134" t="str">
        <f t="shared" si="106"/>
        <v>Upsell premium bundle</v>
      </c>
      <c r="AE1134">
        <f t="shared" si="107"/>
        <v>27</v>
      </c>
    </row>
    <row r="1135" spans="1:31" x14ac:dyDescent="0.35">
      <c r="A1135" t="s">
        <v>1193</v>
      </c>
      <c r="B1135" s="4">
        <v>45591</v>
      </c>
      <c r="C1135" s="4">
        <v>46143</v>
      </c>
      <c r="D1135" t="s">
        <v>66</v>
      </c>
      <c r="E1135">
        <v>72</v>
      </c>
      <c r="F1135" t="s">
        <v>33</v>
      </c>
      <c r="G1135" t="s">
        <v>34</v>
      </c>
      <c r="H1135" t="s">
        <v>58</v>
      </c>
      <c r="I1135" t="s">
        <v>49</v>
      </c>
      <c r="J1135">
        <v>18</v>
      </c>
      <c r="K1135" s="5">
        <v>0</v>
      </c>
      <c r="L1135" s="5">
        <v>84.49</v>
      </c>
      <c r="M1135">
        <v>16</v>
      </c>
      <c r="N1135">
        <v>7</v>
      </c>
      <c r="O1135">
        <v>3</v>
      </c>
      <c r="P1135">
        <v>1</v>
      </c>
      <c r="Q1135">
        <v>16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50</v>
      </c>
      <c r="X1135">
        <v>25</v>
      </c>
      <c r="Y1135">
        <v>0</v>
      </c>
      <c r="Z1135">
        <f t="shared" si="102"/>
        <v>42</v>
      </c>
      <c r="AA1135">
        <f t="shared" si="103"/>
        <v>0.66666666666666663</v>
      </c>
      <c r="AB1135">
        <f t="shared" si="104"/>
        <v>35</v>
      </c>
      <c r="AC1135" t="str">
        <f t="shared" si="105"/>
        <v>Low</v>
      </c>
      <c r="AD1135" t="str">
        <f t="shared" si="106"/>
        <v>Upsell premium bundle</v>
      </c>
      <c r="AE1135">
        <f t="shared" si="107"/>
        <v>58</v>
      </c>
    </row>
    <row r="1136" spans="1:31" x14ac:dyDescent="0.35">
      <c r="A1136" t="s">
        <v>1194</v>
      </c>
      <c r="B1136" s="4">
        <v>44788</v>
      </c>
      <c r="C1136" s="4">
        <v>46143</v>
      </c>
      <c r="D1136" t="s">
        <v>32</v>
      </c>
      <c r="E1136">
        <v>66</v>
      </c>
      <c r="F1136" t="s">
        <v>33</v>
      </c>
      <c r="G1136" t="s">
        <v>67</v>
      </c>
      <c r="H1136" t="s">
        <v>41</v>
      </c>
      <c r="I1136" t="s">
        <v>36</v>
      </c>
      <c r="J1136">
        <v>45</v>
      </c>
      <c r="K1136" s="5">
        <v>0</v>
      </c>
      <c r="L1136" s="5">
        <v>45.77</v>
      </c>
      <c r="M1136">
        <v>30</v>
      </c>
      <c r="N1136">
        <v>9</v>
      </c>
      <c r="O1136">
        <v>5</v>
      </c>
      <c r="P1136">
        <v>2</v>
      </c>
      <c r="Q1136">
        <v>12</v>
      </c>
      <c r="R1136">
        <v>2</v>
      </c>
      <c r="S1136">
        <v>2</v>
      </c>
      <c r="T1136">
        <v>1</v>
      </c>
      <c r="U1136">
        <v>0</v>
      </c>
      <c r="V1136">
        <v>0</v>
      </c>
      <c r="W1136" t="s">
        <v>50</v>
      </c>
      <c r="X1136">
        <v>-15</v>
      </c>
      <c r="Y1136">
        <v>1</v>
      </c>
      <c r="Z1136">
        <f t="shared" si="102"/>
        <v>59</v>
      </c>
      <c r="AA1136">
        <f t="shared" si="103"/>
        <v>0.56000000000000005</v>
      </c>
      <c r="AB1136">
        <f t="shared" si="104"/>
        <v>55</v>
      </c>
      <c r="AC1136" t="str">
        <f t="shared" si="105"/>
        <v>Medium</v>
      </c>
      <c r="AD1136" t="str">
        <f t="shared" si="106"/>
        <v>Nudge core feature adoption</v>
      </c>
      <c r="AE1136">
        <f t="shared" si="107"/>
        <v>41</v>
      </c>
    </row>
    <row r="1137" spans="1:31" x14ac:dyDescent="0.35">
      <c r="A1137" t="s">
        <v>1195</v>
      </c>
      <c r="B1137" s="4">
        <v>44858</v>
      </c>
      <c r="C1137" s="4">
        <v>46143</v>
      </c>
      <c r="D1137" t="s">
        <v>47</v>
      </c>
      <c r="E1137">
        <v>31</v>
      </c>
      <c r="F1137" t="s">
        <v>33</v>
      </c>
      <c r="G1137" t="s">
        <v>67</v>
      </c>
      <c r="H1137" t="s">
        <v>41</v>
      </c>
      <c r="I1137" t="s">
        <v>36</v>
      </c>
      <c r="J1137">
        <v>42</v>
      </c>
      <c r="K1137" s="5">
        <v>481.9</v>
      </c>
      <c r="L1137" s="5">
        <v>5.8</v>
      </c>
      <c r="M1137">
        <v>19</v>
      </c>
      <c r="N1137">
        <v>13</v>
      </c>
      <c r="O1137">
        <v>2</v>
      </c>
      <c r="P1137">
        <v>1</v>
      </c>
      <c r="Q1137">
        <v>3</v>
      </c>
      <c r="R1137">
        <v>4</v>
      </c>
      <c r="S1137">
        <v>2</v>
      </c>
      <c r="T1137">
        <v>1</v>
      </c>
      <c r="U1137">
        <v>1</v>
      </c>
      <c r="V1137">
        <v>1</v>
      </c>
      <c r="W1137" t="s">
        <v>37</v>
      </c>
      <c r="X1137">
        <v>-7</v>
      </c>
      <c r="Y1137">
        <v>1</v>
      </c>
      <c r="Z1137">
        <f t="shared" si="102"/>
        <v>52</v>
      </c>
      <c r="AA1137">
        <f t="shared" si="103"/>
        <v>0.30555555555555558</v>
      </c>
      <c r="AB1137">
        <f t="shared" si="104"/>
        <v>51</v>
      </c>
      <c r="AC1137" t="str">
        <f t="shared" si="105"/>
        <v>Medium</v>
      </c>
      <c r="AD1137" t="str">
        <f t="shared" si="106"/>
        <v>Nudge core feature adoption</v>
      </c>
      <c r="AE1137">
        <f t="shared" si="107"/>
        <v>48</v>
      </c>
    </row>
    <row r="1138" spans="1:31" x14ac:dyDescent="0.35">
      <c r="A1138" t="s">
        <v>1196</v>
      </c>
      <c r="B1138" s="4">
        <v>45559</v>
      </c>
      <c r="C1138" s="4">
        <v>46143</v>
      </c>
      <c r="D1138" t="s">
        <v>60</v>
      </c>
      <c r="E1138">
        <v>27</v>
      </c>
      <c r="F1138" t="s">
        <v>33</v>
      </c>
      <c r="G1138" t="s">
        <v>85</v>
      </c>
      <c r="H1138" t="s">
        <v>58</v>
      </c>
      <c r="I1138" t="s">
        <v>36</v>
      </c>
      <c r="J1138">
        <v>19</v>
      </c>
      <c r="K1138" s="5">
        <v>487.3</v>
      </c>
      <c r="L1138" s="5">
        <v>93.53</v>
      </c>
      <c r="M1138">
        <v>30</v>
      </c>
      <c r="N1138">
        <v>16</v>
      </c>
      <c r="O1138">
        <v>8</v>
      </c>
      <c r="P1138">
        <v>3</v>
      </c>
      <c r="Q1138">
        <v>22</v>
      </c>
      <c r="R1138">
        <v>3</v>
      </c>
      <c r="S1138">
        <v>2</v>
      </c>
      <c r="T1138">
        <v>1</v>
      </c>
      <c r="U1138">
        <v>1</v>
      </c>
      <c r="V1138">
        <v>0</v>
      </c>
      <c r="W1138" t="s">
        <v>45</v>
      </c>
      <c r="X1138">
        <v>-15</v>
      </c>
      <c r="Y1138">
        <v>0</v>
      </c>
      <c r="Z1138">
        <f t="shared" si="102"/>
        <v>86</v>
      </c>
      <c r="AA1138">
        <f t="shared" si="103"/>
        <v>1.0612244897959184</v>
      </c>
      <c r="AB1138">
        <f t="shared" si="104"/>
        <v>33</v>
      </c>
      <c r="AC1138" t="str">
        <f t="shared" si="105"/>
        <v>Low</v>
      </c>
      <c r="AD1138" t="str">
        <f t="shared" si="106"/>
        <v>Upsell premium bundle</v>
      </c>
      <c r="AE1138">
        <f t="shared" si="107"/>
        <v>14</v>
      </c>
    </row>
    <row r="1139" spans="1:31" x14ac:dyDescent="0.35">
      <c r="A1139" t="s">
        <v>1197</v>
      </c>
      <c r="B1139" s="4">
        <v>45233</v>
      </c>
      <c r="C1139" s="4">
        <v>46143</v>
      </c>
      <c r="D1139" t="s">
        <v>66</v>
      </c>
      <c r="E1139">
        <v>60</v>
      </c>
      <c r="F1139" t="s">
        <v>77</v>
      </c>
      <c r="G1139" t="s">
        <v>67</v>
      </c>
      <c r="H1139" t="s">
        <v>41</v>
      </c>
      <c r="I1139" t="s">
        <v>36</v>
      </c>
      <c r="J1139">
        <v>30</v>
      </c>
      <c r="K1139" s="5">
        <v>19531.75</v>
      </c>
      <c r="L1139" s="5">
        <v>6753.68</v>
      </c>
      <c r="M1139">
        <v>33</v>
      </c>
      <c r="N1139">
        <v>19</v>
      </c>
      <c r="O1139">
        <v>8</v>
      </c>
      <c r="P1139">
        <v>2</v>
      </c>
      <c r="Q1139">
        <v>26</v>
      </c>
      <c r="R1139">
        <v>1</v>
      </c>
      <c r="S1139">
        <v>0</v>
      </c>
      <c r="T1139">
        <v>1</v>
      </c>
      <c r="U1139">
        <v>1</v>
      </c>
      <c r="V1139">
        <v>1</v>
      </c>
      <c r="W1139" t="s">
        <v>52</v>
      </c>
      <c r="X1139">
        <v>61</v>
      </c>
      <c r="Y1139">
        <v>0</v>
      </c>
      <c r="Z1139">
        <f t="shared" si="102"/>
        <v>100</v>
      </c>
      <c r="AA1139">
        <f t="shared" si="103"/>
        <v>0.98333333333333328</v>
      </c>
      <c r="AB1139">
        <f t="shared" si="104"/>
        <v>0</v>
      </c>
      <c r="AC1139" t="str">
        <f t="shared" si="105"/>
        <v>Low</v>
      </c>
      <c r="AD1139" t="str">
        <f t="shared" si="106"/>
        <v>Upsell premium bundle</v>
      </c>
      <c r="AE1139">
        <f t="shared" si="107"/>
        <v>0</v>
      </c>
    </row>
    <row r="1140" spans="1:31" x14ac:dyDescent="0.35">
      <c r="A1140" t="s">
        <v>1198</v>
      </c>
      <c r="B1140" s="4">
        <v>46071</v>
      </c>
      <c r="C1140" s="4">
        <v>46143</v>
      </c>
      <c r="D1140" t="s">
        <v>60</v>
      </c>
      <c r="E1140">
        <v>64</v>
      </c>
      <c r="F1140" t="s">
        <v>43</v>
      </c>
      <c r="G1140" t="s">
        <v>34</v>
      </c>
      <c r="H1140" t="s">
        <v>41</v>
      </c>
      <c r="I1140" t="s">
        <v>49</v>
      </c>
      <c r="J1140">
        <v>2</v>
      </c>
      <c r="K1140" s="5">
        <v>144.19999999999999</v>
      </c>
      <c r="L1140" s="5">
        <v>36.380000000000003</v>
      </c>
      <c r="M1140">
        <v>47</v>
      </c>
      <c r="N1140">
        <v>21</v>
      </c>
      <c r="O1140">
        <v>11</v>
      </c>
      <c r="P1140">
        <v>3</v>
      </c>
      <c r="Q1140">
        <v>35</v>
      </c>
      <c r="R1140">
        <v>0</v>
      </c>
      <c r="S1140">
        <v>1</v>
      </c>
      <c r="T1140">
        <v>1</v>
      </c>
      <c r="U1140">
        <v>1</v>
      </c>
      <c r="V1140">
        <v>0</v>
      </c>
      <c r="W1140" t="s">
        <v>45</v>
      </c>
      <c r="X1140">
        <v>30</v>
      </c>
      <c r="Y1140">
        <v>0</v>
      </c>
      <c r="Z1140">
        <f t="shared" si="102"/>
        <v>100</v>
      </c>
      <c r="AA1140">
        <f t="shared" si="103"/>
        <v>2.5625</v>
      </c>
      <c r="AB1140">
        <f t="shared" si="104"/>
        <v>27</v>
      </c>
      <c r="AC1140" t="str">
        <f t="shared" si="105"/>
        <v>Low</v>
      </c>
      <c r="AD1140" t="str">
        <f t="shared" si="106"/>
        <v>Upsell premium bundle</v>
      </c>
      <c r="AE1140">
        <f t="shared" si="107"/>
        <v>0</v>
      </c>
    </row>
    <row r="1141" spans="1:31" x14ac:dyDescent="0.35">
      <c r="A1141" t="s">
        <v>1199</v>
      </c>
      <c r="B1141" s="4">
        <v>45095</v>
      </c>
      <c r="C1141" s="4">
        <v>46143</v>
      </c>
      <c r="D1141" t="s">
        <v>32</v>
      </c>
      <c r="E1141">
        <v>37</v>
      </c>
      <c r="F1141" t="s">
        <v>57</v>
      </c>
      <c r="G1141" t="s">
        <v>63</v>
      </c>
      <c r="H1141" t="s">
        <v>41</v>
      </c>
      <c r="I1141" t="s">
        <v>36</v>
      </c>
      <c r="J1141">
        <v>34</v>
      </c>
      <c r="K1141" s="5">
        <v>620.41</v>
      </c>
      <c r="L1141" s="5">
        <v>1578.97</v>
      </c>
      <c r="M1141">
        <v>20</v>
      </c>
      <c r="N1141">
        <v>10</v>
      </c>
      <c r="O1141">
        <v>2</v>
      </c>
      <c r="P1141">
        <v>3</v>
      </c>
      <c r="Q1141">
        <v>10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37</v>
      </c>
      <c r="X1141">
        <v>-19</v>
      </c>
      <c r="Y1141">
        <v>0</v>
      </c>
      <c r="Z1141">
        <f t="shared" si="102"/>
        <v>45</v>
      </c>
      <c r="AA1141">
        <f t="shared" si="103"/>
        <v>0.46875</v>
      </c>
      <c r="AB1141">
        <f t="shared" si="104"/>
        <v>40</v>
      </c>
      <c r="AC1141" t="str">
        <f t="shared" si="105"/>
        <v>Medium</v>
      </c>
      <c r="AD1141" t="str">
        <f t="shared" si="106"/>
        <v>Nudge core feature adoption</v>
      </c>
      <c r="AE1141">
        <f t="shared" si="107"/>
        <v>55</v>
      </c>
    </row>
    <row r="1142" spans="1:31" x14ac:dyDescent="0.35">
      <c r="A1142" t="s">
        <v>1200</v>
      </c>
      <c r="B1142" s="4">
        <v>44908</v>
      </c>
      <c r="C1142" s="4">
        <v>46143</v>
      </c>
      <c r="D1142" t="s">
        <v>47</v>
      </c>
      <c r="E1142">
        <v>70</v>
      </c>
      <c r="F1142" t="s">
        <v>57</v>
      </c>
      <c r="G1142" t="s">
        <v>48</v>
      </c>
      <c r="H1142" t="s">
        <v>41</v>
      </c>
      <c r="I1142" t="s">
        <v>36</v>
      </c>
      <c r="J1142">
        <v>41</v>
      </c>
      <c r="K1142" s="5">
        <v>818.34</v>
      </c>
      <c r="L1142" s="5">
        <v>1071.29</v>
      </c>
      <c r="M1142">
        <v>10</v>
      </c>
      <c r="N1142">
        <v>5</v>
      </c>
      <c r="O1142">
        <v>1</v>
      </c>
      <c r="P1142">
        <v>1</v>
      </c>
      <c r="Q1142">
        <v>20</v>
      </c>
      <c r="R1142">
        <v>4</v>
      </c>
      <c r="S1142">
        <v>0</v>
      </c>
      <c r="T1142">
        <v>1</v>
      </c>
      <c r="U1142">
        <v>1</v>
      </c>
      <c r="V1142">
        <v>1</v>
      </c>
      <c r="W1142" t="s">
        <v>50</v>
      </c>
      <c r="X1142">
        <v>15</v>
      </c>
      <c r="Y1142">
        <v>1</v>
      </c>
      <c r="Z1142">
        <f t="shared" si="102"/>
        <v>50</v>
      </c>
      <c r="AA1142">
        <f t="shared" si="103"/>
        <v>0.42253521126760563</v>
      </c>
      <c r="AB1142">
        <f t="shared" si="104"/>
        <v>25</v>
      </c>
      <c r="AC1142" t="str">
        <f t="shared" si="105"/>
        <v>Low</v>
      </c>
      <c r="AD1142" t="str">
        <f t="shared" si="106"/>
        <v>Upsell premium bundle</v>
      </c>
      <c r="AE1142">
        <f t="shared" si="107"/>
        <v>50</v>
      </c>
    </row>
    <row r="1143" spans="1:31" x14ac:dyDescent="0.35">
      <c r="A1143" t="s">
        <v>1201</v>
      </c>
      <c r="B1143" s="4">
        <v>46023</v>
      </c>
      <c r="C1143" s="4">
        <v>46143</v>
      </c>
      <c r="D1143" t="s">
        <v>47</v>
      </c>
      <c r="E1143">
        <v>36</v>
      </c>
      <c r="F1143" t="s">
        <v>57</v>
      </c>
      <c r="G1143" t="s">
        <v>34</v>
      </c>
      <c r="H1143" t="s">
        <v>41</v>
      </c>
      <c r="I1143" t="s">
        <v>36</v>
      </c>
      <c r="J1143">
        <v>4</v>
      </c>
      <c r="K1143" s="5">
        <v>1972.82</v>
      </c>
      <c r="L1143" s="5">
        <v>794.84</v>
      </c>
      <c r="M1143">
        <v>21</v>
      </c>
      <c r="N1143">
        <v>13</v>
      </c>
      <c r="O1143">
        <v>3</v>
      </c>
      <c r="P1143">
        <v>2</v>
      </c>
      <c r="Q1143">
        <v>21</v>
      </c>
      <c r="R1143">
        <v>1</v>
      </c>
      <c r="S1143">
        <v>0</v>
      </c>
      <c r="T1143">
        <v>1</v>
      </c>
      <c r="U1143">
        <v>1</v>
      </c>
      <c r="V1143">
        <v>1</v>
      </c>
      <c r="W1143" t="s">
        <v>50</v>
      </c>
      <c r="X1143">
        <v>11</v>
      </c>
      <c r="Y1143">
        <v>0</v>
      </c>
      <c r="Z1143">
        <f t="shared" si="102"/>
        <v>73</v>
      </c>
      <c r="AA1143">
        <f t="shared" si="103"/>
        <v>1.2352941176470589</v>
      </c>
      <c r="AB1143">
        <f t="shared" si="104"/>
        <v>22</v>
      </c>
      <c r="AC1143" t="str">
        <f t="shared" si="105"/>
        <v>Low</v>
      </c>
      <c r="AD1143" t="str">
        <f t="shared" si="106"/>
        <v>Upsell premium bundle</v>
      </c>
      <c r="AE1143">
        <f t="shared" si="107"/>
        <v>27</v>
      </c>
    </row>
    <row r="1144" spans="1:31" x14ac:dyDescent="0.35">
      <c r="A1144" t="s">
        <v>1202</v>
      </c>
      <c r="B1144" s="4">
        <v>45014</v>
      </c>
      <c r="C1144" s="4">
        <v>46143</v>
      </c>
      <c r="D1144" t="s">
        <v>39</v>
      </c>
      <c r="E1144">
        <v>62</v>
      </c>
      <c r="F1144" t="s">
        <v>43</v>
      </c>
      <c r="G1144" t="s">
        <v>63</v>
      </c>
      <c r="H1144" t="s">
        <v>44</v>
      </c>
      <c r="I1144" t="s">
        <v>36</v>
      </c>
      <c r="J1144">
        <v>37</v>
      </c>
      <c r="K1144" s="5">
        <v>40.729999999999997</v>
      </c>
      <c r="L1144" s="5">
        <v>0</v>
      </c>
      <c r="M1144">
        <v>22</v>
      </c>
      <c r="N1144">
        <v>8</v>
      </c>
      <c r="O1144">
        <v>5</v>
      </c>
      <c r="P1144">
        <v>2</v>
      </c>
      <c r="Q1144">
        <v>23</v>
      </c>
      <c r="R1144">
        <v>0</v>
      </c>
      <c r="S1144">
        <v>0</v>
      </c>
      <c r="T1144">
        <v>0</v>
      </c>
      <c r="U1144">
        <v>1</v>
      </c>
      <c r="V1144">
        <v>0</v>
      </c>
      <c r="W1144" t="s">
        <v>55</v>
      </c>
      <c r="X1144">
        <v>20</v>
      </c>
      <c r="Y1144">
        <v>0</v>
      </c>
      <c r="Z1144">
        <f t="shared" si="102"/>
        <v>67</v>
      </c>
      <c r="AA1144">
        <f t="shared" si="103"/>
        <v>0.67164179104477617</v>
      </c>
      <c r="AB1144">
        <f t="shared" si="104"/>
        <v>11</v>
      </c>
      <c r="AC1144" t="str">
        <f t="shared" si="105"/>
        <v>Low</v>
      </c>
      <c r="AD1144" t="str">
        <f t="shared" si="106"/>
        <v>Upsell premium bundle</v>
      </c>
      <c r="AE1144">
        <f t="shared" si="107"/>
        <v>33</v>
      </c>
    </row>
    <row r="1145" spans="1:31" x14ac:dyDescent="0.35">
      <c r="A1145" t="s">
        <v>1203</v>
      </c>
      <c r="B1145" s="4">
        <v>45554</v>
      </c>
      <c r="C1145" s="4">
        <v>46143</v>
      </c>
      <c r="D1145" t="s">
        <v>72</v>
      </c>
      <c r="E1145">
        <v>61</v>
      </c>
      <c r="F1145" t="s">
        <v>61</v>
      </c>
      <c r="G1145" t="s">
        <v>67</v>
      </c>
      <c r="H1145" t="s">
        <v>41</v>
      </c>
      <c r="I1145" t="s">
        <v>36</v>
      </c>
      <c r="J1145">
        <v>19</v>
      </c>
      <c r="K1145" s="5">
        <v>477.89</v>
      </c>
      <c r="L1145" s="5">
        <v>935.91</v>
      </c>
      <c r="M1145">
        <v>21</v>
      </c>
      <c r="N1145">
        <v>11</v>
      </c>
      <c r="O1145">
        <v>3</v>
      </c>
      <c r="P1145">
        <v>1</v>
      </c>
      <c r="Q1145">
        <v>21</v>
      </c>
      <c r="R1145">
        <v>0</v>
      </c>
      <c r="S1145">
        <v>0</v>
      </c>
      <c r="T1145">
        <v>0</v>
      </c>
      <c r="U1145">
        <v>1</v>
      </c>
      <c r="V1145">
        <v>0</v>
      </c>
      <c r="W1145" t="s">
        <v>52</v>
      </c>
      <c r="X1145">
        <v>38</v>
      </c>
      <c r="Y1145">
        <v>0</v>
      </c>
      <c r="Z1145">
        <f t="shared" si="102"/>
        <v>63</v>
      </c>
      <c r="AA1145">
        <f t="shared" si="103"/>
        <v>0.8571428571428571</v>
      </c>
      <c r="AB1145">
        <f t="shared" si="104"/>
        <v>14</v>
      </c>
      <c r="AC1145" t="str">
        <f t="shared" si="105"/>
        <v>Low</v>
      </c>
      <c r="AD1145" t="str">
        <f t="shared" si="106"/>
        <v>Upsell premium bundle</v>
      </c>
      <c r="AE1145">
        <f t="shared" si="107"/>
        <v>37</v>
      </c>
    </row>
    <row r="1146" spans="1:31" x14ac:dyDescent="0.35">
      <c r="A1146" t="s">
        <v>1204</v>
      </c>
      <c r="B1146" s="4">
        <v>45936</v>
      </c>
      <c r="C1146" s="4">
        <v>46143</v>
      </c>
      <c r="D1146" t="s">
        <v>32</v>
      </c>
      <c r="E1146">
        <v>19</v>
      </c>
      <c r="F1146" t="s">
        <v>43</v>
      </c>
      <c r="G1146" t="s">
        <v>34</v>
      </c>
      <c r="H1146" t="s">
        <v>35</v>
      </c>
      <c r="I1146" t="s">
        <v>49</v>
      </c>
      <c r="J1146">
        <v>6</v>
      </c>
      <c r="K1146" s="5">
        <v>0</v>
      </c>
      <c r="L1146" s="5">
        <v>42.03</v>
      </c>
      <c r="M1146">
        <v>21</v>
      </c>
      <c r="N1146">
        <v>15</v>
      </c>
      <c r="O1146">
        <v>4</v>
      </c>
      <c r="P1146">
        <v>3</v>
      </c>
      <c r="Q1146">
        <v>29</v>
      </c>
      <c r="R1146">
        <v>0</v>
      </c>
      <c r="S1146">
        <v>0</v>
      </c>
      <c r="T1146">
        <v>1</v>
      </c>
      <c r="U1146">
        <v>0</v>
      </c>
      <c r="V1146">
        <v>1</v>
      </c>
      <c r="W1146" t="s">
        <v>55</v>
      </c>
      <c r="X1146">
        <v>37</v>
      </c>
      <c r="Y1146">
        <v>0</v>
      </c>
      <c r="Z1146">
        <f t="shared" si="102"/>
        <v>76</v>
      </c>
      <c r="AA1146">
        <f t="shared" si="103"/>
        <v>1.3888888888888888</v>
      </c>
      <c r="AB1146">
        <f t="shared" si="104"/>
        <v>15</v>
      </c>
      <c r="AC1146" t="str">
        <f t="shared" si="105"/>
        <v>Low</v>
      </c>
      <c r="AD1146" t="str">
        <f t="shared" si="106"/>
        <v>Upsell premium bundle</v>
      </c>
      <c r="AE1146">
        <f t="shared" si="107"/>
        <v>24</v>
      </c>
    </row>
    <row r="1147" spans="1:31" x14ac:dyDescent="0.35">
      <c r="A1147" t="s">
        <v>1205</v>
      </c>
      <c r="B1147" s="4">
        <v>45503</v>
      </c>
      <c r="C1147" s="4">
        <v>46143</v>
      </c>
      <c r="D1147" t="s">
        <v>60</v>
      </c>
      <c r="E1147">
        <v>65</v>
      </c>
      <c r="F1147" t="s">
        <v>33</v>
      </c>
      <c r="G1147" t="s">
        <v>63</v>
      </c>
      <c r="H1147" t="s">
        <v>41</v>
      </c>
      <c r="I1147" t="s">
        <v>36</v>
      </c>
      <c r="J1147">
        <v>21</v>
      </c>
      <c r="K1147" s="5">
        <v>640.41999999999996</v>
      </c>
      <c r="L1147" s="5">
        <v>268.72000000000003</v>
      </c>
      <c r="M1147">
        <v>18</v>
      </c>
      <c r="N1147">
        <v>5</v>
      </c>
      <c r="O1147">
        <v>2</v>
      </c>
      <c r="P1147">
        <v>0</v>
      </c>
      <c r="Q1147">
        <v>15</v>
      </c>
      <c r="R1147">
        <v>0</v>
      </c>
      <c r="S1147">
        <v>0</v>
      </c>
      <c r="T1147">
        <v>1</v>
      </c>
      <c r="U1147">
        <v>0</v>
      </c>
      <c r="V1147">
        <v>1</v>
      </c>
      <c r="W1147" t="s">
        <v>45</v>
      </c>
      <c r="X1147">
        <v>58</v>
      </c>
      <c r="Y1147">
        <v>0</v>
      </c>
      <c r="Z1147">
        <f t="shared" si="102"/>
        <v>46</v>
      </c>
      <c r="AA1147">
        <f t="shared" si="103"/>
        <v>0.6470588235294118</v>
      </c>
      <c r="AB1147">
        <f t="shared" si="104"/>
        <v>11</v>
      </c>
      <c r="AC1147" t="str">
        <f t="shared" si="105"/>
        <v>Low</v>
      </c>
      <c r="AD1147" t="str">
        <f t="shared" si="106"/>
        <v>Upsell premium bundle</v>
      </c>
      <c r="AE1147">
        <f t="shared" si="107"/>
        <v>54</v>
      </c>
    </row>
    <row r="1148" spans="1:31" x14ac:dyDescent="0.35">
      <c r="A1148" t="s">
        <v>1206</v>
      </c>
      <c r="B1148" s="4">
        <v>45401</v>
      </c>
      <c r="C1148" s="4">
        <v>46143</v>
      </c>
      <c r="D1148" t="s">
        <v>72</v>
      </c>
      <c r="E1148">
        <v>42</v>
      </c>
      <c r="F1148" t="s">
        <v>57</v>
      </c>
      <c r="G1148" t="s">
        <v>67</v>
      </c>
      <c r="H1148" t="s">
        <v>41</v>
      </c>
      <c r="I1148" t="s">
        <v>54</v>
      </c>
      <c r="J1148">
        <v>24</v>
      </c>
      <c r="K1148" s="5">
        <v>2240.52</v>
      </c>
      <c r="L1148" s="5">
        <v>912.7</v>
      </c>
      <c r="M1148">
        <v>10</v>
      </c>
      <c r="N1148">
        <v>5</v>
      </c>
      <c r="O1148">
        <v>2</v>
      </c>
      <c r="P1148">
        <v>2</v>
      </c>
      <c r="Q1148">
        <v>8</v>
      </c>
      <c r="R1148">
        <v>1</v>
      </c>
      <c r="S1148">
        <v>0</v>
      </c>
      <c r="T1148">
        <v>1</v>
      </c>
      <c r="U1148">
        <v>0</v>
      </c>
      <c r="V1148">
        <v>0</v>
      </c>
      <c r="W1148" t="s">
        <v>50</v>
      </c>
      <c r="X1148">
        <v>-9</v>
      </c>
      <c r="Y1148">
        <v>1</v>
      </c>
      <c r="Z1148">
        <f t="shared" si="102"/>
        <v>27</v>
      </c>
      <c r="AA1148">
        <f t="shared" si="103"/>
        <v>0.33333333333333331</v>
      </c>
      <c r="AB1148">
        <f t="shared" si="104"/>
        <v>66</v>
      </c>
      <c r="AC1148" t="str">
        <f t="shared" si="105"/>
        <v>Medium</v>
      </c>
      <c r="AD1148" t="str">
        <f t="shared" si="106"/>
        <v>Nudge core feature adoption</v>
      </c>
      <c r="AE1148">
        <f t="shared" si="107"/>
        <v>73</v>
      </c>
    </row>
    <row r="1149" spans="1:31" x14ac:dyDescent="0.35">
      <c r="A1149" t="s">
        <v>1207</v>
      </c>
      <c r="B1149" s="4">
        <v>44848</v>
      </c>
      <c r="C1149" s="4">
        <v>46143</v>
      </c>
      <c r="D1149" t="s">
        <v>72</v>
      </c>
      <c r="E1149">
        <v>40</v>
      </c>
      <c r="F1149" t="s">
        <v>57</v>
      </c>
      <c r="G1149" t="s">
        <v>40</v>
      </c>
      <c r="H1149" t="s">
        <v>41</v>
      </c>
      <c r="I1149" t="s">
        <v>36</v>
      </c>
      <c r="J1149">
        <v>43</v>
      </c>
      <c r="K1149" s="5">
        <v>2090.44</v>
      </c>
      <c r="L1149" s="5">
        <v>1123.83</v>
      </c>
      <c r="M1149">
        <v>33</v>
      </c>
      <c r="N1149">
        <v>12</v>
      </c>
      <c r="O1149">
        <v>8</v>
      </c>
      <c r="P1149">
        <v>3</v>
      </c>
      <c r="Q1149">
        <v>29</v>
      </c>
      <c r="R1149">
        <v>0</v>
      </c>
      <c r="S1149">
        <v>1</v>
      </c>
      <c r="T1149">
        <v>1</v>
      </c>
      <c r="U1149">
        <v>0</v>
      </c>
      <c r="V1149">
        <v>0</v>
      </c>
      <c r="W1149" t="s">
        <v>50</v>
      </c>
      <c r="X1149">
        <v>48</v>
      </c>
      <c r="Y1149">
        <v>0</v>
      </c>
      <c r="Z1149">
        <f t="shared" si="102"/>
        <v>85</v>
      </c>
      <c r="AA1149">
        <f t="shared" si="103"/>
        <v>0.84931506849315064</v>
      </c>
      <c r="AB1149">
        <f t="shared" si="104"/>
        <v>8</v>
      </c>
      <c r="AC1149" t="str">
        <f t="shared" si="105"/>
        <v>Low</v>
      </c>
      <c r="AD1149" t="str">
        <f t="shared" si="106"/>
        <v>Upsell premium bundle</v>
      </c>
      <c r="AE1149">
        <f t="shared" si="107"/>
        <v>15</v>
      </c>
    </row>
    <row r="1150" spans="1:31" x14ac:dyDescent="0.35">
      <c r="A1150" t="s">
        <v>1208</v>
      </c>
      <c r="B1150" s="4">
        <v>45101</v>
      </c>
      <c r="C1150" s="4">
        <v>46143</v>
      </c>
      <c r="D1150" t="s">
        <v>47</v>
      </c>
      <c r="E1150">
        <v>51</v>
      </c>
      <c r="F1150" t="s">
        <v>43</v>
      </c>
      <c r="G1150" t="s">
        <v>34</v>
      </c>
      <c r="H1150" t="s">
        <v>41</v>
      </c>
      <c r="I1150" t="s">
        <v>36</v>
      </c>
      <c r="J1150">
        <v>34</v>
      </c>
      <c r="K1150" s="5">
        <v>125.22</v>
      </c>
      <c r="L1150" s="5">
        <v>125.61</v>
      </c>
      <c r="M1150">
        <v>42</v>
      </c>
      <c r="N1150">
        <v>30</v>
      </c>
      <c r="O1150">
        <v>8</v>
      </c>
      <c r="P1150">
        <v>7</v>
      </c>
      <c r="Q1150">
        <v>30</v>
      </c>
      <c r="R1150">
        <v>1</v>
      </c>
      <c r="S1150">
        <v>1</v>
      </c>
      <c r="T1150">
        <v>0</v>
      </c>
      <c r="U1150">
        <v>0</v>
      </c>
      <c r="V1150">
        <v>0</v>
      </c>
      <c r="W1150" t="s">
        <v>37</v>
      </c>
      <c r="X1150">
        <v>25</v>
      </c>
      <c r="Y1150">
        <v>0</v>
      </c>
      <c r="Z1150">
        <f t="shared" si="102"/>
        <v>100</v>
      </c>
      <c r="AA1150">
        <f t="shared" si="103"/>
        <v>1.125</v>
      </c>
      <c r="AB1150">
        <f t="shared" si="104"/>
        <v>12</v>
      </c>
      <c r="AC1150" t="str">
        <f t="shared" si="105"/>
        <v>Low</v>
      </c>
      <c r="AD1150" t="str">
        <f t="shared" si="106"/>
        <v>Upsell premium bundle</v>
      </c>
      <c r="AE1150">
        <f t="shared" si="107"/>
        <v>0</v>
      </c>
    </row>
    <row r="1151" spans="1:31" x14ac:dyDescent="0.35">
      <c r="A1151" t="s">
        <v>1209</v>
      </c>
      <c r="B1151" s="4">
        <v>46066</v>
      </c>
      <c r="C1151" s="4">
        <v>46143</v>
      </c>
      <c r="D1151" t="s">
        <v>39</v>
      </c>
      <c r="E1151">
        <v>47</v>
      </c>
      <c r="F1151" t="s">
        <v>61</v>
      </c>
      <c r="G1151" t="s">
        <v>34</v>
      </c>
      <c r="H1151" t="s">
        <v>41</v>
      </c>
      <c r="I1151" t="s">
        <v>36</v>
      </c>
      <c r="J1151">
        <v>2</v>
      </c>
      <c r="K1151" s="5">
        <v>6168.39</v>
      </c>
      <c r="L1151" s="5">
        <v>316.05</v>
      </c>
      <c r="M1151">
        <v>20</v>
      </c>
      <c r="N1151">
        <v>14</v>
      </c>
      <c r="O1151">
        <v>2</v>
      </c>
      <c r="P1151">
        <v>0</v>
      </c>
      <c r="Q1151">
        <v>12</v>
      </c>
      <c r="R1151">
        <v>0</v>
      </c>
      <c r="S1151">
        <v>0</v>
      </c>
      <c r="T1151">
        <v>1</v>
      </c>
      <c r="U1151">
        <v>0</v>
      </c>
      <c r="V1151">
        <v>1</v>
      </c>
      <c r="W1151" t="s">
        <v>45</v>
      </c>
      <c r="X1151">
        <v>-21</v>
      </c>
      <c r="Y1151">
        <v>1</v>
      </c>
      <c r="Z1151">
        <f t="shared" si="102"/>
        <v>52</v>
      </c>
      <c r="AA1151">
        <f t="shared" si="103"/>
        <v>1</v>
      </c>
      <c r="AB1151">
        <f t="shared" si="104"/>
        <v>48</v>
      </c>
      <c r="AC1151" t="str">
        <f t="shared" si="105"/>
        <v>Medium</v>
      </c>
      <c r="AD1151" t="str">
        <f t="shared" si="106"/>
        <v>Nudge core feature adoption</v>
      </c>
      <c r="AE1151">
        <f t="shared" si="107"/>
        <v>48</v>
      </c>
    </row>
    <row r="1152" spans="1:31" x14ac:dyDescent="0.35">
      <c r="A1152" t="s">
        <v>1210</v>
      </c>
      <c r="B1152" s="4">
        <v>44841</v>
      </c>
      <c r="C1152" s="4">
        <v>46143</v>
      </c>
      <c r="D1152" t="s">
        <v>60</v>
      </c>
      <c r="E1152">
        <v>51</v>
      </c>
      <c r="F1152" t="s">
        <v>43</v>
      </c>
      <c r="G1152" t="s">
        <v>67</v>
      </c>
      <c r="H1152" t="s">
        <v>44</v>
      </c>
      <c r="I1152" t="s">
        <v>36</v>
      </c>
      <c r="J1152">
        <v>43</v>
      </c>
      <c r="K1152" s="5">
        <v>122.18</v>
      </c>
      <c r="L1152" s="5">
        <v>0</v>
      </c>
      <c r="M1152">
        <v>39</v>
      </c>
      <c r="N1152">
        <v>12</v>
      </c>
      <c r="O1152">
        <v>10</v>
      </c>
      <c r="P1152">
        <v>5</v>
      </c>
      <c r="Q1152">
        <v>31</v>
      </c>
      <c r="R1152">
        <v>2</v>
      </c>
      <c r="S1152">
        <v>1</v>
      </c>
      <c r="T1152">
        <v>0</v>
      </c>
      <c r="U1152">
        <v>0</v>
      </c>
      <c r="V1152">
        <v>0</v>
      </c>
      <c r="W1152" t="s">
        <v>52</v>
      </c>
      <c r="X1152">
        <v>15</v>
      </c>
      <c r="Y1152">
        <v>0</v>
      </c>
      <c r="Z1152">
        <f t="shared" si="102"/>
        <v>98</v>
      </c>
      <c r="AA1152">
        <f t="shared" si="103"/>
        <v>0.95890410958904104</v>
      </c>
      <c r="AB1152">
        <f t="shared" si="104"/>
        <v>6</v>
      </c>
      <c r="AC1152" t="str">
        <f t="shared" si="105"/>
        <v>Low</v>
      </c>
      <c r="AD1152" t="str">
        <f t="shared" si="106"/>
        <v>Upsell premium bundle</v>
      </c>
      <c r="AE1152">
        <f t="shared" si="107"/>
        <v>2</v>
      </c>
    </row>
    <row r="1153" spans="1:31" x14ac:dyDescent="0.35">
      <c r="A1153" t="s">
        <v>1211</v>
      </c>
      <c r="B1153" s="4">
        <v>45579</v>
      </c>
      <c r="C1153" s="4">
        <v>46143</v>
      </c>
      <c r="D1153" t="s">
        <v>32</v>
      </c>
      <c r="E1153">
        <v>70</v>
      </c>
      <c r="F1153" t="s">
        <v>43</v>
      </c>
      <c r="G1153" t="s">
        <v>48</v>
      </c>
      <c r="H1153" t="s">
        <v>41</v>
      </c>
      <c r="I1153" t="s">
        <v>36</v>
      </c>
      <c r="J1153">
        <v>18</v>
      </c>
      <c r="K1153" s="5">
        <v>66.930000000000007</v>
      </c>
      <c r="L1153" s="5">
        <v>0</v>
      </c>
      <c r="M1153">
        <v>13</v>
      </c>
      <c r="N1153">
        <v>8</v>
      </c>
      <c r="O1153">
        <v>1</v>
      </c>
      <c r="P1153">
        <v>2</v>
      </c>
      <c r="Q1153">
        <v>8</v>
      </c>
      <c r="R1153">
        <v>0</v>
      </c>
      <c r="S1153">
        <v>1</v>
      </c>
      <c r="T1153">
        <v>1</v>
      </c>
      <c r="U1153">
        <v>0</v>
      </c>
      <c r="V1153">
        <v>0</v>
      </c>
      <c r="W1153" t="s">
        <v>37</v>
      </c>
      <c r="X1153">
        <v>-6</v>
      </c>
      <c r="Y1153">
        <v>1</v>
      </c>
      <c r="Z1153">
        <f t="shared" si="102"/>
        <v>31</v>
      </c>
      <c r="AA1153">
        <f t="shared" si="103"/>
        <v>0.4375</v>
      </c>
      <c r="AB1153">
        <f t="shared" si="104"/>
        <v>57</v>
      </c>
      <c r="AC1153" t="str">
        <f t="shared" si="105"/>
        <v>Medium</v>
      </c>
      <c r="AD1153" t="str">
        <f t="shared" si="106"/>
        <v>Nudge core feature adoption</v>
      </c>
      <c r="AE1153">
        <f t="shared" si="107"/>
        <v>69</v>
      </c>
    </row>
    <row r="1154" spans="1:31" x14ac:dyDescent="0.35">
      <c r="A1154" t="s">
        <v>1212</v>
      </c>
      <c r="B1154" s="4">
        <v>44827</v>
      </c>
      <c r="C1154" s="4">
        <v>46143</v>
      </c>
      <c r="D1154" t="s">
        <v>32</v>
      </c>
      <c r="E1154">
        <v>36</v>
      </c>
      <c r="F1154" t="s">
        <v>43</v>
      </c>
      <c r="G1154" t="s">
        <v>63</v>
      </c>
      <c r="H1154" t="s">
        <v>44</v>
      </c>
      <c r="I1154" t="s">
        <v>36</v>
      </c>
      <c r="J1154">
        <v>43</v>
      </c>
      <c r="K1154" s="5">
        <v>63.63</v>
      </c>
      <c r="L1154" s="5">
        <v>16.2</v>
      </c>
      <c r="M1154">
        <v>41</v>
      </c>
      <c r="N1154">
        <v>10</v>
      </c>
      <c r="O1154">
        <v>6</v>
      </c>
      <c r="P1154">
        <v>8</v>
      </c>
      <c r="Q1154">
        <v>29</v>
      </c>
      <c r="R1154">
        <v>2</v>
      </c>
      <c r="S1154">
        <v>2</v>
      </c>
      <c r="T1154">
        <v>1</v>
      </c>
      <c r="U1154">
        <v>0</v>
      </c>
      <c r="V1154">
        <v>0</v>
      </c>
      <c r="W1154" t="s">
        <v>37</v>
      </c>
      <c r="X1154">
        <v>91</v>
      </c>
      <c r="Y1154">
        <v>0</v>
      </c>
      <c r="Z1154">
        <f t="shared" ref="Z1154:Z1217" si="108">MIN(100,ROUND((M1154*1.1+N1154*0.7+O1154*1.2+P1154*1.4+Q1154*0.9+U1154*8+V1154*7),0))</f>
        <v>97</v>
      </c>
      <c r="AA1154">
        <f t="shared" ref="AA1154:AA1217" si="109">IFERROR((M1154+Q1154)/(30+J1154),0)</f>
        <v>0.95890410958904104</v>
      </c>
      <c r="AB1154">
        <f t="shared" ref="AB1154:AB1217" si="110">ROUND(MIN(100,MAX(0,60-Z1154*0.4-R1154*1.5+S1154*8-IF(L1154&gt;1500,10,0)-X1154*0.5+IF(I1154="Completed",-8,8)+IF(H1154="Free",6,-4))),0)</f>
        <v>0</v>
      </c>
      <c r="AC1154" t="str">
        <f t="shared" ref="AC1154:AC1217" si="111">IF(AB1154&gt;=70,"High",IF(AB1154&gt;=40,"Medium","Low"))</f>
        <v>Low</v>
      </c>
      <c r="AD1154" t="str">
        <f t="shared" ref="AD1154:AD1217" si="112">IF(AC1154="High",IF(Q1154&lt;5,"Re-engage with app usage offer",IF(K1154&lt;100,"Deposit incentive","Retention call")),IF(AC1154="Medium","Nudge core feature adoption","Upsell premium bundle"))</f>
        <v>Upsell premium bundle</v>
      </c>
      <c r="AE1154">
        <f t="shared" ref="AE1154:AE1217" si="113">100-Z1154</f>
        <v>3</v>
      </c>
    </row>
    <row r="1155" spans="1:31" x14ac:dyDescent="0.35">
      <c r="A1155" t="s">
        <v>1213</v>
      </c>
      <c r="B1155" s="4">
        <v>46116</v>
      </c>
      <c r="C1155" s="4">
        <v>46143</v>
      </c>
      <c r="D1155" t="s">
        <v>66</v>
      </c>
      <c r="E1155">
        <v>18</v>
      </c>
      <c r="F1155" t="s">
        <v>77</v>
      </c>
      <c r="G1155" t="s">
        <v>67</v>
      </c>
      <c r="H1155" t="s">
        <v>58</v>
      </c>
      <c r="I1155" t="s">
        <v>49</v>
      </c>
      <c r="J1155">
        <v>1</v>
      </c>
      <c r="K1155" s="5">
        <v>1602.36</v>
      </c>
      <c r="L1155" s="5">
        <v>12484.29</v>
      </c>
      <c r="M1155">
        <v>36</v>
      </c>
      <c r="N1155">
        <v>25</v>
      </c>
      <c r="O1155">
        <v>9</v>
      </c>
      <c r="P1155">
        <v>3</v>
      </c>
      <c r="Q1155">
        <v>22</v>
      </c>
      <c r="R1155">
        <v>3</v>
      </c>
      <c r="S1155">
        <v>0</v>
      </c>
      <c r="T1155">
        <v>0</v>
      </c>
      <c r="U1155">
        <v>0</v>
      </c>
      <c r="V1155">
        <v>0</v>
      </c>
      <c r="W1155" t="s">
        <v>37</v>
      </c>
      <c r="X1155">
        <v>0</v>
      </c>
      <c r="Y1155">
        <v>0</v>
      </c>
      <c r="Z1155">
        <f t="shared" si="108"/>
        <v>92</v>
      </c>
      <c r="AA1155">
        <f t="shared" si="109"/>
        <v>1.8709677419354838</v>
      </c>
      <c r="AB1155">
        <f t="shared" si="110"/>
        <v>13</v>
      </c>
      <c r="AC1155" t="str">
        <f t="shared" si="111"/>
        <v>Low</v>
      </c>
      <c r="AD1155" t="str">
        <f t="shared" si="112"/>
        <v>Upsell premium bundle</v>
      </c>
      <c r="AE1155">
        <f t="shared" si="113"/>
        <v>8</v>
      </c>
    </row>
    <row r="1156" spans="1:31" x14ac:dyDescent="0.35">
      <c r="A1156" t="s">
        <v>1214</v>
      </c>
      <c r="B1156" s="4">
        <v>45223</v>
      </c>
      <c r="C1156" s="4">
        <v>46143</v>
      </c>
      <c r="D1156" t="s">
        <v>32</v>
      </c>
      <c r="E1156">
        <v>32</v>
      </c>
      <c r="F1156" t="s">
        <v>43</v>
      </c>
      <c r="G1156" t="s">
        <v>40</v>
      </c>
      <c r="H1156" t="s">
        <v>41</v>
      </c>
      <c r="I1156" t="s">
        <v>36</v>
      </c>
      <c r="J1156">
        <v>30</v>
      </c>
      <c r="K1156" s="5">
        <v>88.67</v>
      </c>
      <c r="L1156" s="5">
        <v>62.05</v>
      </c>
      <c r="M1156">
        <v>27</v>
      </c>
      <c r="N1156">
        <v>16</v>
      </c>
      <c r="O1156">
        <v>5</v>
      </c>
      <c r="P1156">
        <v>1</v>
      </c>
      <c r="Q1156">
        <v>12</v>
      </c>
      <c r="R1156">
        <v>2</v>
      </c>
      <c r="S1156">
        <v>0</v>
      </c>
      <c r="T1156">
        <v>0</v>
      </c>
      <c r="U1156">
        <v>0</v>
      </c>
      <c r="V1156">
        <v>1</v>
      </c>
      <c r="W1156" t="s">
        <v>50</v>
      </c>
      <c r="X1156">
        <v>32</v>
      </c>
      <c r="Y1156">
        <v>0</v>
      </c>
      <c r="Z1156">
        <f t="shared" si="108"/>
        <v>66</v>
      </c>
      <c r="AA1156">
        <f t="shared" si="109"/>
        <v>0.65</v>
      </c>
      <c r="AB1156">
        <f t="shared" si="110"/>
        <v>13</v>
      </c>
      <c r="AC1156" t="str">
        <f t="shared" si="111"/>
        <v>Low</v>
      </c>
      <c r="AD1156" t="str">
        <f t="shared" si="112"/>
        <v>Upsell premium bundle</v>
      </c>
      <c r="AE1156">
        <f t="shared" si="113"/>
        <v>34</v>
      </c>
    </row>
    <row r="1157" spans="1:31" x14ac:dyDescent="0.35">
      <c r="A1157" t="s">
        <v>1215</v>
      </c>
      <c r="B1157" s="4">
        <v>45145</v>
      </c>
      <c r="C1157" s="4">
        <v>46143</v>
      </c>
      <c r="D1157" t="s">
        <v>47</v>
      </c>
      <c r="E1157">
        <v>40</v>
      </c>
      <c r="F1157" t="s">
        <v>61</v>
      </c>
      <c r="G1157" t="s">
        <v>85</v>
      </c>
      <c r="H1157" t="s">
        <v>35</v>
      </c>
      <c r="I1157" t="s">
        <v>36</v>
      </c>
      <c r="J1157">
        <v>33</v>
      </c>
      <c r="K1157" s="5">
        <v>2588.0300000000002</v>
      </c>
      <c r="L1157" s="5">
        <v>2953.62</v>
      </c>
      <c r="M1157">
        <v>23</v>
      </c>
      <c r="N1157">
        <v>7</v>
      </c>
      <c r="O1157">
        <v>3</v>
      </c>
      <c r="P1157">
        <v>0</v>
      </c>
      <c r="Q1157">
        <v>25</v>
      </c>
      <c r="R1157">
        <v>0</v>
      </c>
      <c r="S1157">
        <v>2</v>
      </c>
      <c r="T1157">
        <v>0</v>
      </c>
      <c r="U1157">
        <v>0</v>
      </c>
      <c r="V1157">
        <v>1</v>
      </c>
      <c r="W1157" t="s">
        <v>52</v>
      </c>
      <c r="X1157">
        <v>30</v>
      </c>
      <c r="Y1157">
        <v>0</v>
      </c>
      <c r="Z1157">
        <f t="shared" si="108"/>
        <v>63</v>
      </c>
      <c r="AA1157">
        <f t="shared" si="109"/>
        <v>0.76190476190476186</v>
      </c>
      <c r="AB1157">
        <f t="shared" si="110"/>
        <v>14</v>
      </c>
      <c r="AC1157" t="str">
        <f t="shared" si="111"/>
        <v>Low</v>
      </c>
      <c r="AD1157" t="str">
        <f t="shared" si="112"/>
        <v>Upsell premium bundle</v>
      </c>
      <c r="AE1157">
        <f t="shared" si="113"/>
        <v>37</v>
      </c>
    </row>
    <row r="1158" spans="1:31" x14ac:dyDescent="0.35">
      <c r="A1158" t="s">
        <v>1216</v>
      </c>
      <c r="B1158" s="4">
        <v>45212</v>
      </c>
      <c r="C1158" s="4">
        <v>46143</v>
      </c>
      <c r="D1158" t="s">
        <v>47</v>
      </c>
      <c r="E1158">
        <v>71</v>
      </c>
      <c r="F1158" t="s">
        <v>43</v>
      </c>
      <c r="G1158" t="s">
        <v>67</v>
      </c>
      <c r="H1158" t="s">
        <v>41</v>
      </c>
      <c r="I1158" t="s">
        <v>36</v>
      </c>
      <c r="J1158">
        <v>31</v>
      </c>
      <c r="K1158" s="5">
        <v>197.03</v>
      </c>
      <c r="L1158" s="5">
        <v>5.2</v>
      </c>
      <c r="M1158">
        <v>36</v>
      </c>
      <c r="N1158">
        <v>26</v>
      </c>
      <c r="O1158">
        <v>5</v>
      </c>
      <c r="P1158">
        <v>5</v>
      </c>
      <c r="Q1158">
        <v>26</v>
      </c>
      <c r="R1158">
        <v>0</v>
      </c>
      <c r="S1158">
        <v>0</v>
      </c>
      <c r="T1158">
        <v>1</v>
      </c>
      <c r="U1158">
        <v>0</v>
      </c>
      <c r="V1158">
        <v>0</v>
      </c>
      <c r="W1158" t="s">
        <v>52</v>
      </c>
      <c r="X1158">
        <v>25</v>
      </c>
      <c r="Y1158">
        <v>0</v>
      </c>
      <c r="Z1158">
        <f t="shared" si="108"/>
        <v>94</v>
      </c>
      <c r="AA1158">
        <f t="shared" si="109"/>
        <v>1.0163934426229508</v>
      </c>
      <c r="AB1158">
        <f t="shared" si="110"/>
        <v>8</v>
      </c>
      <c r="AC1158" t="str">
        <f t="shared" si="111"/>
        <v>Low</v>
      </c>
      <c r="AD1158" t="str">
        <f t="shared" si="112"/>
        <v>Upsell premium bundle</v>
      </c>
      <c r="AE1158">
        <f t="shared" si="113"/>
        <v>6</v>
      </c>
    </row>
    <row r="1159" spans="1:31" x14ac:dyDescent="0.35">
      <c r="A1159" t="s">
        <v>1217</v>
      </c>
      <c r="B1159" s="4">
        <v>44737</v>
      </c>
      <c r="C1159" s="4">
        <v>46143</v>
      </c>
      <c r="D1159" t="s">
        <v>47</v>
      </c>
      <c r="E1159">
        <v>22</v>
      </c>
      <c r="F1159" t="s">
        <v>61</v>
      </c>
      <c r="G1159" t="s">
        <v>40</v>
      </c>
      <c r="H1159" t="s">
        <v>41</v>
      </c>
      <c r="I1159" t="s">
        <v>36</v>
      </c>
      <c r="J1159">
        <v>46</v>
      </c>
      <c r="K1159" s="5">
        <v>2712.55</v>
      </c>
      <c r="L1159" s="5">
        <v>4826.2299999999996</v>
      </c>
      <c r="M1159">
        <v>18</v>
      </c>
      <c r="N1159">
        <v>9</v>
      </c>
      <c r="O1159">
        <v>1</v>
      </c>
      <c r="P1159">
        <v>0</v>
      </c>
      <c r="Q1159">
        <v>15</v>
      </c>
      <c r="R1159">
        <v>0</v>
      </c>
      <c r="S1159">
        <v>0</v>
      </c>
      <c r="T1159">
        <v>1</v>
      </c>
      <c r="U1159">
        <v>0</v>
      </c>
      <c r="V1159">
        <v>0</v>
      </c>
      <c r="W1159" t="s">
        <v>55</v>
      </c>
      <c r="X1159">
        <v>44</v>
      </c>
      <c r="Y1159">
        <v>1</v>
      </c>
      <c r="Z1159">
        <f t="shared" si="108"/>
        <v>41</v>
      </c>
      <c r="AA1159">
        <f t="shared" si="109"/>
        <v>0.43421052631578949</v>
      </c>
      <c r="AB1159">
        <f t="shared" si="110"/>
        <v>10</v>
      </c>
      <c r="AC1159" t="str">
        <f t="shared" si="111"/>
        <v>Low</v>
      </c>
      <c r="AD1159" t="str">
        <f t="shared" si="112"/>
        <v>Upsell premium bundle</v>
      </c>
      <c r="AE1159">
        <f t="shared" si="113"/>
        <v>59</v>
      </c>
    </row>
    <row r="1160" spans="1:31" x14ac:dyDescent="0.35">
      <c r="A1160" t="s">
        <v>1218</v>
      </c>
      <c r="B1160" s="4">
        <v>44759</v>
      </c>
      <c r="C1160" s="4">
        <v>46143</v>
      </c>
      <c r="D1160" t="s">
        <v>47</v>
      </c>
      <c r="E1160">
        <v>63</v>
      </c>
      <c r="F1160" t="s">
        <v>77</v>
      </c>
      <c r="G1160" t="s">
        <v>48</v>
      </c>
      <c r="H1160" t="s">
        <v>41</v>
      </c>
      <c r="I1160" t="s">
        <v>36</v>
      </c>
      <c r="J1160">
        <v>46</v>
      </c>
      <c r="K1160" s="5">
        <v>6838.85</v>
      </c>
      <c r="L1160" s="5">
        <v>1425.12</v>
      </c>
      <c r="M1160">
        <v>10</v>
      </c>
      <c r="N1160">
        <v>3</v>
      </c>
      <c r="O1160">
        <v>2</v>
      </c>
      <c r="P1160">
        <v>1</v>
      </c>
      <c r="Q1160">
        <v>25</v>
      </c>
      <c r="R1160">
        <v>0</v>
      </c>
      <c r="S1160">
        <v>0</v>
      </c>
      <c r="T1160">
        <v>0</v>
      </c>
      <c r="U1160">
        <v>1</v>
      </c>
      <c r="V1160">
        <v>0</v>
      </c>
      <c r="W1160" t="s">
        <v>55</v>
      </c>
      <c r="X1160">
        <v>15</v>
      </c>
      <c r="Y1160">
        <v>0</v>
      </c>
      <c r="Z1160">
        <f t="shared" si="108"/>
        <v>47</v>
      </c>
      <c r="AA1160">
        <f t="shared" si="109"/>
        <v>0.46052631578947367</v>
      </c>
      <c r="AB1160">
        <f t="shared" si="110"/>
        <v>32</v>
      </c>
      <c r="AC1160" t="str">
        <f t="shared" si="111"/>
        <v>Low</v>
      </c>
      <c r="AD1160" t="str">
        <f t="shared" si="112"/>
        <v>Upsell premium bundle</v>
      </c>
      <c r="AE1160">
        <f t="shared" si="113"/>
        <v>53</v>
      </c>
    </row>
    <row r="1161" spans="1:31" x14ac:dyDescent="0.35">
      <c r="A1161" t="s">
        <v>1219</v>
      </c>
      <c r="B1161" s="4">
        <v>45716</v>
      </c>
      <c r="C1161" s="4">
        <v>46143</v>
      </c>
      <c r="D1161" t="s">
        <v>47</v>
      </c>
      <c r="E1161">
        <v>39</v>
      </c>
      <c r="F1161" t="s">
        <v>61</v>
      </c>
      <c r="G1161" t="s">
        <v>85</v>
      </c>
      <c r="H1161" t="s">
        <v>44</v>
      </c>
      <c r="I1161" t="s">
        <v>36</v>
      </c>
      <c r="J1161">
        <v>14</v>
      </c>
      <c r="K1161" s="5">
        <v>1347.69</v>
      </c>
      <c r="L1161" s="5">
        <v>3156.91</v>
      </c>
      <c r="M1161">
        <v>16</v>
      </c>
      <c r="N1161">
        <v>9</v>
      </c>
      <c r="O1161">
        <v>1</v>
      </c>
      <c r="P1161">
        <v>1</v>
      </c>
      <c r="Q1161">
        <v>14</v>
      </c>
      <c r="R1161">
        <v>3</v>
      </c>
      <c r="S1161">
        <v>1</v>
      </c>
      <c r="T1161">
        <v>1</v>
      </c>
      <c r="U1161">
        <v>1</v>
      </c>
      <c r="V1161">
        <v>0</v>
      </c>
      <c r="W1161" t="s">
        <v>52</v>
      </c>
      <c r="X1161">
        <v>37</v>
      </c>
      <c r="Y1161">
        <v>0</v>
      </c>
      <c r="Z1161">
        <f t="shared" si="108"/>
        <v>47</v>
      </c>
      <c r="AA1161">
        <f t="shared" si="109"/>
        <v>0.68181818181818177</v>
      </c>
      <c r="AB1161">
        <f t="shared" si="110"/>
        <v>4</v>
      </c>
      <c r="AC1161" t="str">
        <f t="shared" si="111"/>
        <v>Low</v>
      </c>
      <c r="AD1161" t="str">
        <f t="shared" si="112"/>
        <v>Upsell premium bundle</v>
      </c>
      <c r="AE1161">
        <f t="shared" si="113"/>
        <v>53</v>
      </c>
    </row>
    <row r="1162" spans="1:31" x14ac:dyDescent="0.35">
      <c r="A1162" t="s">
        <v>1220</v>
      </c>
      <c r="B1162" s="4">
        <v>45100</v>
      </c>
      <c r="C1162" s="4">
        <v>46143</v>
      </c>
      <c r="D1162" t="s">
        <v>66</v>
      </c>
      <c r="E1162">
        <v>29</v>
      </c>
      <c r="F1162" t="s">
        <v>57</v>
      </c>
      <c r="G1162" t="s">
        <v>63</v>
      </c>
      <c r="H1162" t="s">
        <v>41</v>
      </c>
      <c r="I1162" t="s">
        <v>36</v>
      </c>
      <c r="J1162">
        <v>34</v>
      </c>
      <c r="K1162" s="5">
        <v>1132.04</v>
      </c>
      <c r="L1162" s="5">
        <v>1661.33</v>
      </c>
      <c r="M1162">
        <v>5</v>
      </c>
      <c r="N1162">
        <v>2</v>
      </c>
      <c r="O1162">
        <v>0</v>
      </c>
      <c r="P1162">
        <v>0</v>
      </c>
      <c r="Q1162">
        <v>8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37</v>
      </c>
      <c r="X1162">
        <v>29</v>
      </c>
      <c r="Y1162">
        <v>1</v>
      </c>
      <c r="Z1162">
        <f t="shared" si="108"/>
        <v>14</v>
      </c>
      <c r="AA1162">
        <f t="shared" si="109"/>
        <v>0.203125</v>
      </c>
      <c r="AB1162">
        <f t="shared" si="110"/>
        <v>28</v>
      </c>
      <c r="AC1162" t="str">
        <f t="shared" si="111"/>
        <v>Low</v>
      </c>
      <c r="AD1162" t="str">
        <f t="shared" si="112"/>
        <v>Upsell premium bundle</v>
      </c>
      <c r="AE1162">
        <f t="shared" si="113"/>
        <v>86</v>
      </c>
    </row>
    <row r="1163" spans="1:31" x14ac:dyDescent="0.35">
      <c r="A1163" t="s">
        <v>1221</v>
      </c>
      <c r="B1163" s="4">
        <v>45625</v>
      </c>
      <c r="C1163" s="4">
        <v>46143</v>
      </c>
      <c r="D1163" t="s">
        <v>60</v>
      </c>
      <c r="E1163">
        <v>58</v>
      </c>
      <c r="F1163" t="s">
        <v>57</v>
      </c>
      <c r="G1163" t="s">
        <v>48</v>
      </c>
      <c r="H1163" t="s">
        <v>58</v>
      </c>
      <c r="I1163" t="s">
        <v>36</v>
      </c>
      <c r="J1163">
        <v>17</v>
      </c>
      <c r="K1163" s="5">
        <v>0</v>
      </c>
      <c r="L1163" s="5">
        <v>619.82000000000005</v>
      </c>
      <c r="M1163">
        <v>14</v>
      </c>
      <c r="N1163">
        <v>7</v>
      </c>
      <c r="O1163">
        <v>1</v>
      </c>
      <c r="P1163">
        <v>2</v>
      </c>
      <c r="Q1163">
        <v>16</v>
      </c>
      <c r="R1163">
        <v>6</v>
      </c>
      <c r="S1163">
        <v>1</v>
      </c>
      <c r="T1163">
        <v>0</v>
      </c>
      <c r="U1163">
        <v>1</v>
      </c>
      <c r="V1163">
        <v>1</v>
      </c>
      <c r="W1163" t="s">
        <v>52</v>
      </c>
      <c r="X1163">
        <v>-2</v>
      </c>
      <c r="Y1163">
        <v>1</v>
      </c>
      <c r="Z1163">
        <f t="shared" si="108"/>
        <v>54</v>
      </c>
      <c r="AA1163">
        <f t="shared" si="109"/>
        <v>0.63829787234042556</v>
      </c>
      <c r="AB1163">
        <f t="shared" si="110"/>
        <v>26</v>
      </c>
      <c r="AC1163" t="str">
        <f t="shared" si="111"/>
        <v>Low</v>
      </c>
      <c r="AD1163" t="str">
        <f t="shared" si="112"/>
        <v>Upsell premium bundle</v>
      </c>
      <c r="AE1163">
        <f t="shared" si="113"/>
        <v>46</v>
      </c>
    </row>
    <row r="1164" spans="1:31" x14ac:dyDescent="0.35">
      <c r="A1164" t="s">
        <v>1222</v>
      </c>
      <c r="B1164" s="4">
        <v>46044</v>
      </c>
      <c r="C1164" s="4">
        <v>46143</v>
      </c>
      <c r="D1164" t="s">
        <v>47</v>
      </c>
      <c r="E1164">
        <v>33</v>
      </c>
      <c r="F1164" t="s">
        <v>43</v>
      </c>
      <c r="G1164" t="s">
        <v>48</v>
      </c>
      <c r="H1164" t="s">
        <v>44</v>
      </c>
      <c r="I1164" t="s">
        <v>36</v>
      </c>
      <c r="J1164">
        <v>3</v>
      </c>
      <c r="K1164" s="5">
        <v>71.87</v>
      </c>
      <c r="L1164" s="5">
        <v>59.43</v>
      </c>
      <c r="M1164">
        <v>37</v>
      </c>
      <c r="N1164">
        <v>12</v>
      </c>
      <c r="O1164">
        <v>9</v>
      </c>
      <c r="P1164">
        <v>5</v>
      </c>
      <c r="Q1164">
        <v>14</v>
      </c>
      <c r="R1164">
        <v>0</v>
      </c>
      <c r="S1164">
        <v>1</v>
      </c>
      <c r="T1164">
        <v>0</v>
      </c>
      <c r="U1164">
        <v>0</v>
      </c>
      <c r="V1164">
        <v>1</v>
      </c>
      <c r="W1164" t="s">
        <v>50</v>
      </c>
      <c r="X1164">
        <v>27</v>
      </c>
      <c r="Y1164">
        <v>0</v>
      </c>
      <c r="Z1164">
        <f t="shared" si="108"/>
        <v>87</v>
      </c>
      <c r="AA1164">
        <f t="shared" si="109"/>
        <v>1.5454545454545454</v>
      </c>
      <c r="AB1164">
        <f t="shared" si="110"/>
        <v>8</v>
      </c>
      <c r="AC1164" t="str">
        <f t="shared" si="111"/>
        <v>Low</v>
      </c>
      <c r="AD1164" t="str">
        <f t="shared" si="112"/>
        <v>Upsell premium bundle</v>
      </c>
      <c r="AE1164">
        <f t="shared" si="113"/>
        <v>13</v>
      </c>
    </row>
    <row r="1165" spans="1:31" x14ac:dyDescent="0.35">
      <c r="A1165" t="s">
        <v>1223</v>
      </c>
      <c r="B1165" s="4">
        <v>45606</v>
      </c>
      <c r="C1165" s="4">
        <v>46143</v>
      </c>
      <c r="D1165" t="s">
        <v>66</v>
      </c>
      <c r="E1165">
        <v>71</v>
      </c>
      <c r="F1165" t="s">
        <v>43</v>
      </c>
      <c r="G1165" t="s">
        <v>63</v>
      </c>
      <c r="H1165" t="s">
        <v>35</v>
      </c>
      <c r="I1165" t="s">
        <v>36</v>
      </c>
      <c r="J1165">
        <v>17</v>
      </c>
      <c r="K1165" s="5">
        <v>113.97</v>
      </c>
      <c r="L1165" s="5">
        <v>90.56</v>
      </c>
      <c r="M1165">
        <v>28</v>
      </c>
      <c r="N1165">
        <v>20</v>
      </c>
      <c r="O1165">
        <v>8</v>
      </c>
      <c r="P1165">
        <v>4</v>
      </c>
      <c r="Q1165">
        <v>16</v>
      </c>
      <c r="R1165">
        <v>1</v>
      </c>
      <c r="S1165">
        <v>0</v>
      </c>
      <c r="T1165">
        <v>0</v>
      </c>
      <c r="U1165">
        <v>1</v>
      </c>
      <c r="V1165">
        <v>0</v>
      </c>
      <c r="W1165" t="s">
        <v>55</v>
      </c>
      <c r="X1165">
        <v>43</v>
      </c>
      <c r="Y1165">
        <v>0</v>
      </c>
      <c r="Z1165">
        <f t="shared" si="108"/>
        <v>82</v>
      </c>
      <c r="AA1165">
        <f t="shared" si="109"/>
        <v>0.93617021276595747</v>
      </c>
      <c r="AB1165">
        <f t="shared" si="110"/>
        <v>0</v>
      </c>
      <c r="AC1165" t="str">
        <f t="shared" si="111"/>
        <v>Low</v>
      </c>
      <c r="AD1165" t="str">
        <f t="shared" si="112"/>
        <v>Upsell premium bundle</v>
      </c>
      <c r="AE1165">
        <f t="shared" si="113"/>
        <v>18</v>
      </c>
    </row>
    <row r="1166" spans="1:31" x14ac:dyDescent="0.35">
      <c r="A1166" t="s">
        <v>1224</v>
      </c>
      <c r="B1166" s="4">
        <v>45329</v>
      </c>
      <c r="C1166" s="4">
        <v>46143</v>
      </c>
      <c r="D1166" t="s">
        <v>72</v>
      </c>
      <c r="E1166">
        <v>70</v>
      </c>
      <c r="F1166" t="s">
        <v>77</v>
      </c>
      <c r="G1166" t="s">
        <v>85</v>
      </c>
      <c r="H1166" t="s">
        <v>41</v>
      </c>
      <c r="I1166" t="s">
        <v>36</v>
      </c>
      <c r="J1166">
        <v>27</v>
      </c>
      <c r="K1166" s="5">
        <v>8985.09</v>
      </c>
      <c r="L1166" s="5">
        <v>5874.59</v>
      </c>
      <c r="M1166">
        <v>19</v>
      </c>
      <c r="N1166">
        <v>13</v>
      </c>
      <c r="O1166">
        <v>4</v>
      </c>
      <c r="P1166">
        <v>3</v>
      </c>
      <c r="Q1166">
        <v>15</v>
      </c>
      <c r="R1166">
        <v>2</v>
      </c>
      <c r="S1166">
        <v>0</v>
      </c>
      <c r="T1166">
        <v>0</v>
      </c>
      <c r="U1166">
        <v>0</v>
      </c>
      <c r="V1166">
        <v>1</v>
      </c>
      <c r="W1166" t="s">
        <v>37</v>
      </c>
      <c r="X1166">
        <v>59</v>
      </c>
      <c r="Y1166">
        <v>0</v>
      </c>
      <c r="Z1166">
        <f t="shared" si="108"/>
        <v>60</v>
      </c>
      <c r="AA1166">
        <f t="shared" si="109"/>
        <v>0.59649122807017541</v>
      </c>
      <c r="AB1166">
        <f t="shared" si="110"/>
        <v>0</v>
      </c>
      <c r="AC1166" t="str">
        <f t="shared" si="111"/>
        <v>Low</v>
      </c>
      <c r="AD1166" t="str">
        <f t="shared" si="112"/>
        <v>Upsell premium bundle</v>
      </c>
      <c r="AE1166">
        <f t="shared" si="113"/>
        <v>40</v>
      </c>
    </row>
    <row r="1167" spans="1:31" x14ac:dyDescent="0.35">
      <c r="A1167" t="s">
        <v>1225</v>
      </c>
      <c r="B1167" s="4">
        <v>45172</v>
      </c>
      <c r="C1167" s="4">
        <v>46143</v>
      </c>
      <c r="D1167" t="s">
        <v>39</v>
      </c>
      <c r="E1167">
        <v>27</v>
      </c>
      <c r="F1167" t="s">
        <v>61</v>
      </c>
      <c r="G1167" t="s">
        <v>48</v>
      </c>
      <c r="H1167" t="s">
        <v>44</v>
      </c>
      <c r="I1167" t="s">
        <v>36</v>
      </c>
      <c r="J1167">
        <v>32</v>
      </c>
      <c r="K1167" s="5">
        <v>1927.96</v>
      </c>
      <c r="L1167" s="5">
        <v>0</v>
      </c>
      <c r="M1167">
        <v>43</v>
      </c>
      <c r="N1167">
        <v>17</v>
      </c>
      <c r="O1167">
        <v>11</v>
      </c>
      <c r="P1167">
        <v>3</v>
      </c>
      <c r="Q1167">
        <v>27</v>
      </c>
      <c r="R1167">
        <v>0</v>
      </c>
      <c r="S1167">
        <v>1</v>
      </c>
      <c r="T1167">
        <v>0</v>
      </c>
      <c r="U1167">
        <v>0</v>
      </c>
      <c r="V1167">
        <v>0</v>
      </c>
      <c r="W1167" t="s">
        <v>52</v>
      </c>
      <c r="X1167">
        <v>-26</v>
      </c>
      <c r="Y1167">
        <v>0</v>
      </c>
      <c r="Z1167">
        <f t="shared" si="108"/>
        <v>100</v>
      </c>
      <c r="AA1167">
        <f t="shared" si="109"/>
        <v>1.1290322580645162</v>
      </c>
      <c r="AB1167">
        <f t="shared" si="110"/>
        <v>29</v>
      </c>
      <c r="AC1167" t="str">
        <f t="shared" si="111"/>
        <v>Low</v>
      </c>
      <c r="AD1167" t="str">
        <f t="shared" si="112"/>
        <v>Upsell premium bundle</v>
      </c>
      <c r="AE1167">
        <f t="shared" si="113"/>
        <v>0</v>
      </c>
    </row>
    <row r="1168" spans="1:31" x14ac:dyDescent="0.35">
      <c r="A1168" t="s">
        <v>1226</v>
      </c>
      <c r="B1168" s="4">
        <v>45242</v>
      </c>
      <c r="C1168" s="4">
        <v>46143</v>
      </c>
      <c r="D1168" t="s">
        <v>32</v>
      </c>
      <c r="E1168">
        <v>18</v>
      </c>
      <c r="F1168" t="s">
        <v>33</v>
      </c>
      <c r="G1168" t="s">
        <v>34</v>
      </c>
      <c r="H1168" t="s">
        <v>41</v>
      </c>
      <c r="I1168" t="s">
        <v>49</v>
      </c>
      <c r="J1168">
        <v>30</v>
      </c>
      <c r="K1168" s="5">
        <v>597.32000000000005</v>
      </c>
      <c r="L1168" s="5">
        <v>327.27999999999997</v>
      </c>
      <c r="M1168">
        <v>11</v>
      </c>
      <c r="N1168">
        <v>3</v>
      </c>
      <c r="O1168">
        <v>2</v>
      </c>
      <c r="P1168">
        <v>0</v>
      </c>
      <c r="Q1168">
        <v>7</v>
      </c>
      <c r="R1168">
        <v>0</v>
      </c>
      <c r="S1168">
        <v>1</v>
      </c>
      <c r="T1168">
        <v>1</v>
      </c>
      <c r="U1168">
        <v>1</v>
      </c>
      <c r="V1168">
        <v>1</v>
      </c>
      <c r="W1168" t="s">
        <v>37</v>
      </c>
      <c r="X1168">
        <v>26</v>
      </c>
      <c r="Y1168">
        <v>1</v>
      </c>
      <c r="Z1168">
        <f t="shared" si="108"/>
        <v>38</v>
      </c>
      <c r="AA1168">
        <f t="shared" si="109"/>
        <v>0.3</v>
      </c>
      <c r="AB1168">
        <f t="shared" si="110"/>
        <v>54</v>
      </c>
      <c r="AC1168" t="str">
        <f t="shared" si="111"/>
        <v>Medium</v>
      </c>
      <c r="AD1168" t="str">
        <f t="shared" si="112"/>
        <v>Nudge core feature adoption</v>
      </c>
      <c r="AE1168">
        <f t="shared" si="113"/>
        <v>62</v>
      </c>
    </row>
    <row r="1169" spans="1:31" x14ac:dyDescent="0.35">
      <c r="A1169" t="s">
        <v>1227</v>
      </c>
      <c r="B1169" s="4">
        <v>45056</v>
      </c>
      <c r="C1169" s="4">
        <v>46143</v>
      </c>
      <c r="D1169" t="s">
        <v>72</v>
      </c>
      <c r="E1169">
        <v>64</v>
      </c>
      <c r="F1169" t="s">
        <v>61</v>
      </c>
      <c r="G1169" t="s">
        <v>40</v>
      </c>
      <c r="H1169" t="s">
        <v>41</v>
      </c>
      <c r="I1169" t="s">
        <v>36</v>
      </c>
      <c r="J1169">
        <v>36</v>
      </c>
      <c r="K1169" s="5">
        <v>2151.9299999999998</v>
      </c>
      <c r="L1169" s="5">
        <v>1345.97</v>
      </c>
      <c r="M1169">
        <v>29</v>
      </c>
      <c r="N1169">
        <v>11</v>
      </c>
      <c r="O1169">
        <v>6</v>
      </c>
      <c r="P1169">
        <v>2</v>
      </c>
      <c r="Q1169">
        <v>22</v>
      </c>
      <c r="R1169">
        <v>0</v>
      </c>
      <c r="S1169">
        <v>0</v>
      </c>
      <c r="T1169">
        <v>1</v>
      </c>
      <c r="U1169">
        <v>0</v>
      </c>
      <c r="V1169">
        <v>1</v>
      </c>
      <c r="W1169" t="s">
        <v>55</v>
      </c>
      <c r="X1169">
        <v>92</v>
      </c>
      <c r="Y1169">
        <v>0</v>
      </c>
      <c r="Z1169">
        <f t="shared" si="108"/>
        <v>76</v>
      </c>
      <c r="AA1169">
        <f t="shared" si="109"/>
        <v>0.77272727272727271</v>
      </c>
      <c r="AB1169">
        <f t="shared" si="110"/>
        <v>0</v>
      </c>
      <c r="AC1169" t="str">
        <f t="shared" si="111"/>
        <v>Low</v>
      </c>
      <c r="AD1169" t="str">
        <f t="shared" si="112"/>
        <v>Upsell premium bundle</v>
      </c>
      <c r="AE1169">
        <f t="shared" si="113"/>
        <v>24</v>
      </c>
    </row>
    <row r="1170" spans="1:31" x14ac:dyDescent="0.35">
      <c r="A1170" t="s">
        <v>1228</v>
      </c>
      <c r="B1170" s="4">
        <v>45949</v>
      </c>
      <c r="C1170" s="4">
        <v>46143</v>
      </c>
      <c r="D1170" t="s">
        <v>66</v>
      </c>
      <c r="E1170">
        <v>49</v>
      </c>
      <c r="F1170" t="s">
        <v>33</v>
      </c>
      <c r="G1170" t="s">
        <v>34</v>
      </c>
      <c r="H1170" t="s">
        <v>41</v>
      </c>
      <c r="I1170" t="s">
        <v>36</v>
      </c>
      <c r="J1170">
        <v>6</v>
      </c>
      <c r="K1170" s="5">
        <v>344.36</v>
      </c>
      <c r="L1170" s="5">
        <v>362.92</v>
      </c>
      <c r="M1170">
        <v>8</v>
      </c>
      <c r="N1170">
        <v>2</v>
      </c>
      <c r="O1170">
        <v>2</v>
      </c>
      <c r="P1170">
        <v>0</v>
      </c>
      <c r="Q1170">
        <v>14</v>
      </c>
      <c r="R1170">
        <v>2</v>
      </c>
      <c r="S1170">
        <v>0</v>
      </c>
      <c r="T1170">
        <v>0</v>
      </c>
      <c r="U1170">
        <v>1</v>
      </c>
      <c r="V1170">
        <v>1</v>
      </c>
      <c r="W1170" t="s">
        <v>50</v>
      </c>
      <c r="X1170">
        <v>15</v>
      </c>
      <c r="Y1170">
        <v>0</v>
      </c>
      <c r="Z1170">
        <f t="shared" si="108"/>
        <v>40</v>
      </c>
      <c r="AA1170">
        <f t="shared" si="109"/>
        <v>0.61111111111111116</v>
      </c>
      <c r="AB1170">
        <f t="shared" si="110"/>
        <v>32</v>
      </c>
      <c r="AC1170" t="str">
        <f t="shared" si="111"/>
        <v>Low</v>
      </c>
      <c r="AD1170" t="str">
        <f t="shared" si="112"/>
        <v>Upsell premium bundle</v>
      </c>
      <c r="AE1170">
        <f t="shared" si="113"/>
        <v>60</v>
      </c>
    </row>
    <row r="1171" spans="1:31" x14ac:dyDescent="0.35">
      <c r="A1171" t="s">
        <v>1229</v>
      </c>
      <c r="B1171" s="4">
        <v>45091</v>
      </c>
      <c r="C1171" s="4">
        <v>46143</v>
      </c>
      <c r="D1171" t="s">
        <v>72</v>
      </c>
      <c r="E1171">
        <v>25</v>
      </c>
      <c r="F1171" t="s">
        <v>43</v>
      </c>
      <c r="G1171" t="s">
        <v>34</v>
      </c>
      <c r="H1171" t="s">
        <v>41</v>
      </c>
      <c r="I1171" t="s">
        <v>49</v>
      </c>
      <c r="J1171">
        <v>35</v>
      </c>
      <c r="K1171" s="5">
        <v>36.909999999999997</v>
      </c>
      <c r="L1171" s="5">
        <v>56.95</v>
      </c>
      <c r="M1171">
        <v>6</v>
      </c>
      <c r="N1171">
        <v>3</v>
      </c>
      <c r="O1171">
        <v>0</v>
      </c>
      <c r="P1171">
        <v>0</v>
      </c>
      <c r="Q1171">
        <v>2</v>
      </c>
      <c r="R1171">
        <v>3</v>
      </c>
      <c r="S1171">
        <v>0</v>
      </c>
      <c r="T1171">
        <v>1</v>
      </c>
      <c r="U1171">
        <v>1</v>
      </c>
      <c r="V1171">
        <v>0</v>
      </c>
      <c r="W1171" t="s">
        <v>45</v>
      </c>
      <c r="X1171">
        <v>34</v>
      </c>
      <c r="Y1171">
        <v>1</v>
      </c>
      <c r="Z1171">
        <f t="shared" si="108"/>
        <v>19</v>
      </c>
      <c r="AA1171">
        <f t="shared" si="109"/>
        <v>0.12307692307692308</v>
      </c>
      <c r="AB1171">
        <f t="shared" si="110"/>
        <v>45</v>
      </c>
      <c r="AC1171" t="str">
        <f t="shared" si="111"/>
        <v>Medium</v>
      </c>
      <c r="AD1171" t="str">
        <f t="shared" si="112"/>
        <v>Nudge core feature adoption</v>
      </c>
      <c r="AE1171">
        <f t="shared" si="113"/>
        <v>81</v>
      </c>
    </row>
    <row r="1172" spans="1:31" x14ac:dyDescent="0.35">
      <c r="A1172" t="s">
        <v>1230</v>
      </c>
      <c r="B1172" s="4">
        <v>45463</v>
      </c>
      <c r="C1172" s="4">
        <v>46143</v>
      </c>
      <c r="D1172" t="s">
        <v>72</v>
      </c>
      <c r="E1172">
        <v>69</v>
      </c>
      <c r="F1172" t="s">
        <v>57</v>
      </c>
      <c r="G1172" t="s">
        <v>48</v>
      </c>
      <c r="H1172" t="s">
        <v>44</v>
      </c>
      <c r="I1172" t="s">
        <v>36</v>
      </c>
      <c r="J1172">
        <v>22</v>
      </c>
      <c r="K1172" s="5">
        <v>1420.42</v>
      </c>
      <c r="L1172" s="5">
        <v>1273.67</v>
      </c>
      <c r="M1172">
        <v>58</v>
      </c>
      <c r="N1172">
        <v>21</v>
      </c>
      <c r="O1172">
        <v>7</v>
      </c>
      <c r="P1172">
        <v>3</v>
      </c>
      <c r="Q1172">
        <v>34</v>
      </c>
      <c r="R1172">
        <v>0</v>
      </c>
      <c r="S1172">
        <v>2</v>
      </c>
      <c r="T1172">
        <v>0</v>
      </c>
      <c r="U1172">
        <v>1</v>
      </c>
      <c r="V1172">
        <v>1</v>
      </c>
      <c r="W1172" t="s">
        <v>37</v>
      </c>
      <c r="X1172">
        <v>3</v>
      </c>
      <c r="Y1172">
        <v>0</v>
      </c>
      <c r="Z1172">
        <f t="shared" si="108"/>
        <v>100</v>
      </c>
      <c r="AA1172">
        <f t="shared" si="109"/>
        <v>1.7692307692307692</v>
      </c>
      <c r="AB1172">
        <f t="shared" si="110"/>
        <v>23</v>
      </c>
      <c r="AC1172" t="str">
        <f t="shared" si="111"/>
        <v>Low</v>
      </c>
      <c r="AD1172" t="str">
        <f t="shared" si="112"/>
        <v>Upsell premium bundle</v>
      </c>
      <c r="AE1172">
        <f t="shared" si="113"/>
        <v>0</v>
      </c>
    </row>
    <row r="1173" spans="1:31" x14ac:dyDescent="0.35">
      <c r="A1173" t="s">
        <v>1231</v>
      </c>
      <c r="B1173" s="4">
        <v>45599</v>
      </c>
      <c r="C1173" s="4">
        <v>46143</v>
      </c>
      <c r="D1173" t="s">
        <v>47</v>
      </c>
      <c r="E1173">
        <v>48</v>
      </c>
      <c r="F1173" t="s">
        <v>33</v>
      </c>
      <c r="G1173" t="s">
        <v>48</v>
      </c>
      <c r="H1173" t="s">
        <v>41</v>
      </c>
      <c r="I1173" t="s">
        <v>36</v>
      </c>
      <c r="J1173">
        <v>18</v>
      </c>
      <c r="K1173" s="5">
        <v>474.45</v>
      </c>
      <c r="L1173" s="5">
        <v>302.76</v>
      </c>
      <c r="M1173">
        <v>20</v>
      </c>
      <c r="N1173">
        <v>8</v>
      </c>
      <c r="O1173">
        <v>5</v>
      </c>
      <c r="P1173">
        <v>2</v>
      </c>
      <c r="Q1173">
        <v>13</v>
      </c>
      <c r="R1173">
        <v>1</v>
      </c>
      <c r="S1173">
        <v>1</v>
      </c>
      <c r="T1173">
        <v>0</v>
      </c>
      <c r="U1173">
        <v>1</v>
      </c>
      <c r="V1173">
        <v>1</v>
      </c>
      <c r="W1173" t="s">
        <v>45</v>
      </c>
      <c r="X1173">
        <v>-17</v>
      </c>
      <c r="Y1173">
        <v>1</v>
      </c>
      <c r="Z1173">
        <f t="shared" si="108"/>
        <v>63</v>
      </c>
      <c r="AA1173">
        <f t="shared" si="109"/>
        <v>0.6875</v>
      </c>
      <c r="AB1173">
        <f t="shared" si="110"/>
        <v>48</v>
      </c>
      <c r="AC1173" t="str">
        <f t="shared" si="111"/>
        <v>Medium</v>
      </c>
      <c r="AD1173" t="str">
        <f t="shared" si="112"/>
        <v>Nudge core feature adoption</v>
      </c>
      <c r="AE1173">
        <f t="shared" si="113"/>
        <v>37</v>
      </c>
    </row>
    <row r="1174" spans="1:31" x14ac:dyDescent="0.35">
      <c r="A1174" t="s">
        <v>1232</v>
      </c>
      <c r="B1174" s="4">
        <v>45064</v>
      </c>
      <c r="C1174" s="4">
        <v>46143</v>
      </c>
      <c r="D1174" t="s">
        <v>47</v>
      </c>
      <c r="E1174">
        <v>43</v>
      </c>
      <c r="F1174" t="s">
        <v>33</v>
      </c>
      <c r="G1174" t="s">
        <v>67</v>
      </c>
      <c r="H1174" t="s">
        <v>41</v>
      </c>
      <c r="I1174" t="s">
        <v>36</v>
      </c>
      <c r="J1174">
        <v>35</v>
      </c>
      <c r="K1174" s="5">
        <v>852.53</v>
      </c>
      <c r="L1174" s="5">
        <v>241.59</v>
      </c>
      <c r="M1174">
        <v>6</v>
      </c>
      <c r="N1174">
        <v>4</v>
      </c>
      <c r="O1174">
        <v>0</v>
      </c>
      <c r="P1174">
        <v>1</v>
      </c>
      <c r="Q1174">
        <v>9</v>
      </c>
      <c r="R1174">
        <v>0</v>
      </c>
      <c r="S1174">
        <v>0</v>
      </c>
      <c r="T1174">
        <v>1</v>
      </c>
      <c r="U1174">
        <v>1</v>
      </c>
      <c r="V1174">
        <v>0</v>
      </c>
      <c r="W1174" t="s">
        <v>50</v>
      </c>
      <c r="X1174">
        <v>72</v>
      </c>
      <c r="Y1174">
        <v>0</v>
      </c>
      <c r="Z1174">
        <f t="shared" si="108"/>
        <v>27</v>
      </c>
      <c r="AA1174">
        <f t="shared" si="109"/>
        <v>0.23076923076923078</v>
      </c>
      <c r="AB1174">
        <f t="shared" si="110"/>
        <v>11</v>
      </c>
      <c r="AC1174" t="str">
        <f t="shared" si="111"/>
        <v>Low</v>
      </c>
      <c r="AD1174" t="str">
        <f t="shared" si="112"/>
        <v>Upsell premium bundle</v>
      </c>
      <c r="AE1174">
        <f t="shared" si="113"/>
        <v>73</v>
      </c>
    </row>
    <row r="1175" spans="1:31" x14ac:dyDescent="0.35">
      <c r="A1175" t="s">
        <v>1233</v>
      </c>
      <c r="B1175" s="4">
        <v>45070</v>
      </c>
      <c r="C1175" s="4">
        <v>46143</v>
      </c>
      <c r="D1175" t="s">
        <v>47</v>
      </c>
      <c r="E1175">
        <v>40</v>
      </c>
      <c r="F1175" t="s">
        <v>43</v>
      </c>
      <c r="G1175" t="s">
        <v>34</v>
      </c>
      <c r="H1175" t="s">
        <v>58</v>
      </c>
      <c r="I1175" t="s">
        <v>49</v>
      </c>
      <c r="J1175">
        <v>35</v>
      </c>
      <c r="K1175" s="5">
        <v>87.97</v>
      </c>
      <c r="L1175" s="5">
        <v>39.14</v>
      </c>
      <c r="M1175">
        <v>37</v>
      </c>
      <c r="N1175">
        <v>15</v>
      </c>
      <c r="O1175">
        <v>5</v>
      </c>
      <c r="P1175">
        <v>3</v>
      </c>
      <c r="Q1175">
        <v>36</v>
      </c>
      <c r="R1175">
        <v>0</v>
      </c>
      <c r="S1175">
        <v>0</v>
      </c>
      <c r="T1175">
        <v>0</v>
      </c>
      <c r="U1175">
        <v>0</v>
      </c>
      <c r="V1175">
        <v>1</v>
      </c>
      <c r="W1175" t="s">
        <v>55</v>
      </c>
      <c r="X1175">
        <v>75</v>
      </c>
      <c r="Y1175">
        <v>0</v>
      </c>
      <c r="Z1175">
        <f t="shared" si="108"/>
        <v>100</v>
      </c>
      <c r="AA1175">
        <f t="shared" si="109"/>
        <v>1.1230769230769231</v>
      </c>
      <c r="AB1175">
        <f t="shared" si="110"/>
        <v>0</v>
      </c>
      <c r="AC1175" t="str">
        <f t="shared" si="111"/>
        <v>Low</v>
      </c>
      <c r="AD1175" t="str">
        <f t="shared" si="112"/>
        <v>Upsell premium bundle</v>
      </c>
      <c r="AE1175">
        <f t="shared" si="113"/>
        <v>0</v>
      </c>
    </row>
    <row r="1176" spans="1:31" x14ac:dyDescent="0.35">
      <c r="A1176" t="s">
        <v>1234</v>
      </c>
      <c r="B1176" s="4">
        <v>45402</v>
      </c>
      <c r="C1176" s="4">
        <v>46143</v>
      </c>
      <c r="D1176" t="s">
        <v>47</v>
      </c>
      <c r="E1176">
        <v>55</v>
      </c>
      <c r="F1176" t="s">
        <v>77</v>
      </c>
      <c r="G1176" t="s">
        <v>67</v>
      </c>
      <c r="H1176" t="s">
        <v>58</v>
      </c>
      <c r="I1176" t="s">
        <v>54</v>
      </c>
      <c r="J1176">
        <v>24</v>
      </c>
      <c r="K1176" s="5">
        <v>13733.89</v>
      </c>
      <c r="L1176" s="5">
        <v>6326.51</v>
      </c>
      <c r="M1176">
        <v>37</v>
      </c>
      <c r="N1176">
        <v>25</v>
      </c>
      <c r="O1176">
        <v>9</v>
      </c>
      <c r="P1176">
        <v>3</v>
      </c>
      <c r="Q1176">
        <v>29</v>
      </c>
      <c r="R1176">
        <v>1</v>
      </c>
      <c r="S1176">
        <v>0</v>
      </c>
      <c r="T1176">
        <v>0</v>
      </c>
      <c r="U1176">
        <v>0</v>
      </c>
      <c r="V1176">
        <v>1</v>
      </c>
      <c r="W1176" t="s">
        <v>37</v>
      </c>
      <c r="X1176">
        <v>51</v>
      </c>
      <c r="Y1176">
        <v>0</v>
      </c>
      <c r="Z1176">
        <f t="shared" si="108"/>
        <v>100</v>
      </c>
      <c r="AA1176">
        <f t="shared" si="109"/>
        <v>1.2222222222222223</v>
      </c>
      <c r="AB1176">
        <f t="shared" si="110"/>
        <v>0</v>
      </c>
      <c r="AC1176" t="str">
        <f t="shared" si="111"/>
        <v>Low</v>
      </c>
      <c r="AD1176" t="str">
        <f t="shared" si="112"/>
        <v>Upsell premium bundle</v>
      </c>
      <c r="AE1176">
        <f t="shared" si="113"/>
        <v>0</v>
      </c>
    </row>
    <row r="1177" spans="1:31" x14ac:dyDescent="0.35">
      <c r="A1177" t="s">
        <v>1235</v>
      </c>
      <c r="B1177" s="4">
        <v>45322</v>
      </c>
      <c r="C1177" s="4">
        <v>46143</v>
      </c>
      <c r="D1177" t="s">
        <v>39</v>
      </c>
      <c r="E1177">
        <v>36</v>
      </c>
      <c r="F1177" t="s">
        <v>33</v>
      </c>
      <c r="G1177" t="s">
        <v>85</v>
      </c>
      <c r="H1177" t="s">
        <v>41</v>
      </c>
      <c r="I1177" t="s">
        <v>36</v>
      </c>
      <c r="J1177">
        <v>27</v>
      </c>
      <c r="K1177" s="5">
        <v>796.16</v>
      </c>
      <c r="L1177" s="5">
        <v>175.03</v>
      </c>
      <c r="M1177">
        <v>18</v>
      </c>
      <c r="N1177">
        <v>8</v>
      </c>
      <c r="O1177">
        <v>2</v>
      </c>
      <c r="P1177">
        <v>0</v>
      </c>
      <c r="Q1177">
        <v>4</v>
      </c>
      <c r="R1177">
        <v>0</v>
      </c>
      <c r="S1177">
        <v>0</v>
      </c>
      <c r="T1177">
        <v>1</v>
      </c>
      <c r="U1177">
        <v>1</v>
      </c>
      <c r="V1177">
        <v>0</v>
      </c>
      <c r="W1177" t="s">
        <v>52</v>
      </c>
      <c r="X1177">
        <v>18</v>
      </c>
      <c r="Y1177">
        <v>0</v>
      </c>
      <c r="Z1177">
        <f t="shared" si="108"/>
        <v>39</v>
      </c>
      <c r="AA1177">
        <f t="shared" si="109"/>
        <v>0.38596491228070173</v>
      </c>
      <c r="AB1177">
        <f t="shared" si="110"/>
        <v>33</v>
      </c>
      <c r="AC1177" t="str">
        <f t="shared" si="111"/>
        <v>Low</v>
      </c>
      <c r="AD1177" t="str">
        <f t="shared" si="112"/>
        <v>Upsell premium bundle</v>
      </c>
      <c r="AE1177">
        <f t="shared" si="113"/>
        <v>61</v>
      </c>
    </row>
    <row r="1178" spans="1:31" x14ac:dyDescent="0.35">
      <c r="A1178" t="s">
        <v>1236</v>
      </c>
      <c r="B1178" s="4">
        <v>44869</v>
      </c>
      <c r="C1178" s="4">
        <v>46143</v>
      </c>
      <c r="D1178" t="s">
        <v>60</v>
      </c>
      <c r="E1178">
        <v>18</v>
      </c>
      <c r="F1178" t="s">
        <v>61</v>
      </c>
      <c r="G1178" t="s">
        <v>34</v>
      </c>
      <c r="H1178" t="s">
        <v>41</v>
      </c>
      <c r="I1178" t="s">
        <v>36</v>
      </c>
      <c r="J1178">
        <v>42</v>
      </c>
      <c r="K1178" s="5">
        <v>4155.43</v>
      </c>
      <c r="L1178" s="5">
        <v>0</v>
      </c>
      <c r="M1178">
        <v>25</v>
      </c>
      <c r="N1178">
        <v>12</v>
      </c>
      <c r="O1178">
        <v>2</v>
      </c>
      <c r="P1178">
        <v>2</v>
      </c>
      <c r="Q1178">
        <v>18</v>
      </c>
      <c r="R1178">
        <v>2</v>
      </c>
      <c r="S1178">
        <v>0</v>
      </c>
      <c r="T1178">
        <v>0</v>
      </c>
      <c r="U1178">
        <v>0</v>
      </c>
      <c r="V1178">
        <v>0</v>
      </c>
      <c r="W1178" t="s">
        <v>52</v>
      </c>
      <c r="X1178">
        <v>-26</v>
      </c>
      <c r="Y1178">
        <v>1</v>
      </c>
      <c r="Z1178">
        <f t="shared" si="108"/>
        <v>57</v>
      </c>
      <c r="AA1178">
        <f t="shared" si="109"/>
        <v>0.59722222222222221</v>
      </c>
      <c r="AB1178">
        <f t="shared" si="110"/>
        <v>45</v>
      </c>
      <c r="AC1178" t="str">
        <f t="shared" si="111"/>
        <v>Medium</v>
      </c>
      <c r="AD1178" t="str">
        <f t="shared" si="112"/>
        <v>Nudge core feature adoption</v>
      </c>
      <c r="AE1178">
        <f t="shared" si="113"/>
        <v>43</v>
      </c>
    </row>
    <row r="1179" spans="1:31" x14ac:dyDescent="0.35">
      <c r="A1179" t="s">
        <v>1237</v>
      </c>
      <c r="B1179" s="4">
        <v>46031</v>
      </c>
      <c r="C1179" s="4">
        <v>46143</v>
      </c>
      <c r="D1179" t="s">
        <v>66</v>
      </c>
      <c r="E1179">
        <v>55</v>
      </c>
      <c r="F1179" t="s">
        <v>77</v>
      </c>
      <c r="G1179" t="s">
        <v>34</v>
      </c>
      <c r="H1179" t="s">
        <v>58</v>
      </c>
      <c r="I1179" t="s">
        <v>36</v>
      </c>
      <c r="J1179">
        <v>3</v>
      </c>
      <c r="K1179" s="5">
        <v>13177.33</v>
      </c>
      <c r="L1179" s="5">
        <v>2307.79</v>
      </c>
      <c r="M1179">
        <v>32</v>
      </c>
      <c r="N1179">
        <v>8</v>
      </c>
      <c r="O1179">
        <v>5</v>
      </c>
      <c r="P1179">
        <v>2</v>
      </c>
      <c r="Q1179">
        <v>22</v>
      </c>
      <c r="R1179">
        <v>0</v>
      </c>
      <c r="S1179">
        <v>0</v>
      </c>
      <c r="T1179">
        <v>1</v>
      </c>
      <c r="U1179">
        <v>0</v>
      </c>
      <c r="V1179">
        <v>0</v>
      </c>
      <c r="W1179" t="s">
        <v>52</v>
      </c>
      <c r="X1179">
        <v>27</v>
      </c>
      <c r="Y1179">
        <v>0</v>
      </c>
      <c r="Z1179">
        <f t="shared" si="108"/>
        <v>69</v>
      </c>
      <c r="AA1179">
        <f t="shared" si="109"/>
        <v>1.6363636363636365</v>
      </c>
      <c r="AB1179">
        <f t="shared" si="110"/>
        <v>0</v>
      </c>
      <c r="AC1179" t="str">
        <f t="shared" si="111"/>
        <v>Low</v>
      </c>
      <c r="AD1179" t="str">
        <f t="shared" si="112"/>
        <v>Upsell premium bundle</v>
      </c>
      <c r="AE1179">
        <f t="shared" si="113"/>
        <v>31</v>
      </c>
    </row>
    <row r="1180" spans="1:31" x14ac:dyDescent="0.35">
      <c r="A1180" t="s">
        <v>1238</v>
      </c>
      <c r="B1180" s="4">
        <v>45537</v>
      </c>
      <c r="C1180" s="4">
        <v>46143</v>
      </c>
      <c r="D1180" t="s">
        <v>72</v>
      </c>
      <c r="E1180">
        <v>65</v>
      </c>
      <c r="F1180" t="s">
        <v>61</v>
      </c>
      <c r="G1180" t="s">
        <v>34</v>
      </c>
      <c r="H1180" t="s">
        <v>58</v>
      </c>
      <c r="I1180" t="s">
        <v>49</v>
      </c>
      <c r="J1180">
        <v>20</v>
      </c>
      <c r="K1180" s="5">
        <v>3928.91</v>
      </c>
      <c r="L1180" s="5">
        <v>2603.98</v>
      </c>
      <c r="M1180">
        <v>27</v>
      </c>
      <c r="N1180">
        <v>12</v>
      </c>
      <c r="O1180">
        <v>6</v>
      </c>
      <c r="P1180">
        <v>3</v>
      </c>
      <c r="Q1180">
        <v>15</v>
      </c>
      <c r="R1180">
        <v>3</v>
      </c>
      <c r="S1180">
        <v>0</v>
      </c>
      <c r="T1180">
        <v>0</v>
      </c>
      <c r="U1180">
        <v>1</v>
      </c>
      <c r="V1180">
        <v>0</v>
      </c>
      <c r="W1180" t="s">
        <v>52</v>
      </c>
      <c r="X1180">
        <v>96</v>
      </c>
      <c r="Y1180">
        <v>1</v>
      </c>
      <c r="Z1180">
        <f t="shared" si="108"/>
        <v>71</v>
      </c>
      <c r="AA1180">
        <f t="shared" si="109"/>
        <v>0.84</v>
      </c>
      <c r="AB1180">
        <f t="shared" si="110"/>
        <v>0</v>
      </c>
      <c r="AC1180" t="str">
        <f t="shared" si="111"/>
        <v>Low</v>
      </c>
      <c r="AD1180" t="str">
        <f t="shared" si="112"/>
        <v>Upsell premium bundle</v>
      </c>
      <c r="AE1180">
        <f t="shared" si="113"/>
        <v>29</v>
      </c>
    </row>
    <row r="1181" spans="1:31" x14ac:dyDescent="0.35">
      <c r="A1181" t="s">
        <v>1239</v>
      </c>
      <c r="B1181" s="4">
        <v>45203</v>
      </c>
      <c r="C1181" s="4">
        <v>46143</v>
      </c>
      <c r="D1181" t="s">
        <v>66</v>
      </c>
      <c r="E1181">
        <v>35</v>
      </c>
      <c r="F1181" t="s">
        <v>33</v>
      </c>
      <c r="G1181" t="s">
        <v>34</v>
      </c>
      <c r="H1181" t="s">
        <v>41</v>
      </c>
      <c r="I1181" t="s">
        <v>36</v>
      </c>
      <c r="J1181">
        <v>31</v>
      </c>
      <c r="K1181" s="5">
        <v>189.5</v>
      </c>
      <c r="L1181" s="5">
        <v>445.98</v>
      </c>
      <c r="M1181">
        <v>33</v>
      </c>
      <c r="N1181">
        <v>19</v>
      </c>
      <c r="O1181">
        <v>4</v>
      </c>
      <c r="P1181">
        <v>7</v>
      </c>
      <c r="Q1181">
        <v>17</v>
      </c>
      <c r="R1181">
        <v>0</v>
      </c>
      <c r="S1181">
        <v>0</v>
      </c>
      <c r="T1181">
        <v>0</v>
      </c>
      <c r="U1181">
        <v>0</v>
      </c>
      <c r="V1181">
        <v>1</v>
      </c>
      <c r="W1181" t="s">
        <v>37</v>
      </c>
      <c r="X1181">
        <v>38</v>
      </c>
      <c r="Y1181">
        <v>0</v>
      </c>
      <c r="Z1181">
        <f t="shared" si="108"/>
        <v>87</v>
      </c>
      <c r="AA1181">
        <f t="shared" si="109"/>
        <v>0.81967213114754101</v>
      </c>
      <c r="AB1181">
        <f t="shared" si="110"/>
        <v>4</v>
      </c>
      <c r="AC1181" t="str">
        <f t="shared" si="111"/>
        <v>Low</v>
      </c>
      <c r="AD1181" t="str">
        <f t="shared" si="112"/>
        <v>Upsell premium bundle</v>
      </c>
      <c r="AE1181">
        <f t="shared" si="113"/>
        <v>13</v>
      </c>
    </row>
    <row r="1182" spans="1:31" x14ac:dyDescent="0.35">
      <c r="A1182" t="s">
        <v>1240</v>
      </c>
      <c r="B1182" s="4">
        <v>45988</v>
      </c>
      <c r="C1182" s="4">
        <v>46143</v>
      </c>
      <c r="D1182" t="s">
        <v>66</v>
      </c>
      <c r="E1182">
        <v>52</v>
      </c>
      <c r="F1182" t="s">
        <v>43</v>
      </c>
      <c r="G1182" t="s">
        <v>48</v>
      </c>
      <c r="H1182" t="s">
        <v>35</v>
      </c>
      <c r="I1182" t="s">
        <v>36</v>
      </c>
      <c r="J1182">
        <v>5</v>
      </c>
      <c r="K1182" s="5">
        <v>37.81</v>
      </c>
      <c r="L1182" s="5">
        <v>19.25</v>
      </c>
      <c r="M1182">
        <v>32</v>
      </c>
      <c r="N1182">
        <v>12</v>
      </c>
      <c r="O1182">
        <v>7</v>
      </c>
      <c r="P1182">
        <v>3</v>
      </c>
      <c r="Q1182">
        <v>15</v>
      </c>
      <c r="R1182">
        <v>0</v>
      </c>
      <c r="S1182">
        <v>0</v>
      </c>
      <c r="T1182">
        <v>1</v>
      </c>
      <c r="U1182">
        <v>0</v>
      </c>
      <c r="V1182">
        <v>0</v>
      </c>
      <c r="W1182" t="s">
        <v>45</v>
      </c>
      <c r="X1182">
        <v>91</v>
      </c>
      <c r="Y1182">
        <v>0</v>
      </c>
      <c r="Z1182">
        <f t="shared" si="108"/>
        <v>70</v>
      </c>
      <c r="AA1182">
        <f t="shared" si="109"/>
        <v>1.3428571428571427</v>
      </c>
      <c r="AB1182">
        <f t="shared" si="110"/>
        <v>0</v>
      </c>
      <c r="AC1182" t="str">
        <f t="shared" si="111"/>
        <v>Low</v>
      </c>
      <c r="AD1182" t="str">
        <f t="shared" si="112"/>
        <v>Upsell premium bundle</v>
      </c>
      <c r="AE1182">
        <f t="shared" si="113"/>
        <v>30</v>
      </c>
    </row>
    <row r="1183" spans="1:31" x14ac:dyDescent="0.35">
      <c r="A1183" t="s">
        <v>1241</v>
      </c>
      <c r="B1183" s="4">
        <v>46063</v>
      </c>
      <c r="C1183" s="4">
        <v>46143</v>
      </c>
      <c r="D1183" t="s">
        <v>66</v>
      </c>
      <c r="E1183">
        <v>37</v>
      </c>
      <c r="F1183" t="s">
        <v>43</v>
      </c>
      <c r="G1183" t="s">
        <v>67</v>
      </c>
      <c r="H1183" t="s">
        <v>41</v>
      </c>
      <c r="I1183" t="s">
        <v>49</v>
      </c>
      <c r="J1183">
        <v>2</v>
      </c>
      <c r="K1183" s="5">
        <v>95.21</v>
      </c>
      <c r="L1183" s="5">
        <v>89.41</v>
      </c>
      <c r="M1183">
        <v>45</v>
      </c>
      <c r="N1183">
        <v>22</v>
      </c>
      <c r="O1183">
        <v>6</v>
      </c>
      <c r="P1183">
        <v>9</v>
      </c>
      <c r="Q1183">
        <v>26</v>
      </c>
      <c r="R1183">
        <v>4</v>
      </c>
      <c r="S1183">
        <v>1</v>
      </c>
      <c r="T1183">
        <v>0</v>
      </c>
      <c r="U1183">
        <v>1</v>
      </c>
      <c r="V1183">
        <v>0</v>
      </c>
      <c r="W1183" t="s">
        <v>55</v>
      </c>
      <c r="X1183">
        <v>-3</v>
      </c>
      <c r="Y1183">
        <v>0</v>
      </c>
      <c r="Z1183">
        <f t="shared" si="108"/>
        <v>100</v>
      </c>
      <c r="AA1183">
        <f t="shared" si="109"/>
        <v>2.21875</v>
      </c>
      <c r="AB1183">
        <f t="shared" si="110"/>
        <v>38</v>
      </c>
      <c r="AC1183" t="str">
        <f t="shared" si="111"/>
        <v>Low</v>
      </c>
      <c r="AD1183" t="str">
        <f t="shared" si="112"/>
        <v>Upsell premium bundle</v>
      </c>
      <c r="AE1183">
        <f t="shared" si="113"/>
        <v>0</v>
      </c>
    </row>
    <row r="1184" spans="1:31" x14ac:dyDescent="0.35">
      <c r="A1184" t="s">
        <v>1242</v>
      </c>
      <c r="B1184" s="4">
        <v>45719</v>
      </c>
      <c r="C1184" s="4">
        <v>46143</v>
      </c>
      <c r="D1184" t="s">
        <v>39</v>
      </c>
      <c r="E1184">
        <v>46</v>
      </c>
      <c r="F1184" t="s">
        <v>33</v>
      </c>
      <c r="G1184" t="s">
        <v>40</v>
      </c>
      <c r="H1184" t="s">
        <v>41</v>
      </c>
      <c r="I1184" t="s">
        <v>49</v>
      </c>
      <c r="J1184">
        <v>14</v>
      </c>
      <c r="K1184" s="5">
        <v>385.77</v>
      </c>
      <c r="L1184" s="5">
        <v>446.89</v>
      </c>
      <c r="M1184">
        <v>29</v>
      </c>
      <c r="N1184">
        <v>14</v>
      </c>
      <c r="O1184">
        <v>6</v>
      </c>
      <c r="P1184">
        <v>3</v>
      </c>
      <c r="Q1184">
        <v>23</v>
      </c>
      <c r="R1184">
        <v>0</v>
      </c>
      <c r="S1184">
        <v>1</v>
      </c>
      <c r="T1184">
        <v>0</v>
      </c>
      <c r="U1184">
        <v>0</v>
      </c>
      <c r="V1184">
        <v>1</v>
      </c>
      <c r="W1184" t="s">
        <v>52</v>
      </c>
      <c r="X1184">
        <v>27</v>
      </c>
      <c r="Y1184">
        <v>0</v>
      </c>
      <c r="Z1184">
        <f t="shared" si="108"/>
        <v>81</v>
      </c>
      <c r="AA1184">
        <f t="shared" si="109"/>
        <v>1.1818181818181819</v>
      </c>
      <c r="AB1184">
        <f t="shared" si="110"/>
        <v>36</v>
      </c>
      <c r="AC1184" t="str">
        <f t="shared" si="111"/>
        <v>Low</v>
      </c>
      <c r="AD1184" t="str">
        <f t="shared" si="112"/>
        <v>Upsell premium bundle</v>
      </c>
      <c r="AE1184">
        <f t="shared" si="113"/>
        <v>19</v>
      </c>
    </row>
    <row r="1185" spans="1:31" x14ac:dyDescent="0.35">
      <c r="A1185" t="s">
        <v>1243</v>
      </c>
      <c r="B1185" s="4">
        <v>45434</v>
      </c>
      <c r="C1185" s="4">
        <v>46143</v>
      </c>
      <c r="D1185" t="s">
        <v>39</v>
      </c>
      <c r="E1185">
        <v>30</v>
      </c>
      <c r="F1185" t="s">
        <v>57</v>
      </c>
      <c r="G1185" t="s">
        <v>40</v>
      </c>
      <c r="H1185" t="s">
        <v>58</v>
      </c>
      <c r="I1185" t="s">
        <v>54</v>
      </c>
      <c r="J1185">
        <v>23</v>
      </c>
      <c r="K1185" s="5">
        <v>2933.06</v>
      </c>
      <c r="L1185" s="5">
        <v>631.96</v>
      </c>
      <c r="M1185">
        <v>20</v>
      </c>
      <c r="N1185">
        <v>9</v>
      </c>
      <c r="O1185">
        <v>1</v>
      </c>
      <c r="P1185">
        <v>0</v>
      </c>
      <c r="Q1185">
        <v>35</v>
      </c>
      <c r="R1185">
        <v>3</v>
      </c>
      <c r="S1185">
        <v>0</v>
      </c>
      <c r="T1185">
        <v>1</v>
      </c>
      <c r="U1185">
        <v>0</v>
      </c>
      <c r="V1185">
        <v>0</v>
      </c>
      <c r="W1185" t="s">
        <v>52</v>
      </c>
      <c r="X1185">
        <v>45</v>
      </c>
      <c r="Y1185">
        <v>0</v>
      </c>
      <c r="Z1185">
        <f t="shared" si="108"/>
        <v>61</v>
      </c>
      <c r="AA1185">
        <f t="shared" si="109"/>
        <v>1.0377358490566038</v>
      </c>
      <c r="AB1185">
        <f t="shared" si="110"/>
        <v>13</v>
      </c>
      <c r="AC1185" t="str">
        <f t="shared" si="111"/>
        <v>Low</v>
      </c>
      <c r="AD1185" t="str">
        <f t="shared" si="112"/>
        <v>Upsell premium bundle</v>
      </c>
      <c r="AE1185">
        <f t="shared" si="113"/>
        <v>39</v>
      </c>
    </row>
    <row r="1186" spans="1:31" x14ac:dyDescent="0.35">
      <c r="A1186" t="s">
        <v>1244</v>
      </c>
      <c r="B1186" s="4">
        <v>45855</v>
      </c>
      <c r="C1186" s="4">
        <v>46143</v>
      </c>
      <c r="D1186" t="s">
        <v>39</v>
      </c>
      <c r="E1186">
        <v>37</v>
      </c>
      <c r="F1186" t="s">
        <v>61</v>
      </c>
      <c r="G1186" t="s">
        <v>85</v>
      </c>
      <c r="H1186" t="s">
        <v>58</v>
      </c>
      <c r="I1186" t="s">
        <v>36</v>
      </c>
      <c r="J1186">
        <v>9</v>
      </c>
      <c r="K1186" s="5">
        <v>60.41</v>
      </c>
      <c r="L1186" s="5">
        <v>2900.02</v>
      </c>
      <c r="M1186">
        <v>50</v>
      </c>
      <c r="N1186">
        <v>21</v>
      </c>
      <c r="O1186">
        <v>4</v>
      </c>
      <c r="P1186">
        <v>4</v>
      </c>
      <c r="Q1186">
        <v>35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55</v>
      </c>
      <c r="X1186">
        <v>36</v>
      </c>
      <c r="Y1186">
        <v>0</v>
      </c>
      <c r="Z1186">
        <f t="shared" si="108"/>
        <v>100</v>
      </c>
      <c r="AA1186">
        <f t="shared" si="109"/>
        <v>2.1794871794871793</v>
      </c>
      <c r="AB1186">
        <f t="shared" si="110"/>
        <v>0</v>
      </c>
      <c r="AC1186" t="str">
        <f t="shared" si="111"/>
        <v>Low</v>
      </c>
      <c r="AD1186" t="str">
        <f t="shared" si="112"/>
        <v>Upsell premium bundle</v>
      </c>
      <c r="AE1186">
        <f t="shared" si="113"/>
        <v>0</v>
      </c>
    </row>
    <row r="1187" spans="1:31" x14ac:dyDescent="0.35">
      <c r="A1187" t="s">
        <v>1245</v>
      </c>
      <c r="B1187" s="4">
        <v>45671</v>
      </c>
      <c r="C1187" s="4">
        <v>46143</v>
      </c>
      <c r="D1187" t="s">
        <v>72</v>
      </c>
      <c r="E1187">
        <v>43</v>
      </c>
      <c r="F1187" t="s">
        <v>61</v>
      </c>
      <c r="G1187" t="s">
        <v>85</v>
      </c>
      <c r="H1187" t="s">
        <v>41</v>
      </c>
      <c r="I1187" t="s">
        <v>36</v>
      </c>
      <c r="J1187">
        <v>15</v>
      </c>
      <c r="K1187" s="5">
        <v>1428.26</v>
      </c>
      <c r="L1187" s="5">
        <v>5478.99</v>
      </c>
      <c r="M1187">
        <v>14</v>
      </c>
      <c r="N1187">
        <v>5</v>
      </c>
      <c r="O1187">
        <v>2</v>
      </c>
      <c r="P1187">
        <v>2</v>
      </c>
      <c r="Q1187">
        <v>10</v>
      </c>
      <c r="R1187">
        <v>0</v>
      </c>
      <c r="S1187">
        <v>1</v>
      </c>
      <c r="T1187">
        <v>1</v>
      </c>
      <c r="U1187">
        <v>0</v>
      </c>
      <c r="V1187">
        <v>0</v>
      </c>
      <c r="W1187" t="s">
        <v>52</v>
      </c>
      <c r="X1187">
        <v>25</v>
      </c>
      <c r="Y1187">
        <v>0</v>
      </c>
      <c r="Z1187">
        <f t="shared" si="108"/>
        <v>33</v>
      </c>
      <c r="AA1187">
        <f t="shared" si="109"/>
        <v>0.53333333333333333</v>
      </c>
      <c r="AB1187">
        <f t="shared" si="110"/>
        <v>30</v>
      </c>
      <c r="AC1187" t="str">
        <f t="shared" si="111"/>
        <v>Low</v>
      </c>
      <c r="AD1187" t="str">
        <f t="shared" si="112"/>
        <v>Upsell premium bundle</v>
      </c>
      <c r="AE1187">
        <f t="shared" si="113"/>
        <v>67</v>
      </c>
    </row>
    <row r="1188" spans="1:31" x14ac:dyDescent="0.35">
      <c r="A1188" t="s">
        <v>1246</v>
      </c>
      <c r="B1188" s="4">
        <v>45673</v>
      </c>
      <c r="C1188" s="4">
        <v>46143</v>
      </c>
      <c r="D1188" t="s">
        <v>60</v>
      </c>
      <c r="E1188">
        <v>47</v>
      </c>
      <c r="F1188" t="s">
        <v>57</v>
      </c>
      <c r="G1188" t="s">
        <v>85</v>
      </c>
      <c r="H1188" t="s">
        <v>41</v>
      </c>
      <c r="I1188" t="s">
        <v>36</v>
      </c>
      <c r="J1188">
        <v>15</v>
      </c>
      <c r="K1188" s="5">
        <v>196.91</v>
      </c>
      <c r="L1188" s="5">
        <v>1408.93</v>
      </c>
      <c r="M1188">
        <v>17</v>
      </c>
      <c r="N1188">
        <v>12</v>
      </c>
      <c r="O1188">
        <v>2</v>
      </c>
      <c r="P1188">
        <v>2</v>
      </c>
      <c r="Q1188">
        <v>12</v>
      </c>
      <c r="R1188">
        <v>1</v>
      </c>
      <c r="S1188">
        <v>1</v>
      </c>
      <c r="T1188">
        <v>0</v>
      </c>
      <c r="U1188">
        <v>1</v>
      </c>
      <c r="V1188">
        <v>0</v>
      </c>
      <c r="W1188" t="s">
        <v>52</v>
      </c>
      <c r="X1188">
        <v>23</v>
      </c>
      <c r="Y1188">
        <v>1</v>
      </c>
      <c r="Z1188">
        <f t="shared" si="108"/>
        <v>51</v>
      </c>
      <c r="AA1188">
        <f t="shared" si="109"/>
        <v>0.64444444444444449</v>
      </c>
      <c r="AB1188">
        <f t="shared" si="110"/>
        <v>33</v>
      </c>
      <c r="AC1188" t="str">
        <f t="shared" si="111"/>
        <v>Low</v>
      </c>
      <c r="AD1188" t="str">
        <f t="shared" si="112"/>
        <v>Upsell premium bundle</v>
      </c>
      <c r="AE1188">
        <f t="shared" si="113"/>
        <v>49</v>
      </c>
    </row>
    <row r="1189" spans="1:31" x14ac:dyDescent="0.35">
      <c r="A1189" t="s">
        <v>1247</v>
      </c>
      <c r="B1189" s="4">
        <v>44821</v>
      </c>
      <c r="C1189" s="4">
        <v>46143</v>
      </c>
      <c r="D1189" t="s">
        <v>32</v>
      </c>
      <c r="E1189">
        <v>34</v>
      </c>
      <c r="F1189" t="s">
        <v>43</v>
      </c>
      <c r="G1189" t="s">
        <v>48</v>
      </c>
      <c r="H1189" t="s">
        <v>58</v>
      </c>
      <c r="I1189" t="s">
        <v>36</v>
      </c>
      <c r="J1189">
        <v>44</v>
      </c>
      <c r="K1189" s="5">
        <v>45.61</v>
      </c>
      <c r="L1189" s="5">
        <v>70.97</v>
      </c>
      <c r="M1189">
        <v>22</v>
      </c>
      <c r="N1189">
        <v>10</v>
      </c>
      <c r="O1189">
        <v>1</v>
      </c>
      <c r="P1189">
        <v>1</v>
      </c>
      <c r="Q1189">
        <v>36</v>
      </c>
      <c r="R1189">
        <v>2</v>
      </c>
      <c r="S1189">
        <v>0</v>
      </c>
      <c r="T1189">
        <v>0</v>
      </c>
      <c r="U1189">
        <v>0</v>
      </c>
      <c r="V1189">
        <v>1</v>
      </c>
      <c r="W1189" t="s">
        <v>52</v>
      </c>
      <c r="X1189">
        <v>28</v>
      </c>
      <c r="Y1189">
        <v>0</v>
      </c>
      <c r="Z1189">
        <f t="shared" si="108"/>
        <v>73</v>
      </c>
      <c r="AA1189">
        <f t="shared" si="109"/>
        <v>0.78378378378378377</v>
      </c>
      <c r="AB1189">
        <f t="shared" si="110"/>
        <v>2</v>
      </c>
      <c r="AC1189" t="str">
        <f t="shared" si="111"/>
        <v>Low</v>
      </c>
      <c r="AD1189" t="str">
        <f t="shared" si="112"/>
        <v>Upsell premium bundle</v>
      </c>
      <c r="AE1189">
        <f t="shared" si="113"/>
        <v>27</v>
      </c>
    </row>
    <row r="1190" spans="1:31" x14ac:dyDescent="0.35">
      <c r="A1190" t="s">
        <v>1248</v>
      </c>
      <c r="B1190" s="4">
        <v>44897</v>
      </c>
      <c r="C1190" s="4">
        <v>46143</v>
      </c>
      <c r="D1190" t="s">
        <v>39</v>
      </c>
      <c r="E1190">
        <v>23</v>
      </c>
      <c r="F1190" t="s">
        <v>33</v>
      </c>
      <c r="G1190" t="s">
        <v>40</v>
      </c>
      <c r="H1190" t="s">
        <v>41</v>
      </c>
      <c r="I1190" t="s">
        <v>36</v>
      </c>
      <c r="J1190">
        <v>41</v>
      </c>
      <c r="K1190" s="5">
        <v>281.22000000000003</v>
      </c>
      <c r="L1190" s="5">
        <v>205.8</v>
      </c>
      <c r="M1190">
        <v>16</v>
      </c>
      <c r="N1190">
        <v>10</v>
      </c>
      <c r="O1190">
        <v>1</v>
      </c>
      <c r="P1190">
        <v>2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 t="s">
        <v>45</v>
      </c>
      <c r="X1190">
        <v>-3</v>
      </c>
      <c r="Y1190">
        <v>1</v>
      </c>
      <c r="Z1190">
        <f t="shared" si="108"/>
        <v>29</v>
      </c>
      <c r="AA1190">
        <f t="shared" si="109"/>
        <v>0.22535211267605634</v>
      </c>
      <c r="AB1190">
        <f t="shared" si="110"/>
        <v>48</v>
      </c>
      <c r="AC1190" t="str">
        <f t="shared" si="111"/>
        <v>Medium</v>
      </c>
      <c r="AD1190" t="str">
        <f t="shared" si="112"/>
        <v>Nudge core feature adoption</v>
      </c>
      <c r="AE1190">
        <f t="shared" si="113"/>
        <v>71</v>
      </c>
    </row>
    <row r="1191" spans="1:31" x14ac:dyDescent="0.35">
      <c r="A1191" t="s">
        <v>1249</v>
      </c>
      <c r="B1191" s="4">
        <v>44781</v>
      </c>
      <c r="C1191" s="4">
        <v>46143</v>
      </c>
      <c r="D1191" t="s">
        <v>72</v>
      </c>
      <c r="E1191">
        <v>19</v>
      </c>
      <c r="F1191" t="s">
        <v>57</v>
      </c>
      <c r="G1191" t="s">
        <v>34</v>
      </c>
      <c r="H1191" t="s">
        <v>41</v>
      </c>
      <c r="I1191" t="s">
        <v>36</v>
      </c>
      <c r="J1191">
        <v>45</v>
      </c>
      <c r="K1191" s="5">
        <v>359.29</v>
      </c>
      <c r="L1191" s="5">
        <v>0</v>
      </c>
      <c r="M1191">
        <v>33</v>
      </c>
      <c r="N1191">
        <v>9</v>
      </c>
      <c r="O1191">
        <v>2</v>
      </c>
      <c r="P1191">
        <v>3</v>
      </c>
      <c r="Q1191">
        <v>24</v>
      </c>
      <c r="R1191">
        <v>0</v>
      </c>
      <c r="S1191">
        <v>0</v>
      </c>
      <c r="T1191">
        <v>1</v>
      </c>
      <c r="U1191">
        <v>1</v>
      </c>
      <c r="V1191">
        <v>1</v>
      </c>
      <c r="W1191" t="s">
        <v>52</v>
      </c>
      <c r="X1191">
        <v>58</v>
      </c>
      <c r="Y1191">
        <v>0</v>
      </c>
      <c r="Z1191">
        <f t="shared" si="108"/>
        <v>86</v>
      </c>
      <c r="AA1191">
        <f t="shared" si="109"/>
        <v>0.76</v>
      </c>
      <c r="AB1191">
        <f t="shared" si="110"/>
        <v>0</v>
      </c>
      <c r="AC1191" t="str">
        <f t="shared" si="111"/>
        <v>Low</v>
      </c>
      <c r="AD1191" t="str">
        <f t="shared" si="112"/>
        <v>Upsell premium bundle</v>
      </c>
      <c r="AE1191">
        <f t="shared" si="113"/>
        <v>14</v>
      </c>
    </row>
    <row r="1192" spans="1:31" x14ac:dyDescent="0.35">
      <c r="A1192" t="s">
        <v>1250</v>
      </c>
      <c r="B1192" s="4">
        <v>44716</v>
      </c>
      <c r="C1192" s="4">
        <v>46143</v>
      </c>
      <c r="D1192" t="s">
        <v>72</v>
      </c>
      <c r="E1192">
        <v>69</v>
      </c>
      <c r="F1192" t="s">
        <v>43</v>
      </c>
      <c r="G1192" t="s">
        <v>40</v>
      </c>
      <c r="H1192" t="s">
        <v>58</v>
      </c>
      <c r="I1192" t="s">
        <v>36</v>
      </c>
      <c r="J1192">
        <v>47</v>
      </c>
      <c r="K1192" s="5">
        <v>63.17</v>
      </c>
      <c r="L1192" s="5">
        <v>90.09</v>
      </c>
      <c r="M1192">
        <v>29</v>
      </c>
      <c r="N1192">
        <v>15</v>
      </c>
      <c r="O1192">
        <v>6</v>
      </c>
      <c r="P1192">
        <v>0</v>
      </c>
      <c r="Q1192">
        <v>31</v>
      </c>
      <c r="R1192">
        <v>0</v>
      </c>
      <c r="S1192">
        <v>1</v>
      </c>
      <c r="T1192">
        <v>1</v>
      </c>
      <c r="U1192">
        <v>0</v>
      </c>
      <c r="V1192">
        <v>1</v>
      </c>
      <c r="W1192" t="s">
        <v>37</v>
      </c>
      <c r="X1192">
        <v>55</v>
      </c>
      <c r="Y1192">
        <v>0</v>
      </c>
      <c r="Z1192">
        <f t="shared" si="108"/>
        <v>85</v>
      </c>
      <c r="AA1192">
        <f t="shared" si="109"/>
        <v>0.77922077922077926</v>
      </c>
      <c r="AB1192">
        <f t="shared" si="110"/>
        <v>0</v>
      </c>
      <c r="AC1192" t="str">
        <f t="shared" si="111"/>
        <v>Low</v>
      </c>
      <c r="AD1192" t="str">
        <f t="shared" si="112"/>
        <v>Upsell premium bundle</v>
      </c>
      <c r="AE1192">
        <f t="shared" si="113"/>
        <v>15</v>
      </c>
    </row>
    <row r="1193" spans="1:31" x14ac:dyDescent="0.35">
      <c r="A1193" t="s">
        <v>1251</v>
      </c>
      <c r="B1193" s="4">
        <v>44784</v>
      </c>
      <c r="C1193" s="4">
        <v>46143</v>
      </c>
      <c r="D1193" t="s">
        <v>39</v>
      </c>
      <c r="E1193">
        <v>46</v>
      </c>
      <c r="F1193" t="s">
        <v>57</v>
      </c>
      <c r="G1193" t="s">
        <v>48</v>
      </c>
      <c r="H1193" t="s">
        <v>41</v>
      </c>
      <c r="I1193" t="s">
        <v>36</v>
      </c>
      <c r="J1193">
        <v>45</v>
      </c>
      <c r="K1193" s="5">
        <v>977.8</v>
      </c>
      <c r="L1193" s="5">
        <v>0</v>
      </c>
      <c r="M1193">
        <v>23</v>
      </c>
      <c r="N1193">
        <v>8</v>
      </c>
      <c r="O1193">
        <v>6</v>
      </c>
      <c r="P1193">
        <v>2</v>
      </c>
      <c r="Q1193">
        <v>2</v>
      </c>
      <c r="R1193">
        <v>4</v>
      </c>
      <c r="S1193">
        <v>1</v>
      </c>
      <c r="T1193">
        <v>1</v>
      </c>
      <c r="U1193">
        <v>0</v>
      </c>
      <c r="V1193">
        <v>1</v>
      </c>
      <c r="W1193" t="s">
        <v>55</v>
      </c>
      <c r="X1193">
        <v>14</v>
      </c>
      <c r="Y1193">
        <v>1</v>
      </c>
      <c r="Z1193">
        <f t="shared" si="108"/>
        <v>50</v>
      </c>
      <c r="AA1193">
        <f t="shared" si="109"/>
        <v>0.33333333333333331</v>
      </c>
      <c r="AB1193">
        <f t="shared" si="110"/>
        <v>33</v>
      </c>
      <c r="AC1193" t="str">
        <f t="shared" si="111"/>
        <v>Low</v>
      </c>
      <c r="AD1193" t="str">
        <f t="shared" si="112"/>
        <v>Upsell premium bundle</v>
      </c>
      <c r="AE1193">
        <f t="shared" si="113"/>
        <v>50</v>
      </c>
    </row>
    <row r="1194" spans="1:31" x14ac:dyDescent="0.35">
      <c r="A1194" t="s">
        <v>1252</v>
      </c>
      <c r="B1194" s="4">
        <v>45996</v>
      </c>
      <c r="C1194" s="4">
        <v>46143</v>
      </c>
      <c r="D1194" t="s">
        <v>39</v>
      </c>
      <c r="E1194">
        <v>42</v>
      </c>
      <c r="F1194" t="s">
        <v>57</v>
      </c>
      <c r="G1194" t="s">
        <v>63</v>
      </c>
      <c r="H1194" t="s">
        <v>44</v>
      </c>
      <c r="I1194" t="s">
        <v>36</v>
      </c>
      <c r="J1194">
        <v>4</v>
      </c>
      <c r="K1194" s="5">
        <v>163.71</v>
      </c>
      <c r="L1194" s="5">
        <v>25.77</v>
      </c>
      <c r="M1194">
        <v>41</v>
      </c>
      <c r="N1194">
        <v>26</v>
      </c>
      <c r="O1194">
        <v>8</v>
      </c>
      <c r="P1194">
        <v>7</v>
      </c>
      <c r="Q1194">
        <v>19</v>
      </c>
      <c r="R1194">
        <v>0</v>
      </c>
      <c r="S1194">
        <v>1</v>
      </c>
      <c r="T1194">
        <v>1</v>
      </c>
      <c r="U1194">
        <v>0</v>
      </c>
      <c r="V1194">
        <v>1</v>
      </c>
      <c r="W1194" t="s">
        <v>50</v>
      </c>
      <c r="X1194">
        <v>56</v>
      </c>
      <c r="Y1194">
        <v>0</v>
      </c>
      <c r="Z1194">
        <f t="shared" si="108"/>
        <v>100</v>
      </c>
      <c r="AA1194">
        <f t="shared" si="109"/>
        <v>1.7647058823529411</v>
      </c>
      <c r="AB1194">
        <f t="shared" si="110"/>
        <v>0</v>
      </c>
      <c r="AC1194" t="str">
        <f t="shared" si="111"/>
        <v>Low</v>
      </c>
      <c r="AD1194" t="str">
        <f t="shared" si="112"/>
        <v>Upsell premium bundle</v>
      </c>
      <c r="AE1194">
        <f t="shared" si="113"/>
        <v>0</v>
      </c>
    </row>
    <row r="1195" spans="1:31" x14ac:dyDescent="0.35">
      <c r="A1195" t="s">
        <v>1253</v>
      </c>
      <c r="B1195" s="4">
        <v>44693</v>
      </c>
      <c r="C1195" s="4">
        <v>46143</v>
      </c>
      <c r="D1195" t="s">
        <v>60</v>
      </c>
      <c r="E1195">
        <v>65</v>
      </c>
      <c r="F1195" t="s">
        <v>61</v>
      </c>
      <c r="G1195" t="s">
        <v>63</v>
      </c>
      <c r="H1195" t="s">
        <v>41</v>
      </c>
      <c r="I1195" t="s">
        <v>36</v>
      </c>
      <c r="J1195">
        <v>48</v>
      </c>
      <c r="K1195" s="5">
        <v>4133.78</v>
      </c>
      <c r="L1195" s="5">
        <v>3719.27</v>
      </c>
      <c r="M1195">
        <v>24</v>
      </c>
      <c r="N1195">
        <v>17</v>
      </c>
      <c r="O1195">
        <v>7</v>
      </c>
      <c r="P1195">
        <v>2</v>
      </c>
      <c r="Q1195">
        <v>16</v>
      </c>
      <c r="R1195">
        <v>1</v>
      </c>
      <c r="S1195">
        <v>0</v>
      </c>
      <c r="T1195">
        <v>1</v>
      </c>
      <c r="U1195">
        <v>1</v>
      </c>
      <c r="V1195">
        <v>0</v>
      </c>
      <c r="W1195" t="s">
        <v>52</v>
      </c>
      <c r="X1195">
        <v>24</v>
      </c>
      <c r="Y1195">
        <v>0</v>
      </c>
      <c r="Z1195">
        <f t="shared" si="108"/>
        <v>72</v>
      </c>
      <c r="AA1195">
        <f t="shared" si="109"/>
        <v>0.51282051282051277</v>
      </c>
      <c r="AB1195">
        <f t="shared" si="110"/>
        <v>6</v>
      </c>
      <c r="AC1195" t="str">
        <f t="shared" si="111"/>
        <v>Low</v>
      </c>
      <c r="AD1195" t="str">
        <f t="shared" si="112"/>
        <v>Upsell premium bundle</v>
      </c>
      <c r="AE1195">
        <f t="shared" si="113"/>
        <v>28</v>
      </c>
    </row>
    <row r="1196" spans="1:31" x14ac:dyDescent="0.35">
      <c r="A1196" t="s">
        <v>1254</v>
      </c>
      <c r="B1196" s="4">
        <v>45016</v>
      </c>
      <c r="C1196" s="4">
        <v>46143</v>
      </c>
      <c r="D1196" t="s">
        <v>60</v>
      </c>
      <c r="E1196">
        <v>64</v>
      </c>
      <c r="F1196" t="s">
        <v>33</v>
      </c>
      <c r="G1196" t="s">
        <v>63</v>
      </c>
      <c r="H1196" t="s">
        <v>58</v>
      </c>
      <c r="I1196" t="s">
        <v>36</v>
      </c>
      <c r="J1196">
        <v>37</v>
      </c>
      <c r="K1196" s="5">
        <v>628.09</v>
      </c>
      <c r="L1196" s="5">
        <v>569.83000000000004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52</v>
      </c>
      <c r="X1196">
        <v>-2</v>
      </c>
      <c r="Y1196">
        <v>0</v>
      </c>
      <c r="Z1196">
        <f t="shared" si="108"/>
        <v>0</v>
      </c>
      <c r="AA1196">
        <f t="shared" si="109"/>
        <v>0</v>
      </c>
      <c r="AB1196">
        <f t="shared" si="110"/>
        <v>49</v>
      </c>
      <c r="AC1196" t="str">
        <f t="shared" si="111"/>
        <v>Medium</v>
      </c>
      <c r="AD1196" t="str">
        <f t="shared" si="112"/>
        <v>Nudge core feature adoption</v>
      </c>
      <c r="AE1196">
        <f t="shared" si="113"/>
        <v>100</v>
      </c>
    </row>
    <row r="1197" spans="1:31" x14ac:dyDescent="0.35">
      <c r="A1197" t="s">
        <v>1255</v>
      </c>
      <c r="B1197" s="4">
        <v>46094</v>
      </c>
      <c r="C1197" s="4">
        <v>46143</v>
      </c>
      <c r="D1197" t="s">
        <v>72</v>
      </c>
      <c r="E1197">
        <v>50</v>
      </c>
      <c r="F1197" t="s">
        <v>43</v>
      </c>
      <c r="G1197" t="s">
        <v>63</v>
      </c>
      <c r="H1197" t="s">
        <v>44</v>
      </c>
      <c r="I1197" t="s">
        <v>36</v>
      </c>
      <c r="J1197">
        <v>1</v>
      </c>
      <c r="K1197" s="5">
        <v>0</v>
      </c>
      <c r="L1197" s="5">
        <v>42.77</v>
      </c>
      <c r="M1197">
        <v>32</v>
      </c>
      <c r="N1197">
        <v>17</v>
      </c>
      <c r="O1197">
        <v>4</v>
      </c>
      <c r="P1197">
        <v>0</v>
      </c>
      <c r="Q1197">
        <v>31</v>
      </c>
      <c r="R1197">
        <v>0</v>
      </c>
      <c r="S1197">
        <v>0</v>
      </c>
      <c r="T1197">
        <v>0</v>
      </c>
      <c r="U1197">
        <v>0</v>
      </c>
      <c r="V1197">
        <v>1</v>
      </c>
      <c r="W1197" t="s">
        <v>37</v>
      </c>
      <c r="X1197">
        <v>12</v>
      </c>
      <c r="Y1197">
        <v>0</v>
      </c>
      <c r="Z1197">
        <f t="shared" si="108"/>
        <v>87</v>
      </c>
      <c r="AA1197">
        <f t="shared" si="109"/>
        <v>2.032258064516129</v>
      </c>
      <c r="AB1197">
        <f t="shared" si="110"/>
        <v>7</v>
      </c>
      <c r="AC1197" t="str">
        <f t="shared" si="111"/>
        <v>Low</v>
      </c>
      <c r="AD1197" t="str">
        <f t="shared" si="112"/>
        <v>Upsell premium bundle</v>
      </c>
      <c r="AE1197">
        <f t="shared" si="113"/>
        <v>13</v>
      </c>
    </row>
    <row r="1198" spans="1:31" x14ac:dyDescent="0.35">
      <c r="A1198" t="s">
        <v>1256</v>
      </c>
      <c r="B1198" s="4">
        <v>45301</v>
      </c>
      <c r="C1198" s="4">
        <v>46143</v>
      </c>
      <c r="D1198" t="s">
        <v>47</v>
      </c>
      <c r="E1198">
        <v>35</v>
      </c>
      <c r="F1198" t="s">
        <v>33</v>
      </c>
      <c r="G1198" t="s">
        <v>67</v>
      </c>
      <c r="H1198" t="s">
        <v>44</v>
      </c>
      <c r="I1198" t="s">
        <v>36</v>
      </c>
      <c r="J1198">
        <v>28</v>
      </c>
      <c r="K1198" s="5">
        <v>319.10000000000002</v>
      </c>
      <c r="L1198" s="5">
        <v>293.13</v>
      </c>
      <c r="M1198">
        <v>17</v>
      </c>
      <c r="N1198">
        <v>6</v>
      </c>
      <c r="O1198">
        <v>3</v>
      </c>
      <c r="P1198">
        <v>2</v>
      </c>
      <c r="Q1198">
        <v>13</v>
      </c>
      <c r="R1198">
        <v>0</v>
      </c>
      <c r="S1198">
        <v>0</v>
      </c>
      <c r="T1198">
        <v>0</v>
      </c>
      <c r="U1198">
        <v>0</v>
      </c>
      <c r="V1198">
        <v>1</v>
      </c>
      <c r="W1198" t="s">
        <v>50</v>
      </c>
      <c r="X1198">
        <v>14</v>
      </c>
      <c r="Y1198">
        <v>0</v>
      </c>
      <c r="Z1198">
        <f t="shared" si="108"/>
        <v>48</v>
      </c>
      <c r="AA1198">
        <f t="shared" si="109"/>
        <v>0.51724137931034486</v>
      </c>
      <c r="AB1198">
        <f t="shared" si="110"/>
        <v>22</v>
      </c>
      <c r="AC1198" t="str">
        <f t="shared" si="111"/>
        <v>Low</v>
      </c>
      <c r="AD1198" t="str">
        <f t="shared" si="112"/>
        <v>Upsell premium bundle</v>
      </c>
      <c r="AE1198">
        <f t="shared" si="113"/>
        <v>52</v>
      </c>
    </row>
    <row r="1199" spans="1:31" x14ac:dyDescent="0.35">
      <c r="A1199" t="s">
        <v>1257</v>
      </c>
      <c r="B1199" s="4">
        <v>44695</v>
      </c>
      <c r="C1199" s="4">
        <v>46143</v>
      </c>
      <c r="D1199" t="s">
        <v>39</v>
      </c>
      <c r="E1199">
        <v>32</v>
      </c>
      <c r="F1199" t="s">
        <v>57</v>
      </c>
      <c r="G1199" t="s">
        <v>48</v>
      </c>
      <c r="H1199" t="s">
        <v>41</v>
      </c>
      <c r="I1199" t="s">
        <v>36</v>
      </c>
      <c r="J1199">
        <v>48</v>
      </c>
      <c r="K1199" s="5">
        <v>1053.93</v>
      </c>
      <c r="L1199" s="5">
        <v>0</v>
      </c>
      <c r="M1199">
        <v>33</v>
      </c>
      <c r="N1199">
        <v>21</v>
      </c>
      <c r="O1199">
        <v>2</v>
      </c>
      <c r="P1199">
        <v>7</v>
      </c>
      <c r="Q1199">
        <v>13</v>
      </c>
      <c r="R1199">
        <v>1</v>
      </c>
      <c r="S1199">
        <v>1</v>
      </c>
      <c r="T1199">
        <v>1</v>
      </c>
      <c r="U1199">
        <v>0</v>
      </c>
      <c r="V1199">
        <v>0</v>
      </c>
      <c r="W1199" t="s">
        <v>50</v>
      </c>
      <c r="X1199">
        <v>-18</v>
      </c>
      <c r="Y1199">
        <v>0</v>
      </c>
      <c r="Z1199">
        <f t="shared" si="108"/>
        <v>75</v>
      </c>
      <c r="AA1199">
        <f t="shared" si="109"/>
        <v>0.58974358974358976</v>
      </c>
      <c r="AB1199">
        <f t="shared" si="110"/>
        <v>44</v>
      </c>
      <c r="AC1199" t="str">
        <f t="shared" si="111"/>
        <v>Medium</v>
      </c>
      <c r="AD1199" t="str">
        <f t="shared" si="112"/>
        <v>Nudge core feature adoption</v>
      </c>
      <c r="AE1199">
        <f t="shared" si="113"/>
        <v>25</v>
      </c>
    </row>
    <row r="1200" spans="1:31" x14ac:dyDescent="0.35">
      <c r="A1200" t="s">
        <v>1258</v>
      </c>
      <c r="B1200" s="4">
        <v>44866</v>
      </c>
      <c r="C1200" s="4">
        <v>46143</v>
      </c>
      <c r="D1200" t="s">
        <v>39</v>
      </c>
      <c r="E1200">
        <v>54</v>
      </c>
      <c r="F1200" t="s">
        <v>43</v>
      </c>
      <c r="G1200" t="s">
        <v>85</v>
      </c>
      <c r="H1200" t="s">
        <v>41</v>
      </c>
      <c r="I1200" t="s">
        <v>36</v>
      </c>
      <c r="J1200">
        <v>42</v>
      </c>
      <c r="K1200" s="5">
        <v>134.51</v>
      </c>
      <c r="L1200" s="5">
        <v>17.79</v>
      </c>
      <c r="M1200">
        <v>48</v>
      </c>
      <c r="N1200">
        <v>34</v>
      </c>
      <c r="O1200">
        <v>6</v>
      </c>
      <c r="P1200">
        <v>0</v>
      </c>
      <c r="Q1200">
        <v>35</v>
      </c>
      <c r="R1200">
        <v>0</v>
      </c>
      <c r="S1200">
        <v>0</v>
      </c>
      <c r="T1200">
        <v>1</v>
      </c>
      <c r="U1200">
        <v>1</v>
      </c>
      <c r="V1200">
        <v>0</v>
      </c>
      <c r="W1200" t="s">
        <v>45</v>
      </c>
      <c r="X1200">
        <v>48</v>
      </c>
      <c r="Y1200">
        <v>0</v>
      </c>
      <c r="Z1200">
        <f t="shared" si="108"/>
        <v>100</v>
      </c>
      <c r="AA1200">
        <f t="shared" si="109"/>
        <v>1.1527777777777777</v>
      </c>
      <c r="AB1200">
        <f t="shared" si="110"/>
        <v>0</v>
      </c>
      <c r="AC1200" t="str">
        <f t="shared" si="111"/>
        <v>Low</v>
      </c>
      <c r="AD1200" t="str">
        <f t="shared" si="112"/>
        <v>Upsell premium bundle</v>
      </c>
      <c r="AE1200">
        <f t="shared" si="113"/>
        <v>0</v>
      </c>
    </row>
    <row r="1201" spans="1:31" x14ac:dyDescent="0.35">
      <c r="A1201" t="s">
        <v>1259</v>
      </c>
      <c r="B1201" s="4">
        <v>45198</v>
      </c>
      <c r="C1201" s="4">
        <v>46143</v>
      </c>
      <c r="D1201" t="s">
        <v>47</v>
      </c>
      <c r="E1201">
        <v>33</v>
      </c>
      <c r="F1201" t="s">
        <v>33</v>
      </c>
      <c r="G1201" t="s">
        <v>40</v>
      </c>
      <c r="H1201" t="s">
        <v>41</v>
      </c>
      <c r="I1201" t="s">
        <v>36</v>
      </c>
      <c r="J1201">
        <v>31</v>
      </c>
      <c r="K1201" s="5">
        <v>267.75</v>
      </c>
      <c r="L1201" s="5">
        <v>92.7</v>
      </c>
      <c r="M1201">
        <v>17</v>
      </c>
      <c r="N1201">
        <v>10</v>
      </c>
      <c r="O1201">
        <v>4</v>
      </c>
      <c r="P1201">
        <v>2</v>
      </c>
      <c r="Q1201">
        <v>26</v>
      </c>
      <c r="R1201">
        <v>1</v>
      </c>
      <c r="S1201">
        <v>0</v>
      </c>
      <c r="T1201">
        <v>0</v>
      </c>
      <c r="U1201">
        <v>1</v>
      </c>
      <c r="V1201">
        <v>0</v>
      </c>
      <c r="W1201" t="s">
        <v>55</v>
      </c>
      <c r="X1201">
        <v>54</v>
      </c>
      <c r="Y1201">
        <v>0</v>
      </c>
      <c r="Z1201">
        <f t="shared" si="108"/>
        <v>65</v>
      </c>
      <c r="AA1201">
        <f t="shared" si="109"/>
        <v>0.70491803278688525</v>
      </c>
      <c r="AB1201">
        <f t="shared" si="110"/>
        <v>4</v>
      </c>
      <c r="AC1201" t="str">
        <f t="shared" si="111"/>
        <v>Low</v>
      </c>
      <c r="AD1201" t="str">
        <f t="shared" si="112"/>
        <v>Upsell premium bundle</v>
      </c>
      <c r="AE1201">
        <f t="shared" si="113"/>
        <v>35</v>
      </c>
    </row>
    <row r="1202" spans="1:31" x14ac:dyDescent="0.35">
      <c r="A1202" t="s">
        <v>1260</v>
      </c>
      <c r="B1202" s="4">
        <v>45297</v>
      </c>
      <c r="C1202" s="4">
        <v>46143</v>
      </c>
      <c r="D1202" t="s">
        <v>32</v>
      </c>
      <c r="E1202">
        <v>56</v>
      </c>
      <c r="F1202" t="s">
        <v>33</v>
      </c>
      <c r="G1202" t="s">
        <v>85</v>
      </c>
      <c r="H1202" t="s">
        <v>41</v>
      </c>
      <c r="I1202" t="s">
        <v>36</v>
      </c>
      <c r="J1202">
        <v>28</v>
      </c>
      <c r="K1202" s="5">
        <v>86.2</v>
      </c>
      <c r="L1202" s="5">
        <v>106.16</v>
      </c>
      <c r="M1202">
        <v>34</v>
      </c>
      <c r="N1202">
        <v>21</v>
      </c>
      <c r="O1202">
        <v>4</v>
      </c>
      <c r="P1202">
        <v>4</v>
      </c>
      <c r="Q1202">
        <v>24</v>
      </c>
      <c r="R1202">
        <v>1</v>
      </c>
      <c r="S1202">
        <v>0</v>
      </c>
      <c r="T1202">
        <v>1</v>
      </c>
      <c r="U1202">
        <v>1</v>
      </c>
      <c r="V1202">
        <v>0</v>
      </c>
      <c r="W1202" t="s">
        <v>52</v>
      </c>
      <c r="X1202">
        <v>31</v>
      </c>
      <c r="Y1202">
        <v>0</v>
      </c>
      <c r="Z1202">
        <f t="shared" si="108"/>
        <v>92</v>
      </c>
      <c r="AA1202">
        <f t="shared" si="109"/>
        <v>1</v>
      </c>
      <c r="AB1202">
        <f t="shared" si="110"/>
        <v>4</v>
      </c>
      <c r="AC1202" t="str">
        <f t="shared" si="111"/>
        <v>Low</v>
      </c>
      <c r="AD1202" t="str">
        <f t="shared" si="112"/>
        <v>Upsell premium bundle</v>
      </c>
      <c r="AE1202">
        <f t="shared" si="113"/>
        <v>8</v>
      </c>
    </row>
    <row r="1203" spans="1:31" x14ac:dyDescent="0.35">
      <c r="A1203" t="s">
        <v>1261</v>
      </c>
      <c r="B1203" s="4">
        <v>44897</v>
      </c>
      <c r="C1203" s="4">
        <v>46143</v>
      </c>
      <c r="D1203" t="s">
        <v>39</v>
      </c>
      <c r="E1203">
        <v>32</v>
      </c>
      <c r="F1203" t="s">
        <v>43</v>
      </c>
      <c r="G1203" t="s">
        <v>85</v>
      </c>
      <c r="H1203" t="s">
        <v>44</v>
      </c>
      <c r="I1203" t="s">
        <v>36</v>
      </c>
      <c r="J1203">
        <v>41</v>
      </c>
      <c r="K1203" s="5">
        <v>169.69</v>
      </c>
      <c r="L1203" s="5">
        <v>58.94</v>
      </c>
      <c r="M1203">
        <v>37</v>
      </c>
      <c r="N1203">
        <v>16</v>
      </c>
      <c r="O1203">
        <v>3</v>
      </c>
      <c r="P1203">
        <v>5</v>
      </c>
      <c r="Q1203">
        <v>21</v>
      </c>
      <c r="R1203">
        <v>0</v>
      </c>
      <c r="S1203">
        <v>0</v>
      </c>
      <c r="T1203">
        <v>1</v>
      </c>
      <c r="U1203">
        <v>1</v>
      </c>
      <c r="V1203">
        <v>0</v>
      </c>
      <c r="W1203" t="s">
        <v>50</v>
      </c>
      <c r="X1203">
        <v>77</v>
      </c>
      <c r="Y1203">
        <v>0</v>
      </c>
      <c r="Z1203">
        <f t="shared" si="108"/>
        <v>89</v>
      </c>
      <c r="AA1203">
        <f t="shared" si="109"/>
        <v>0.81690140845070425</v>
      </c>
      <c r="AB1203">
        <f t="shared" si="110"/>
        <v>0</v>
      </c>
      <c r="AC1203" t="str">
        <f t="shared" si="111"/>
        <v>Low</v>
      </c>
      <c r="AD1203" t="str">
        <f t="shared" si="112"/>
        <v>Upsell premium bundle</v>
      </c>
      <c r="AE1203">
        <f t="shared" si="113"/>
        <v>11</v>
      </c>
    </row>
    <row r="1204" spans="1:31" x14ac:dyDescent="0.35">
      <c r="A1204" t="s">
        <v>1262</v>
      </c>
      <c r="B1204" s="4">
        <v>45485</v>
      </c>
      <c r="C1204" s="4">
        <v>46143</v>
      </c>
      <c r="D1204" t="s">
        <v>60</v>
      </c>
      <c r="E1204">
        <v>65</v>
      </c>
      <c r="F1204" t="s">
        <v>57</v>
      </c>
      <c r="G1204" t="s">
        <v>34</v>
      </c>
      <c r="H1204" t="s">
        <v>58</v>
      </c>
      <c r="I1204" t="s">
        <v>36</v>
      </c>
      <c r="J1204">
        <v>21</v>
      </c>
      <c r="K1204" s="5">
        <v>1531.66</v>
      </c>
      <c r="L1204" s="5">
        <v>0</v>
      </c>
      <c r="M1204">
        <v>30</v>
      </c>
      <c r="N1204">
        <v>7</v>
      </c>
      <c r="O1204">
        <v>1</v>
      </c>
      <c r="P1204">
        <v>4</v>
      </c>
      <c r="Q1204">
        <v>30</v>
      </c>
      <c r="R1204">
        <v>1</v>
      </c>
      <c r="S1204">
        <v>0</v>
      </c>
      <c r="T1204">
        <v>1</v>
      </c>
      <c r="U1204">
        <v>1</v>
      </c>
      <c r="V1204">
        <v>1</v>
      </c>
      <c r="W1204" t="s">
        <v>55</v>
      </c>
      <c r="X1204">
        <v>6</v>
      </c>
      <c r="Y1204">
        <v>0</v>
      </c>
      <c r="Z1204">
        <f t="shared" si="108"/>
        <v>87</v>
      </c>
      <c r="AA1204">
        <f t="shared" si="109"/>
        <v>1.1764705882352942</v>
      </c>
      <c r="AB1204">
        <f t="shared" si="110"/>
        <v>9</v>
      </c>
      <c r="AC1204" t="str">
        <f t="shared" si="111"/>
        <v>Low</v>
      </c>
      <c r="AD1204" t="str">
        <f t="shared" si="112"/>
        <v>Upsell premium bundle</v>
      </c>
      <c r="AE1204">
        <f t="shared" si="113"/>
        <v>13</v>
      </c>
    </row>
    <row r="1205" spans="1:31" x14ac:dyDescent="0.35">
      <c r="A1205" t="s">
        <v>1263</v>
      </c>
      <c r="B1205" s="4">
        <v>45788</v>
      </c>
      <c r="C1205" s="4">
        <v>46143</v>
      </c>
      <c r="D1205" t="s">
        <v>72</v>
      </c>
      <c r="E1205">
        <v>24</v>
      </c>
      <c r="F1205" t="s">
        <v>43</v>
      </c>
      <c r="G1205" t="s">
        <v>34</v>
      </c>
      <c r="H1205" t="s">
        <v>41</v>
      </c>
      <c r="I1205" t="s">
        <v>36</v>
      </c>
      <c r="J1205">
        <v>11</v>
      </c>
      <c r="K1205" s="5">
        <v>80.650000000000006</v>
      </c>
      <c r="L1205" s="5">
        <v>47.41</v>
      </c>
      <c r="M1205">
        <v>23</v>
      </c>
      <c r="N1205">
        <v>12</v>
      </c>
      <c r="O1205">
        <v>1</v>
      </c>
      <c r="P1205">
        <v>0</v>
      </c>
      <c r="Q1205">
        <v>3</v>
      </c>
      <c r="R1205">
        <v>1</v>
      </c>
      <c r="S1205">
        <v>0</v>
      </c>
      <c r="T1205">
        <v>0</v>
      </c>
      <c r="U1205">
        <v>1</v>
      </c>
      <c r="V1205">
        <v>0</v>
      </c>
      <c r="W1205" t="s">
        <v>45</v>
      </c>
      <c r="X1205">
        <v>14</v>
      </c>
      <c r="Y1205">
        <v>1</v>
      </c>
      <c r="Z1205">
        <f t="shared" si="108"/>
        <v>46</v>
      </c>
      <c r="AA1205">
        <f t="shared" si="109"/>
        <v>0.63414634146341464</v>
      </c>
      <c r="AB1205">
        <f t="shared" si="110"/>
        <v>31</v>
      </c>
      <c r="AC1205" t="str">
        <f t="shared" si="111"/>
        <v>Low</v>
      </c>
      <c r="AD1205" t="str">
        <f t="shared" si="112"/>
        <v>Upsell premium bundle</v>
      </c>
      <c r="AE1205">
        <f t="shared" si="113"/>
        <v>54</v>
      </c>
    </row>
    <row r="1206" spans="1:31" x14ac:dyDescent="0.35">
      <c r="A1206" t="s">
        <v>1264</v>
      </c>
      <c r="B1206" s="4">
        <v>45775</v>
      </c>
      <c r="C1206" s="4">
        <v>46143</v>
      </c>
      <c r="D1206" t="s">
        <v>47</v>
      </c>
      <c r="E1206">
        <v>49</v>
      </c>
      <c r="F1206" t="s">
        <v>57</v>
      </c>
      <c r="G1206" t="s">
        <v>63</v>
      </c>
      <c r="H1206" t="s">
        <v>44</v>
      </c>
      <c r="I1206" t="s">
        <v>36</v>
      </c>
      <c r="J1206">
        <v>12</v>
      </c>
      <c r="K1206" s="5">
        <v>656.16</v>
      </c>
      <c r="L1206" s="5">
        <v>464.03</v>
      </c>
      <c r="M1206">
        <v>41</v>
      </c>
      <c r="N1206">
        <v>23</v>
      </c>
      <c r="O1206">
        <v>2</v>
      </c>
      <c r="P1206">
        <v>2</v>
      </c>
      <c r="Q1206">
        <v>28</v>
      </c>
      <c r="R1206">
        <v>1</v>
      </c>
      <c r="S1206">
        <v>2</v>
      </c>
      <c r="T1206">
        <v>1</v>
      </c>
      <c r="U1206">
        <v>1</v>
      </c>
      <c r="V1206">
        <v>1</v>
      </c>
      <c r="W1206" t="s">
        <v>37</v>
      </c>
      <c r="X1206">
        <v>-21</v>
      </c>
      <c r="Y1206">
        <v>0</v>
      </c>
      <c r="Z1206">
        <f t="shared" si="108"/>
        <v>100</v>
      </c>
      <c r="AA1206">
        <f t="shared" si="109"/>
        <v>1.6428571428571428</v>
      </c>
      <c r="AB1206">
        <f t="shared" si="110"/>
        <v>33</v>
      </c>
      <c r="AC1206" t="str">
        <f t="shared" si="111"/>
        <v>Low</v>
      </c>
      <c r="AD1206" t="str">
        <f t="shared" si="112"/>
        <v>Upsell premium bundle</v>
      </c>
      <c r="AE1206">
        <f t="shared" si="113"/>
        <v>0</v>
      </c>
    </row>
    <row r="1207" spans="1:31" x14ac:dyDescent="0.35">
      <c r="A1207" t="s">
        <v>1265</v>
      </c>
      <c r="B1207" s="4">
        <v>45718</v>
      </c>
      <c r="C1207" s="4">
        <v>46143</v>
      </c>
      <c r="D1207" t="s">
        <v>72</v>
      </c>
      <c r="E1207">
        <v>25</v>
      </c>
      <c r="F1207" t="s">
        <v>43</v>
      </c>
      <c r="G1207" t="s">
        <v>34</v>
      </c>
      <c r="H1207" t="s">
        <v>41</v>
      </c>
      <c r="I1207" t="s">
        <v>36</v>
      </c>
      <c r="J1207">
        <v>14</v>
      </c>
      <c r="K1207" s="5">
        <v>47.04</v>
      </c>
      <c r="L1207" s="5">
        <v>0</v>
      </c>
      <c r="M1207">
        <v>16</v>
      </c>
      <c r="N1207">
        <v>5</v>
      </c>
      <c r="O1207">
        <v>4</v>
      </c>
      <c r="P1207">
        <v>1</v>
      </c>
      <c r="Q1207">
        <v>20</v>
      </c>
      <c r="R1207">
        <v>0</v>
      </c>
      <c r="S1207">
        <v>0</v>
      </c>
      <c r="T1207">
        <v>0</v>
      </c>
      <c r="U1207">
        <v>0</v>
      </c>
      <c r="V1207">
        <v>1</v>
      </c>
      <c r="W1207" t="s">
        <v>55</v>
      </c>
      <c r="X1207">
        <v>-24</v>
      </c>
      <c r="Y1207">
        <v>0</v>
      </c>
      <c r="Z1207">
        <f t="shared" si="108"/>
        <v>52</v>
      </c>
      <c r="AA1207">
        <f t="shared" si="109"/>
        <v>0.81818181818181823</v>
      </c>
      <c r="AB1207">
        <f t="shared" si="110"/>
        <v>49</v>
      </c>
      <c r="AC1207" t="str">
        <f t="shared" si="111"/>
        <v>Medium</v>
      </c>
      <c r="AD1207" t="str">
        <f t="shared" si="112"/>
        <v>Nudge core feature adoption</v>
      </c>
      <c r="AE1207">
        <f t="shared" si="113"/>
        <v>48</v>
      </c>
    </row>
    <row r="1208" spans="1:31" x14ac:dyDescent="0.35">
      <c r="A1208" t="s">
        <v>1266</v>
      </c>
      <c r="B1208" s="4">
        <v>45821</v>
      </c>
      <c r="C1208" s="4">
        <v>46143</v>
      </c>
      <c r="D1208" t="s">
        <v>32</v>
      </c>
      <c r="E1208">
        <v>55</v>
      </c>
      <c r="F1208" t="s">
        <v>57</v>
      </c>
      <c r="G1208" t="s">
        <v>67</v>
      </c>
      <c r="H1208" t="s">
        <v>44</v>
      </c>
      <c r="I1208" t="s">
        <v>36</v>
      </c>
      <c r="J1208">
        <v>10</v>
      </c>
      <c r="K1208" s="5">
        <v>1545.42</v>
      </c>
      <c r="L1208" s="5">
        <v>253.55</v>
      </c>
      <c r="M1208">
        <v>21</v>
      </c>
      <c r="N1208">
        <v>7</v>
      </c>
      <c r="O1208">
        <v>4</v>
      </c>
      <c r="P1208">
        <v>0</v>
      </c>
      <c r="Q1208">
        <v>28</v>
      </c>
      <c r="R1208">
        <v>0</v>
      </c>
      <c r="S1208">
        <v>2</v>
      </c>
      <c r="T1208">
        <v>1</v>
      </c>
      <c r="U1208">
        <v>1</v>
      </c>
      <c r="V1208">
        <v>1</v>
      </c>
      <c r="W1208" t="s">
        <v>37</v>
      </c>
      <c r="X1208">
        <v>56</v>
      </c>
      <c r="Y1208">
        <v>0</v>
      </c>
      <c r="Z1208">
        <f t="shared" si="108"/>
        <v>73</v>
      </c>
      <c r="AA1208">
        <f t="shared" si="109"/>
        <v>1.2250000000000001</v>
      </c>
      <c r="AB1208">
        <f t="shared" si="110"/>
        <v>7</v>
      </c>
      <c r="AC1208" t="str">
        <f t="shared" si="111"/>
        <v>Low</v>
      </c>
      <c r="AD1208" t="str">
        <f t="shared" si="112"/>
        <v>Upsell premium bundle</v>
      </c>
      <c r="AE1208">
        <f t="shared" si="113"/>
        <v>27</v>
      </c>
    </row>
    <row r="1209" spans="1:31" x14ac:dyDescent="0.35">
      <c r="A1209" t="s">
        <v>1267</v>
      </c>
      <c r="B1209" s="4">
        <v>45918</v>
      </c>
      <c r="C1209" s="4">
        <v>46143</v>
      </c>
      <c r="D1209" t="s">
        <v>47</v>
      </c>
      <c r="E1209">
        <v>57</v>
      </c>
      <c r="F1209" t="s">
        <v>33</v>
      </c>
      <c r="G1209" t="s">
        <v>67</v>
      </c>
      <c r="H1209" t="s">
        <v>41</v>
      </c>
      <c r="I1209" t="s">
        <v>36</v>
      </c>
      <c r="J1209">
        <v>7</v>
      </c>
      <c r="K1209" s="5">
        <v>53.16</v>
      </c>
      <c r="L1209" s="5">
        <v>339.35</v>
      </c>
      <c r="M1209">
        <v>33</v>
      </c>
      <c r="N1209">
        <v>20</v>
      </c>
      <c r="O1209">
        <v>1</v>
      </c>
      <c r="P1209">
        <v>5</v>
      </c>
      <c r="Q1209">
        <v>21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37</v>
      </c>
      <c r="X1209">
        <v>67</v>
      </c>
      <c r="Y1209">
        <v>0</v>
      </c>
      <c r="Z1209">
        <f t="shared" si="108"/>
        <v>77</v>
      </c>
      <c r="AA1209">
        <f t="shared" si="109"/>
        <v>1.4594594594594594</v>
      </c>
      <c r="AB1209">
        <f t="shared" si="110"/>
        <v>0</v>
      </c>
      <c r="AC1209" t="str">
        <f t="shared" si="111"/>
        <v>Low</v>
      </c>
      <c r="AD1209" t="str">
        <f t="shared" si="112"/>
        <v>Upsell premium bundle</v>
      </c>
      <c r="AE1209">
        <f t="shared" si="113"/>
        <v>23</v>
      </c>
    </row>
    <row r="1210" spans="1:31" x14ac:dyDescent="0.35">
      <c r="A1210" t="s">
        <v>1268</v>
      </c>
      <c r="B1210" s="4">
        <v>45223</v>
      </c>
      <c r="C1210" s="4">
        <v>46143</v>
      </c>
      <c r="D1210" t="s">
        <v>47</v>
      </c>
      <c r="E1210">
        <v>46</v>
      </c>
      <c r="F1210" t="s">
        <v>57</v>
      </c>
      <c r="G1210" t="s">
        <v>67</v>
      </c>
      <c r="H1210" t="s">
        <v>35</v>
      </c>
      <c r="I1210" t="s">
        <v>36</v>
      </c>
      <c r="J1210">
        <v>30</v>
      </c>
      <c r="K1210" s="5">
        <v>1494.23</v>
      </c>
      <c r="L1210" s="5">
        <v>793.59</v>
      </c>
      <c r="M1210">
        <v>33</v>
      </c>
      <c r="N1210">
        <v>14</v>
      </c>
      <c r="O1210">
        <v>9</v>
      </c>
      <c r="P1210">
        <v>2</v>
      </c>
      <c r="Q1210">
        <v>39</v>
      </c>
      <c r="R1210">
        <v>0</v>
      </c>
      <c r="S1210">
        <v>0</v>
      </c>
      <c r="T1210">
        <v>1</v>
      </c>
      <c r="U1210">
        <v>0</v>
      </c>
      <c r="V1210">
        <v>1</v>
      </c>
      <c r="W1210" t="s">
        <v>45</v>
      </c>
      <c r="X1210">
        <v>55</v>
      </c>
      <c r="Y1210">
        <v>0</v>
      </c>
      <c r="Z1210">
        <f t="shared" si="108"/>
        <v>100</v>
      </c>
      <c r="AA1210">
        <f t="shared" si="109"/>
        <v>1.2</v>
      </c>
      <c r="AB1210">
        <f t="shared" si="110"/>
        <v>0</v>
      </c>
      <c r="AC1210" t="str">
        <f t="shared" si="111"/>
        <v>Low</v>
      </c>
      <c r="AD1210" t="str">
        <f t="shared" si="112"/>
        <v>Upsell premium bundle</v>
      </c>
      <c r="AE1210">
        <f t="shared" si="113"/>
        <v>0</v>
      </c>
    </row>
    <row r="1211" spans="1:31" x14ac:dyDescent="0.35">
      <c r="A1211" t="s">
        <v>1269</v>
      </c>
      <c r="B1211" s="4">
        <v>45012</v>
      </c>
      <c r="C1211" s="4">
        <v>46143</v>
      </c>
      <c r="D1211" t="s">
        <v>32</v>
      </c>
      <c r="E1211">
        <v>37</v>
      </c>
      <c r="F1211" t="s">
        <v>33</v>
      </c>
      <c r="G1211" t="s">
        <v>40</v>
      </c>
      <c r="H1211" t="s">
        <v>41</v>
      </c>
      <c r="I1211" t="s">
        <v>54</v>
      </c>
      <c r="J1211">
        <v>37</v>
      </c>
      <c r="K1211" s="5">
        <v>540.26</v>
      </c>
      <c r="L1211" s="5">
        <v>370.36</v>
      </c>
      <c r="M1211">
        <v>30</v>
      </c>
      <c r="N1211">
        <v>10</v>
      </c>
      <c r="O1211">
        <v>6</v>
      </c>
      <c r="P1211">
        <v>0</v>
      </c>
      <c r="Q1211">
        <v>23</v>
      </c>
      <c r="R1211">
        <v>4</v>
      </c>
      <c r="S1211">
        <v>1</v>
      </c>
      <c r="T1211">
        <v>1</v>
      </c>
      <c r="U1211">
        <v>0</v>
      </c>
      <c r="V1211">
        <v>0</v>
      </c>
      <c r="W1211" t="s">
        <v>55</v>
      </c>
      <c r="X1211">
        <v>47</v>
      </c>
      <c r="Y1211">
        <v>0</v>
      </c>
      <c r="Z1211">
        <f t="shared" si="108"/>
        <v>68</v>
      </c>
      <c r="AA1211">
        <f t="shared" si="109"/>
        <v>0.79104477611940294</v>
      </c>
      <c r="AB1211">
        <f t="shared" si="110"/>
        <v>25</v>
      </c>
      <c r="AC1211" t="str">
        <f t="shared" si="111"/>
        <v>Low</v>
      </c>
      <c r="AD1211" t="str">
        <f t="shared" si="112"/>
        <v>Upsell premium bundle</v>
      </c>
      <c r="AE1211">
        <f t="shared" si="113"/>
        <v>32</v>
      </c>
    </row>
    <row r="1212" spans="1:31" x14ac:dyDescent="0.35">
      <c r="A1212" t="s">
        <v>1270</v>
      </c>
      <c r="B1212" s="4">
        <v>45003</v>
      </c>
      <c r="C1212" s="4">
        <v>46143</v>
      </c>
      <c r="D1212" t="s">
        <v>60</v>
      </c>
      <c r="E1212">
        <v>23</v>
      </c>
      <c r="F1212" t="s">
        <v>57</v>
      </c>
      <c r="G1212" t="s">
        <v>34</v>
      </c>
      <c r="H1212" t="s">
        <v>58</v>
      </c>
      <c r="I1212" t="s">
        <v>54</v>
      </c>
      <c r="J1212">
        <v>38</v>
      </c>
      <c r="K1212" s="5">
        <v>1465.76</v>
      </c>
      <c r="L1212" s="5">
        <v>592.49</v>
      </c>
      <c r="M1212">
        <v>25</v>
      </c>
      <c r="N1212">
        <v>16</v>
      </c>
      <c r="O1212">
        <v>1</v>
      </c>
      <c r="P1212">
        <v>4</v>
      </c>
      <c r="Q1212">
        <v>26</v>
      </c>
      <c r="R1212">
        <v>0</v>
      </c>
      <c r="S1212">
        <v>0</v>
      </c>
      <c r="T1212">
        <v>0</v>
      </c>
      <c r="U1212">
        <v>0</v>
      </c>
      <c r="V1212">
        <v>1</v>
      </c>
      <c r="W1212" t="s">
        <v>45</v>
      </c>
      <c r="X1212">
        <v>42</v>
      </c>
      <c r="Y1212">
        <v>0</v>
      </c>
      <c r="Z1212">
        <f t="shared" si="108"/>
        <v>76</v>
      </c>
      <c r="AA1212">
        <f t="shared" si="109"/>
        <v>0.75</v>
      </c>
      <c r="AB1212">
        <f t="shared" si="110"/>
        <v>13</v>
      </c>
      <c r="AC1212" t="str">
        <f t="shared" si="111"/>
        <v>Low</v>
      </c>
      <c r="AD1212" t="str">
        <f t="shared" si="112"/>
        <v>Upsell premium bundle</v>
      </c>
      <c r="AE1212">
        <f t="shared" si="113"/>
        <v>24</v>
      </c>
    </row>
    <row r="1213" spans="1:31" x14ac:dyDescent="0.35">
      <c r="A1213" t="s">
        <v>1271</v>
      </c>
      <c r="B1213" s="4">
        <v>45792</v>
      </c>
      <c r="C1213" s="4">
        <v>46143</v>
      </c>
      <c r="D1213" t="s">
        <v>47</v>
      </c>
      <c r="E1213">
        <v>37</v>
      </c>
      <c r="F1213" t="s">
        <v>33</v>
      </c>
      <c r="G1213" t="s">
        <v>63</v>
      </c>
      <c r="H1213" t="s">
        <v>41</v>
      </c>
      <c r="I1213" t="s">
        <v>36</v>
      </c>
      <c r="J1213">
        <v>11</v>
      </c>
      <c r="K1213" s="5">
        <v>701.54</v>
      </c>
      <c r="L1213" s="5">
        <v>322.08999999999997</v>
      </c>
      <c r="M1213">
        <v>20</v>
      </c>
      <c r="N1213">
        <v>7</v>
      </c>
      <c r="O1213">
        <v>3</v>
      </c>
      <c r="P1213">
        <v>1</v>
      </c>
      <c r="Q1213">
        <v>12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45</v>
      </c>
      <c r="X1213">
        <v>76</v>
      </c>
      <c r="Y1213">
        <v>0</v>
      </c>
      <c r="Z1213">
        <f t="shared" si="108"/>
        <v>43</v>
      </c>
      <c r="AA1213">
        <f t="shared" si="109"/>
        <v>0.78048780487804881</v>
      </c>
      <c r="AB1213">
        <f t="shared" si="110"/>
        <v>3</v>
      </c>
      <c r="AC1213" t="str">
        <f t="shared" si="111"/>
        <v>Low</v>
      </c>
      <c r="AD1213" t="str">
        <f t="shared" si="112"/>
        <v>Upsell premium bundle</v>
      </c>
      <c r="AE1213">
        <f t="shared" si="113"/>
        <v>57</v>
      </c>
    </row>
    <row r="1214" spans="1:31" x14ac:dyDescent="0.35">
      <c r="A1214" t="s">
        <v>1272</v>
      </c>
      <c r="B1214" s="4">
        <v>46019</v>
      </c>
      <c r="C1214" s="4">
        <v>46143</v>
      </c>
      <c r="D1214" t="s">
        <v>32</v>
      </c>
      <c r="E1214">
        <v>65</v>
      </c>
      <c r="F1214" t="s">
        <v>77</v>
      </c>
      <c r="G1214" t="s">
        <v>48</v>
      </c>
      <c r="H1214" t="s">
        <v>41</v>
      </c>
      <c r="I1214" t="s">
        <v>49</v>
      </c>
      <c r="J1214">
        <v>4</v>
      </c>
      <c r="K1214" s="5">
        <v>6100.17</v>
      </c>
      <c r="L1214" s="5">
        <v>423.2</v>
      </c>
      <c r="M1214">
        <v>14</v>
      </c>
      <c r="N1214">
        <v>9</v>
      </c>
      <c r="O1214">
        <v>0</v>
      </c>
      <c r="P1214">
        <v>2</v>
      </c>
      <c r="Q1214">
        <v>13</v>
      </c>
      <c r="R1214">
        <v>3</v>
      </c>
      <c r="S1214">
        <v>1</v>
      </c>
      <c r="T1214">
        <v>1</v>
      </c>
      <c r="U1214">
        <v>0</v>
      </c>
      <c r="V1214">
        <v>1</v>
      </c>
      <c r="W1214" t="s">
        <v>37</v>
      </c>
      <c r="X1214">
        <v>25</v>
      </c>
      <c r="Y1214">
        <v>1</v>
      </c>
      <c r="Z1214">
        <f t="shared" si="108"/>
        <v>43</v>
      </c>
      <c r="AA1214">
        <f t="shared" si="109"/>
        <v>0.79411764705882348</v>
      </c>
      <c r="AB1214">
        <f t="shared" si="110"/>
        <v>48</v>
      </c>
      <c r="AC1214" t="str">
        <f t="shared" si="111"/>
        <v>Medium</v>
      </c>
      <c r="AD1214" t="str">
        <f t="shared" si="112"/>
        <v>Nudge core feature adoption</v>
      </c>
      <c r="AE1214">
        <f t="shared" si="113"/>
        <v>57</v>
      </c>
    </row>
    <row r="1215" spans="1:31" x14ac:dyDescent="0.35">
      <c r="A1215" t="s">
        <v>1273</v>
      </c>
      <c r="B1215" s="4">
        <v>45544</v>
      </c>
      <c r="C1215" s="4">
        <v>46143</v>
      </c>
      <c r="D1215" t="s">
        <v>39</v>
      </c>
      <c r="E1215">
        <v>53</v>
      </c>
      <c r="F1215" t="s">
        <v>77</v>
      </c>
      <c r="G1215" t="s">
        <v>34</v>
      </c>
      <c r="H1215" t="s">
        <v>41</v>
      </c>
      <c r="I1215" t="s">
        <v>36</v>
      </c>
      <c r="J1215">
        <v>19</v>
      </c>
      <c r="K1215" s="5">
        <v>15093.46</v>
      </c>
      <c r="L1215" s="5">
        <v>3499.4</v>
      </c>
      <c r="M1215">
        <v>32</v>
      </c>
      <c r="N1215">
        <v>13</v>
      </c>
      <c r="O1215">
        <v>9</v>
      </c>
      <c r="P1215">
        <v>5</v>
      </c>
      <c r="Q1215">
        <v>22</v>
      </c>
      <c r="R1215">
        <v>3</v>
      </c>
      <c r="S1215">
        <v>0</v>
      </c>
      <c r="T1215">
        <v>1</v>
      </c>
      <c r="U1215">
        <v>0</v>
      </c>
      <c r="V1215">
        <v>1</v>
      </c>
      <c r="W1215" t="s">
        <v>45</v>
      </c>
      <c r="X1215">
        <v>3</v>
      </c>
      <c r="Y1215">
        <v>0</v>
      </c>
      <c r="Z1215">
        <f t="shared" si="108"/>
        <v>89</v>
      </c>
      <c r="AA1215">
        <f t="shared" si="109"/>
        <v>1.1020408163265305</v>
      </c>
      <c r="AB1215">
        <f t="shared" si="110"/>
        <v>6</v>
      </c>
      <c r="AC1215" t="str">
        <f t="shared" si="111"/>
        <v>Low</v>
      </c>
      <c r="AD1215" t="str">
        <f t="shared" si="112"/>
        <v>Upsell premium bundle</v>
      </c>
      <c r="AE1215">
        <f t="shared" si="113"/>
        <v>11</v>
      </c>
    </row>
    <row r="1216" spans="1:31" x14ac:dyDescent="0.35">
      <c r="A1216" t="s">
        <v>1274</v>
      </c>
      <c r="B1216" s="4">
        <v>45543</v>
      </c>
      <c r="C1216" s="4">
        <v>46143</v>
      </c>
      <c r="D1216" t="s">
        <v>66</v>
      </c>
      <c r="E1216">
        <v>66</v>
      </c>
      <c r="F1216" t="s">
        <v>77</v>
      </c>
      <c r="G1216" t="s">
        <v>48</v>
      </c>
      <c r="H1216" t="s">
        <v>44</v>
      </c>
      <c r="I1216" t="s">
        <v>36</v>
      </c>
      <c r="J1216">
        <v>20</v>
      </c>
      <c r="K1216" s="5">
        <v>11294.77</v>
      </c>
      <c r="L1216" s="5">
        <v>1969.13</v>
      </c>
      <c r="M1216">
        <v>54</v>
      </c>
      <c r="N1216">
        <v>19</v>
      </c>
      <c r="O1216">
        <v>7</v>
      </c>
      <c r="P1216">
        <v>7</v>
      </c>
      <c r="Q1216">
        <v>38</v>
      </c>
      <c r="R1216">
        <v>2</v>
      </c>
      <c r="S1216">
        <v>0</v>
      </c>
      <c r="T1216">
        <v>1</v>
      </c>
      <c r="U1216">
        <v>0</v>
      </c>
      <c r="V1216">
        <v>1</v>
      </c>
      <c r="W1216" t="s">
        <v>45</v>
      </c>
      <c r="X1216">
        <v>16</v>
      </c>
      <c r="Y1216">
        <v>0</v>
      </c>
      <c r="Z1216">
        <f t="shared" si="108"/>
        <v>100</v>
      </c>
      <c r="AA1216">
        <f t="shared" si="109"/>
        <v>1.84</v>
      </c>
      <c r="AB1216">
        <f t="shared" si="110"/>
        <v>0</v>
      </c>
      <c r="AC1216" t="str">
        <f t="shared" si="111"/>
        <v>Low</v>
      </c>
      <c r="AD1216" t="str">
        <f t="shared" si="112"/>
        <v>Upsell premium bundle</v>
      </c>
      <c r="AE1216">
        <f t="shared" si="113"/>
        <v>0</v>
      </c>
    </row>
    <row r="1217" spans="1:31" x14ac:dyDescent="0.35">
      <c r="A1217" t="s">
        <v>1275</v>
      </c>
      <c r="B1217" s="4">
        <v>44741</v>
      </c>
      <c r="C1217" s="4">
        <v>46143</v>
      </c>
      <c r="D1217" t="s">
        <v>72</v>
      </c>
      <c r="E1217">
        <v>45</v>
      </c>
      <c r="F1217" t="s">
        <v>57</v>
      </c>
      <c r="G1217" t="s">
        <v>63</v>
      </c>
      <c r="H1217" t="s">
        <v>58</v>
      </c>
      <c r="I1217" t="s">
        <v>49</v>
      </c>
      <c r="J1217">
        <v>46</v>
      </c>
      <c r="K1217" s="5">
        <v>338.53</v>
      </c>
      <c r="L1217" s="5">
        <v>930.99</v>
      </c>
      <c r="M1217">
        <v>5</v>
      </c>
      <c r="N1217">
        <v>2</v>
      </c>
      <c r="O1217">
        <v>0</v>
      </c>
      <c r="P1217">
        <v>0</v>
      </c>
      <c r="Q1217">
        <v>18</v>
      </c>
      <c r="R1217">
        <v>0</v>
      </c>
      <c r="S1217">
        <v>0</v>
      </c>
      <c r="T1217">
        <v>0</v>
      </c>
      <c r="U1217">
        <v>0</v>
      </c>
      <c r="V1217">
        <v>1</v>
      </c>
      <c r="W1217" t="s">
        <v>50</v>
      </c>
      <c r="X1217">
        <v>41</v>
      </c>
      <c r="Y1217">
        <v>1</v>
      </c>
      <c r="Z1217">
        <f t="shared" si="108"/>
        <v>30</v>
      </c>
      <c r="AA1217">
        <f t="shared" si="109"/>
        <v>0.30263157894736842</v>
      </c>
      <c r="AB1217">
        <f t="shared" si="110"/>
        <v>32</v>
      </c>
      <c r="AC1217" t="str">
        <f t="shared" si="111"/>
        <v>Low</v>
      </c>
      <c r="AD1217" t="str">
        <f t="shared" si="112"/>
        <v>Upsell premium bundle</v>
      </c>
      <c r="AE1217">
        <f t="shared" si="113"/>
        <v>70</v>
      </c>
    </row>
    <row r="1218" spans="1:31" x14ac:dyDescent="0.35">
      <c r="A1218" t="s">
        <v>1276</v>
      </c>
      <c r="B1218" s="4">
        <v>45771</v>
      </c>
      <c r="C1218" s="4">
        <v>46143</v>
      </c>
      <c r="D1218" t="s">
        <v>32</v>
      </c>
      <c r="E1218">
        <v>66</v>
      </c>
      <c r="F1218" t="s">
        <v>33</v>
      </c>
      <c r="G1218" t="s">
        <v>67</v>
      </c>
      <c r="H1218" t="s">
        <v>58</v>
      </c>
      <c r="I1218" t="s">
        <v>49</v>
      </c>
      <c r="J1218">
        <v>12</v>
      </c>
      <c r="K1218" s="5">
        <v>418.86</v>
      </c>
      <c r="L1218" s="5">
        <v>67.739999999999995</v>
      </c>
      <c r="M1218">
        <v>25</v>
      </c>
      <c r="N1218">
        <v>14</v>
      </c>
      <c r="O1218">
        <v>5</v>
      </c>
      <c r="P1218">
        <v>3</v>
      </c>
      <c r="Q1218">
        <v>21</v>
      </c>
      <c r="R1218">
        <v>0</v>
      </c>
      <c r="S1218">
        <v>0</v>
      </c>
      <c r="T1218">
        <v>1</v>
      </c>
      <c r="U1218">
        <v>0</v>
      </c>
      <c r="V1218">
        <v>1</v>
      </c>
      <c r="W1218" t="s">
        <v>50</v>
      </c>
      <c r="X1218">
        <v>21</v>
      </c>
      <c r="Y1218">
        <v>1</v>
      </c>
      <c r="Z1218">
        <f t="shared" ref="Z1218:Z1281" si="114">MIN(100,ROUND((M1218*1.1+N1218*0.7+O1218*1.2+P1218*1.4+Q1218*0.9+U1218*8+V1218*7),0))</f>
        <v>73</v>
      </c>
      <c r="AA1218">
        <f t="shared" ref="AA1218:AA1281" si="115">IFERROR((M1218+Q1218)/(30+J1218),0)</f>
        <v>1.0952380952380953</v>
      </c>
      <c r="AB1218">
        <f t="shared" ref="AB1218:AB1281" si="116">ROUND(MIN(100,MAX(0,60-Z1218*0.4-R1218*1.5+S1218*8-IF(L1218&gt;1500,10,0)-X1218*0.5+IF(I1218="Completed",-8,8)+IF(H1218="Free",6,-4))),0)</f>
        <v>24</v>
      </c>
      <c r="AC1218" t="str">
        <f t="shared" ref="AC1218:AC1281" si="117">IF(AB1218&gt;=70,"High",IF(AB1218&gt;=40,"Medium","Low"))</f>
        <v>Low</v>
      </c>
      <c r="AD1218" t="str">
        <f t="shared" ref="AD1218:AD1281" si="118">IF(AC1218="High",IF(Q1218&lt;5,"Re-engage with app usage offer",IF(K1218&lt;100,"Deposit incentive","Retention call")),IF(AC1218="Medium","Nudge core feature adoption","Upsell premium bundle"))</f>
        <v>Upsell premium bundle</v>
      </c>
      <c r="AE1218">
        <f t="shared" ref="AE1218:AE1281" si="119">100-Z1218</f>
        <v>27</v>
      </c>
    </row>
    <row r="1219" spans="1:31" x14ac:dyDescent="0.35">
      <c r="A1219" t="s">
        <v>1277</v>
      </c>
      <c r="B1219" s="4">
        <v>45884</v>
      </c>
      <c r="C1219" s="4">
        <v>46143</v>
      </c>
      <c r="D1219" t="s">
        <v>32</v>
      </c>
      <c r="E1219">
        <v>70</v>
      </c>
      <c r="F1219" t="s">
        <v>33</v>
      </c>
      <c r="G1219" t="s">
        <v>40</v>
      </c>
      <c r="H1219" t="s">
        <v>41</v>
      </c>
      <c r="I1219" t="s">
        <v>54</v>
      </c>
      <c r="J1219">
        <v>8</v>
      </c>
      <c r="K1219" s="5">
        <v>446.47</v>
      </c>
      <c r="L1219" s="5">
        <v>447.1</v>
      </c>
      <c r="M1219">
        <v>9</v>
      </c>
      <c r="N1219">
        <v>3</v>
      </c>
      <c r="O1219">
        <v>1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1</v>
      </c>
      <c r="W1219" t="s">
        <v>45</v>
      </c>
      <c r="X1219">
        <v>-17</v>
      </c>
      <c r="Y1219">
        <v>1</v>
      </c>
      <c r="Z1219">
        <f t="shared" si="114"/>
        <v>22</v>
      </c>
      <c r="AA1219">
        <f t="shared" si="115"/>
        <v>0.23684210526315788</v>
      </c>
      <c r="AB1219">
        <f t="shared" si="116"/>
        <v>72</v>
      </c>
      <c r="AC1219" t="str">
        <f t="shared" si="117"/>
        <v>High</v>
      </c>
      <c r="AD1219" t="str">
        <f t="shared" si="118"/>
        <v>Re-engage with app usage offer</v>
      </c>
      <c r="AE1219">
        <f t="shared" si="119"/>
        <v>78</v>
      </c>
    </row>
    <row r="1220" spans="1:31" x14ac:dyDescent="0.35">
      <c r="A1220" t="s">
        <v>1278</v>
      </c>
      <c r="B1220" s="4">
        <v>45030</v>
      </c>
      <c r="C1220" s="4">
        <v>46143</v>
      </c>
      <c r="D1220" t="s">
        <v>60</v>
      </c>
      <c r="E1220">
        <v>34</v>
      </c>
      <c r="F1220" t="s">
        <v>77</v>
      </c>
      <c r="G1220" t="s">
        <v>85</v>
      </c>
      <c r="H1220" t="s">
        <v>58</v>
      </c>
      <c r="I1220" t="s">
        <v>49</v>
      </c>
      <c r="J1220">
        <v>37</v>
      </c>
      <c r="K1220" s="5">
        <v>3195.92</v>
      </c>
      <c r="L1220" s="5">
        <v>5388.73</v>
      </c>
      <c r="M1220">
        <v>13</v>
      </c>
      <c r="N1220">
        <v>8</v>
      </c>
      <c r="O1220">
        <v>2</v>
      </c>
      <c r="P1220">
        <v>1</v>
      </c>
      <c r="Q1220">
        <v>29</v>
      </c>
      <c r="R1220">
        <v>1</v>
      </c>
      <c r="S1220">
        <v>1</v>
      </c>
      <c r="T1220">
        <v>1</v>
      </c>
      <c r="U1220">
        <v>0</v>
      </c>
      <c r="V1220">
        <v>1</v>
      </c>
      <c r="W1220" t="s">
        <v>45</v>
      </c>
      <c r="X1220">
        <v>38</v>
      </c>
      <c r="Y1220">
        <v>1</v>
      </c>
      <c r="Z1220">
        <f t="shared" si="114"/>
        <v>57</v>
      </c>
      <c r="AA1220">
        <f t="shared" si="115"/>
        <v>0.62686567164179108</v>
      </c>
      <c r="AB1220">
        <f t="shared" si="116"/>
        <v>19</v>
      </c>
      <c r="AC1220" t="str">
        <f t="shared" si="117"/>
        <v>Low</v>
      </c>
      <c r="AD1220" t="str">
        <f t="shared" si="118"/>
        <v>Upsell premium bundle</v>
      </c>
      <c r="AE1220">
        <f t="shared" si="119"/>
        <v>43</v>
      </c>
    </row>
    <row r="1221" spans="1:31" x14ac:dyDescent="0.35">
      <c r="A1221" t="s">
        <v>1279</v>
      </c>
      <c r="B1221" s="4">
        <v>45105</v>
      </c>
      <c r="C1221" s="4">
        <v>46143</v>
      </c>
      <c r="D1221" t="s">
        <v>72</v>
      </c>
      <c r="E1221">
        <v>61</v>
      </c>
      <c r="F1221" t="s">
        <v>43</v>
      </c>
      <c r="G1221" t="s">
        <v>85</v>
      </c>
      <c r="H1221" t="s">
        <v>41</v>
      </c>
      <c r="I1221" t="s">
        <v>36</v>
      </c>
      <c r="J1221">
        <v>34</v>
      </c>
      <c r="K1221" s="5">
        <v>85.89</v>
      </c>
      <c r="L1221" s="5">
        <v>9.5</v>
      </c>
      <c r="M1221">
        <v>15</v>
      </c>
      <c r="N1221">
        <v>4</v>
      </c>
      <c r="O1221">
        <v>3</v>
      </c>
      <c r="P1221">
        <v>2</v>
      </c>
      <c r="Q1221">
        <v>10</v>
      </c>
      <c r="R1221">
        <v>0</v>
      </c>
      <c r="S1221">
        <v>0</v>
      </c>
      <c r="T1221">
        <v>1</v>
      </c>
      <c r="U1221">
        <v>0</v>
      </c>
      <c r="V1221">
        <v>0</v>
      </c>
      <c r="W1221" t="s">
        <v>45</v>
      </c>
      <c r="X1221">
        <v>33</v>
      </c>
      <c r="Y1221">
        <v>0</v>
      </c>
      <c r="Z1221">
        <f t="shared" si="114"/>
        <v>35</v>
      </c>
      <c r="AA1221">
        <f t="shared" si="115"/>
        <v>0.390625</v>
      </c>
      <c r="AB1221">
        <f t="shared" si="116"/>
        <v>28</v>
      </c>
      <c r="AC1221" t="str">
        <f t="shared" si="117"/>
        <v>Low</v>
      </c>
      <c r="AD1221" t="str">
        <f t="shared" si="118"/>
        <v>Upsell premium bundle</v>
      </c>
      <c r="AE1221">
        <f t="shared" si="119"/>
        <v>65</v>
      </c>
    </row>
    <row r="1222" spans="1:31" x14ac:dyDescent="0.35">
      <c r="A1222" t="s">
        <v>1280</v>
      </c>
      <c r="B1222" s="4">
        <v>45735</v>
      </c>
      <c r="C1222" s="4">
        <v>46143</v>
      </c>
      <c r="D1222" t="s">
        <v>32</v>
      </c>
      <c r="E1222">
        <v>41</v>
      </c>
      <c r="F1222" t="s">
        <v>33</v>
      </c>
      <c r="G1222" t="s">
        <v>63</v>
      </c>
      <c r="H1222" t="s">
        <v>58</v>
      </c>
      <c r="I1222" t="s">
        <v>36</v>
      </c>
      <c r="J1222">
        <v>13</v>
      </c>
      <c r="K1222" s="5">
        <v>223.85</v>
      </c>
      <c r="L1222" s="5">
        <v>443.09</v>
      </c>
      <c r="M1222">
        <v>37</v>
      </c>
      <c r="N1222">
        <v>9</v>
      </c>
      <c r="O1222">
        <v>9</v>
      </c>
      <c r="P1222">
        <v>3</v>
      </c>
      <c r="Q1222">
        <v>35</v>
      </c>
      <c r="R1222">
        <v>0</v>
      </c>
      <c r="S1222">
        <v>0</v>
      </c>
      <c r="T1222">
        <v>1</v>
      </c>
      <c r="U1222">
        <v>0</v>
      </c>
      <c r="V1222">
        <v>0</v>
      </c>
      <c r="W1222" t="s">
        <v>45</v>
      </c>
      <c r="X1222">
        <v>83</v>
      </c>
      <c r="Y1222">
        <v>0</v>
      </c>
      <c r="Z1222">
        <f t="shared" si="114"/>
        <v>94</v>
      </c>
      <c r="AA1222">
        <f t="shared" si="115"/>
        <v>1.6744186046511629</v>
      </c>
      <c r="AB1222">
        <f t="shared" si="116"/>
        <v>0</v>
      </c>
      <c r="AC1222" t="str">
        <f t="shared" si="117"/>
        <v>Low</v>
      </c>
      <c r="AD1222" t="str">
        <f t="shared" si="118"/>
        <v>Upsell premium bundle</v>
      </c>
      <c r="AE1222">
        <f t="shared" si="119"/>
        <v>6</v>
      </c>
    </row>
    <row r="1223" spans="1:31" x14ac:dyDescent="0.35">
      <c r="A1223" t="s">
        <v>1281</v>
      </c>
      <c r="B1223" s="4">
        <v>45162</v>
      </c>
      <c r="C1223" s="4">
        <v>46143</v>
      </c>
      <c r="D1223" t="s">
        <v>47</v>
      </c>
      <c r="E1223">
        <v>45</v>
      </c>
      <c r="F1223" t="s">
        <v>77</v>
      </c>
      <c r="G1223" t="s">
        <v>34</v>
      </c>
      <c r="H1223" t="s">
        <v>41</v>
      </c>
      <c r="I1223" t="s">
        <v>36</v>
      </c>
      <c r="J1223">
        <v>32</v>
      </c>
      <c r="K1223" s="5">
        <v>15675.44</v>
      </c>
      <c r="L1223" s="5">
        <v>9149.93</v>
      </c>
      <c r="M1223">
        <v>24</v>
      </c>
      <c r="N1223">
        <v>6</v>
      </c>
      <c r="O1223">
        <v>3</v>
      </c>
      <c r="P1223">
        <v>1</v>
      </c>
      <c r="Q1223">
        <v>17</v>
      </c>
      <c r="R1223">
        <v>3</v>
      </c>
      <c r="S1223">
        <v>1</v>
      </c>
      <c r="T1223">
        <v>0</v>
      </c>
      <c r="U1223">
        <v>1</v>
      </c>
      <c r="V1223">
        <v>1</v>
      </c>
      <c r="W1223" t="s">
        <v>55</v>
      </c>
      <c r="X1223">
        <v>-10</v>
      </c>
      <c r="Y1223">
        <v>0</v>
      </c>
      <c r="Z1223">
        <f t="shared" si="114"/>
        <v>66</v>
      </c>
      <c r="AA1223">
        <f t="shared" si="115"/>
        <v>0.66129032258064513</v>
      </c>
      <c r="AB1223">
        <f t="shared" si="116"/>
        <v>30</v>
      </c>
      <c r="AC1223" t="str">
        <f t="shared" si="117"/>
        <v>Low</v>
      </c>
      <c r="AD1223" t="str">
        <f t="shared" si="118"/>
        <v>Upsell premium bundle</v>
      </c>
      <c r="AE1223">
        <f t="shared" si="119"/>
        <v>34</v>
      </c>
    </row>
    <row r="1224" spans="1:31" x14ac:dyDescent="0.35">
      <c r="A1224" t="s">
        <v>1282</v>
      </c>
      <c r="B1224" s="4">
        <v>45501</v>
      </c>
      <c r="C1224" s="4">
        <v>46143</v>
      </c>
      <c r="D1224" t="s">
        <v>47</v>
      </c>
      <c r="E1224">
        <v>61</v>
      </c>
      <c r="F1224" t="s">
        <v>57</v>
      </c>
      <c r="G1224" t="s">
        <v>63</v>
      </c>
      <c r="H1224" t="s">
        <v>44</v>
      </c>
      <c r="I1224" t="s">
        <v>36</v>
      </c>
      <c r="J1224">
        <v>21</v>
      </c>
      <c r="K1224" s="5">
        <v>2907.79</v>
      </c>
      <c r="L1224" s="5">
        <v>1343.6</v>
      </c>
      <c r="M1224">
        <v>36</v>
      </c>
      <c r="N1224">
        <v>15</v>
      </c>
      <c r="O1224">
        <v>5</v>
      </c>
      <c r="P1224">
        <v>2</v>
      </c>
      <c r="Q1224">
        <v>19</v>
      </c>
      <c r="R1224">
        <v>0</v>
      </c>
      <c r="S1224">
        <v>0</v>
      </c>
      <c r="T1224">
        <v>1</v>
      </c>
      <c r="U1224">
        <v>0</v>
      </c>
      <c r="V1224">
        <v>1</v>
      </c>
      <c r="W1224" t="s">
        <v>55</v>
      </c>
      <c r="X1224">
        <v>8</v>
      </c>
      <c r="Y1224">
        <v>0</v>
      </c>
      <c r="Z1224">
        <f t="shared" si="114"/>
        <v>83</v>
      </c>
      <c r="AA1224">
        <f t="shared" si="115"/>
        <v>1.0784313725490196</v>
      </c>
      <c r="AB1224">
        <f t="shared" si="116"/>
        <v>11</v>
      </c>
      <c r="AC1224" t="str">
        <f t="shared" si="117"/>
        <v>Low</v>
      </c>
      <c r="AD1224" t="str">
        <f t="shared" si="118"/>
        <v>Upsell premium bundle</v>
      </c>
      <c r="AE1224">
        <f t="shared" si="119"/>
        <v>17</v>
      </c>
    </row>
    <row r="1225" spans="1:31" x14ac:dyDescent="0.35">
      <c r="A1225" t="s">
        <v>1283</v>
      </c>
      <c r="B1225" s="4">
        <v>45805</v>
      </c>
      <c r="C1225" s="4">
        <v>46143</v>
      </c>
      <c r="D1225" t="s">
        <v>47</v>
      </c>
      <c r="E1225">
        <v>18</v>
      </c>
      <c r="F1225" t="s">
        <v>57</v>
      </c>
      <c r="G1225" t="s">
        <v>63</v>
      </c>
      <c r="H1225" t="s">
        <v>58</v>
      </c>
      <c r="I1225" t="s">
        <v>36</v>
      </c>
      <c r="J1225">
        <v>11</v>
      </c>
      <c r="K1225" s="5">
        <v>2865.03</v>
      </c>
      <c r="L1225" s="5">
        <v>1149.23</v>
      </c>
      <c r="M1225">
        <v>22</v>
      </c>
      <c r="N1225">
        <v>8</v>
      </c>
      <c r="O1225">
        <v>2</v>
      </c>
      <c r="P1225">
        <v>4</v>
      </c>
      <c r="Q1225">
        <v>15</v>
      </c>
      <c r="R1225">
        <v>0</v>
      </c>
      <c r="S1225">
        <v>0</v>
      </c>
      <c r="T1225">
        <v>1</v>
      </c>
      <c r="U1225">
        <v>0</v>
      </c>
      <c r="V1225">
        <v>0</v>
      </c>
      <c r="W1225" t="s">
        <v>52</v>
      </c>
      <c r="X1225">
        <v>20</v>
      </c>
      <c r="Y1225">
        <v>0</v>
      </c>
      <c r="Z1225">
        <f t="shared" si="114"/>
        <v>51</v>
      </c>
      <c r="AA1225">
        <f t="shared" si="115"/>
        <v>0.90243902439024393</v>
      </c>
      <c r="AB1225">
        <f t="shared" si="116"/>
        <v>18</v>
      </c>
      <c r="AC1225" t="str">
        <f t="shared" si="117"/>
        <v>Low</v>
      </c>
      <c r="AD1225" t="str">
        <f t="shared" si="118"/>
        <v>Upsell premium bundle</v>
      </c>
      <c r="AE1225">
        <f t="shared" si="119"/>
        <v>49</v>
      </c>
    </row>
    <row r="1226" spans="1:31" x14ac:dyDescent="0.35">
      <c r="A1226" t="s">
        <v>1284</v>
      </c>
      <c r="B1226" s="4">
        <v>44887</v>
      </c>
      <c r="C1226" s="4">
        <v>46143</v>
      </c>
      <c r="D1226" t="s">
        <v>66</v>
      </c>
      <c r="E1226">
        <v>54</v>
      </c>
      <c r="F1226" t="s">
        <v>77</v>
      </c>
      <c r="G1226" t="s">
        <v>34</v>
      </c>
      <c r="H1226" t="s">
        <v>41</v>
      </c>
      <c r="I1226" t="s">
        <v>36</v>
      </c>
      <c r="J1226">
        <v>41</v>
      </c>
      <c r="K1226" s="5">
        <v>0</v>
      </c>
      <c r="L1226" s="5">
        <v>1831.79</v>
      </c>
      <c r="M1226">
        <v>39</v>
      </c>
      <c r="N1226">
        <v>17</v>
      </c>
      <c r="O1226">
        <v>4</v>
      </c>
      <c r="P1226">
        <v>7</v>
      </c>
      <c r="Q1226">
        <v>29</v>
      </c>
      <c r="R1226">
        <v>0</v>
      </c>
      <c r="S1226">
        <v>0</v>
      </c>
      <c r="T1226">
        <v>0</v>
      </c>
      <c r="U1226">
        <v>1</v>
      </c>
      <c r="V1226">
        <v>1</v>
      </c>
      <c r="W1226" t="s">
        <v>50</v>
      </c>
      <c r="X1226">
        <v>22</v>
      </c>
      <c r="Y1226">
        <v>0</v>
      </c>
      <c r="Z1226">
        <f t="shared" si="114"/>
        <v>100</v>
      </c>
      <c r="AA1226">
        <f t="shared" si="115"/>
        <v>0.95774647887323938</v>
      </c>
      <c r="AB1226">
        <f t="shared" si="116"/>
        <v>0</v>
      </c>
      <c r="AC1226" t="str">
        <f t="shared" si="117"/>
        <v>Low</v>
      </c>
      <c r="AD1226" t="str">
        <f t="shared" si="118"/>
        <v>Upsell premium bundle</v>
      </c>
      <c r="AE1226">
        <f t="shared" si="119"/>
        <v>0</v>
      </c>
    </row>
    <row r="1227" spans="1:31" x14ac:dyDescent="0.35">
      <c r="A1227" t="s">
        <v>1285</v>
      </c>
      <c r="B1227" s="4">
        <v>44695</v>
      </c>
      <c r="C1227" s="4">
        <v>46143</v>
      </c>
      <c r="D1227" t="s">
        <v>60</v>
      </c>
      <c r="E1227">
        <v>22</v>
      </c>
      <c r="F1227" t="s">
        <v>43</v>
      </c>
      <c r="G1227" t="s">
        <v>40</v>
      </c>
      <c r="H1227" t="s">
        <v>41</v>
      </c>
      <c r="I1227" t="s">
        <v>36</v>
      </c>
      <c r="J1227">
        <v>48</v>
      </c>
      <c r="K1227" s="5">
        <v>133.76</v>
      </c>
      <c r="L1227" s="5">
        <v>59.28</v>
      </c>
      <c r="M1227">
        <v>33</v>
      </c>
      <c r="N1227">
        <v>24</v>
      </c>
      <c r="O1227">
        <v>2</v>
      </c>
      <c r="P1227">
        <v>1</v>
      </c>
      <c r="Q1227">
        <v>30</v>
      </c>
      <c r="R1227">
        <v>3</v>
      </c>
      <c r="S1227">
        <v>1</v>
      </c>
      <c r="T1227">
        <v>1</v>
      </c>
      <c r="U1227">
        <v>0</v>
      </c>
      <c r="V1227">
        <v>1</v>
      </c>
      <c r="W1227" t="s">
        <v>50</v>
      </c>
      <c r="X1227">
        <v>18</v>
      </c>
      <c r="Y1227">
        <v>0</v>
      </c>
      <c r="Z1227">
        <f t="shared" si="114"/>
        <v>91</v>
      </c>
      <c r="AA1227">
        <f t="shared" si="115"/>
        <v>0.80769230769230771</v>
      </c>
      <c r="AB1227">
        <f t="shared" si="116"/>
        <v>16</v>
      </c>
      <c r="AC1227" t="str">
        <f t="shared" si="117"/>
        <v>Low</v>
      </c>
      <c r="AD1227" t="str">
        <f t="shared" si="118"/>
        <v>Upsell premium bundle</v>
      </c>
      <c r="AE1227">
        <f t="shared" si="119"/>
        <v>9</v>
      </c>
    </row>
    <row r="1228" spans="1:31" x14ac:dyDescent="0.35">
      <c r="A1228" t="s">
        <v>1286</v>
      </c>
      <c r="B1228" s="4">
        <v>45709</v>
      </c>
      <c r="C1228" s="4">
        <v>46143</v>
      </c>
      <c r="D1228" t="s">
        <v>47</v>
      </c>
      <c r="E1228">
        <v>66</v>
      </c>
      <c r="F1228" t="s">
        <v>57</v>
      </c>
      <c r="G1228" t="s">
        <v>34</v>
      </c>
      <c r="H1228" t="s">
        <v>58</v>
      </c>
      <c r="I1228" t="s">
        <v>36</v>
      </c>
      <c r="J1228">
        <v>14</v>
      </c>
      <c r="K1228" s="5">
        <v>955.59</v>
      </c>
      <c r="L1228" s="5">
        <v>806.01</v>
      </c>
      <c r="M1228">
        <v>53</v>
      </c>
      <c r="N1228">
        <v>28</v>
      </c>
      <c r="O1228">
        <v>5</v>
      </c>
      <c r="P1228">
        <v>3</v>
      </c>
      <c r="Q1228">
        <v>47</v>
      </c>
      <c r="R1228">
        <v>2</v>
      </c>
      <c r="S1228">
        <v>1</v>
      </c>
      <c r="T1228">
        <v>1</v>
      </c>
      <c r="U1228">
        <v>0</v>
      </c>
      <c r="V1228">
        <v>1</v>
      </c>
      <c r="W1228" t="s">
        <v>45</v>
      </c>
      <c r="X1228">
        <v>38</v>
      </c>
      <c r="Y1228">
        <v>0</v>
      </c>
      <c r="Z1228">
        <f t="shared" si="114"/>
        <v>100</v>
      </c>
      <c r="AA1228">
        <f t="shared" si="115"/>
        <v>2.2727272727272729</v>
      </c>
      <c r="AB1228">
        <f t="shared" si="116"/>
        <v>0</v>
      </c>
      <c r="AC1228" t="str">
        <f t="shared" si="117"/>
        <v>Low</v>
      </c>
      <c r="AD1228" t="str">
        <f t="shared" si="118"/>
        <v>Upsell premium bundle</v>
      </c>
      <c r="AE1228">
        <f t="shared" si="119"/>
        <v>0</v>
      </c>
    </row>
    <row r="1229" spans="1:31" x14ac:dyDescent="0.35">
      <c r="A1229" t="s">
        <v>1287</v>
      </c>
      <c r="B1229" s="4">
        <v>46091</v>
      </c>
      <c r="C1229" s="4">
        <v>46143</v>
      </c>
      <c r="D1229" t="s">
        <v>39</v>
      </c>
      <c r="E1229">
        <v>18</v>
      </c>
      <c r="F1229" t="s">
        <v>33</v>
      </c>
      <c r="G1229" t="s">
        <v>63</v>
      </c>
      <c r="H1229" t="s">
        <v>41</v>
      </c>
      <c r="I1229" t="s">
        <v>36</v>
      </c>
      <c r="J1229">
        <v>1</v>
      </c>
      <c r="K1229" s="5">
        <v>823.16</v>
      </c>
      <c r="L1229" s="5">
        <v>406.93</v>
      </c>
      <c r="M1229">
        <v>22</v>
      </c>
      <c r="N1229">
        <v>13</v>
      </c>
      <c r="O1229">
        <v>5</v>
      </c>
      <c r="P1229">
        <v>1</v>
      </c>
      <c r="Q1229">
        <v>17</v>
      </c>
      <c r="R1229">
        <v>3</v>
      </c>
      <c r="S1229">
        <v>2</v>
      </c>
      <c r="T1229">
        <v>1</v>
      </c>
      <c r="U1229">
        <v>0</v>
      </c>
      <c r="V1229">
        <v>0</v>
      </c>
      <c r="W1229" t="s">
        <v>52</v>
      </c>
      <c r="X1229">
        <v>23</v>
      </c>
      <c r="Y1229">
        <v>0</v>
      </c>
      <c r="Z1229">
        <f t="shared" si="114"/>
        <v>56</v>
      </c>
      <c r="AA1229">
        <f t="shared" si="115"/>
        <v>1.2580645161290323</v>
      </c>
      <c r="AB1229">
        <f t="shared" si="116"/>
        <v>36</v>
      </c>
      <c r="AC1229" t="str">
        <f t="shared" si="117"/>
        <v>Low</v>
      </c>
      <c r="AD1229" t="str">
        <f t="shared" si="118"/>
        <v>Upsell premium bundle</v>
      </c>
      <c r="AE1229">
        <f t="shared" si="119"/>
        <v>44</v>
      </c>
    </row>
    <row r="1230" spans="1:31" x14ac:dyDescent="0.35">
      <c r="A1230" t="s">
        <v>1288</v>
      </c>
      <c r="B1230" s="4">
        <v>45731</v>
      </c>
      <c r="C1230" s="4">
        <v>46143</v>
      </c>
      <c r="D1230" t="s">
        <v>60</v>
      </c>
      <c r="E1230">
        <v>63</v>
      </c>
      <c r="F1230" t="s">
        <v>61</v>
      </c>
      <c r="G1230" t="s">
        <v>34</v>
      </c>
      <c r="H1230" t="s">
        <v>58</v>
      </c>
      <c r="I1230" t="s">
        <v>36</v>
      </c>
      <c r="J1230">
        <v>13</v>
      </c>
      <c r="K1230" s="5">
        <v>3703.97</v>
      </c>
      <c r="L1230" s="5">
        <v>2253.4499999999998</v>
      </c>
      <c r="M1230">
        <v>47</v>
      </c>
      <c r="N1230">
        <v>19</v>
      </c>
      <c r="O1230">
        <v>10</v>
      </c>
      <c r="P1230">
        <v>9</v>
      </c>
      <c r="Q1230">
        <v>42</v>
      </c>
      <c r="R1230">
        <v>0</v>
      </c>
      <c r="S1230">
        <v>0</v>
      </c>
      <c r="T1230">
        <v>1</v>
      </c>
      <c r="U1230">
        <v>1</v>
      </c>
      <c r="V1230">
        <v>0</v>
      </c>
      <c r="W1230" t="s">
        <v>45</v>
      </c>
      <c r="X1230">
        <v>54</v>
      </c>
      <c r="Y1230">
        <v>0</v>
      </c>
      <c r="Z1230">
        <f t="shared" si="114"/>
        <v>100</v>
      </c>
      <c r="AA1230">
        <f t="shared" si="115"/>
        <v>2.0697674418604652</v>
      </c>
      <c r="AB1230">
        <f t="shared" si="116"/>
        <v>0</v>
      </c>
      <c r="AC1230" t="str">
        <f t="shared" si="117"/>
        <v>Low</v>
      </c>
      <c r="AD1230" t="str">
        <f t="shared" si="118"/>
        <v>Upsell premium bundle</v>
      </c>
      <c r="AE1230">
        <f t="shared" si="119"/>
        <v>0</v>
      </c>
    </row>
    <row r="1231" spans="1:31" x14ac:dyDescent="0.35">
      <c r="A1231" t="s">
        <v>1289</v>
      </c>
      <c r="B1231" s="4">
        <v>45010</v>
      </c>
      <c r="C1231" s="4">
        <v>46143</v>
      </c>
      <c r="D1231" t="s">
        <v>47</v>
      </c>
      <c r="E1231">
        <v>41</v>
      </c>
      <c r="F1231" t="s">
        <v>43</v>
      </c>
      <c r="G1231" t="s">
        <v>40</v>
      </c>
      <c r="H1231" t="s">
        <v>35</v>
      </c>
      <c r="I1231" t="s">
        <v>36</v>
      </c>
      <c r="J1231">
        <v>37</v>
      </c>
      <c r="K1231" s="5">
        <v>68.27</v>
      </c>
      <c r="L1231" s="5">
        <v>78.62</v>
      </c>
      <c r="M1231">
        <v>14</v>
      </c>
      <c r="N1231">
        <v>7</v>
      </c>
      <c r="O1231">
        <v>1</v>
      </c>
      <c r="P1231">
        <v>2</v>
      </c>
      <c r="Q1231">
        <v>25</v>
      </c>
      <c r="R1231">
        <v>0</v>
      </c>
      <c r="S1231">
        <v>0</v>
      </c>
      <c r="T1231">
        <v>1</v>
      </c>
      <c r="U1231">
        <v>1</v>
      </c>
      <c r="V1231">
        <v>0</v>
      </c>
      <c r="W1231" t="s">
        <v>45</v>
      </c>
      <c r="X1231">
        <v>-6</v>
      </c>
      <c r="Y1231">
        <v>0</v>
      </c>
      <c r="Z1231">
        <f t="shared" si="114"/>
        <v>55</v>
      </c>
      <c r="AA1231">
        <f t="shared" si="115"/>
        <v>0.58208955223880599</v>
      </c>
      <c r="AB1231">
        <f t="shared" si="116"/>
        <v>29</v>
      </c>
      <c r="AC1231" t="str">
        <f t="shared" si="117"/>
        <v>Low</v>
      </c>
      <c r="AD1231" t="str">
        <f t="shared" si="118"/>
        <v>Upsell premium bundle</v>
      </c>
      <c r="AE1231">
        <f t="shared" si="119"/>
        <v>45</v>
      </c>
    </row>
    <row r="1232" spans="1:31" x14ac:dyDescent="0.35">
      <c r="A1232" t="s">
        <v>1290</v>
      </c>
      <c r="B1232" s="4">
        <v>45806</v>
      </c>
      <c r="C1232" s="4">
        <v>46143</v>
      </c>
      <c r="D1232" t="s">
        <v>39</v>
      </c>
      <c r="E1232">
        <v>37</v>
      </c>
      <c r="F1232" t="s">
        <v>43</v>
      </c>
      <c r="G1232" t="s">
        <v>85</v>
      </c>
      <c r="H1232" t="s">
        <v>58</v>
      </c>
      <c r="I1232" t="s">
        <v>36</v>
      </c>
      <c r="J1232">
        <v>11</v>
      </c>
      <c r="K1232" s="5">
        <v>16.440000000000001</v>
      </c>
      <c r="L1232" s="5">
        <v>0</v>
      </c>
      <c r="M1232">
        <v>18</v>
      </c>
      <c r="N1232">
        <v>5</v>
      </c>
      <c r="O1232">
        <v>1</v>
      </c>
      <c r="P1232">
        <v>2</v>
      </c>
      <c r="Q1232">
        <v>10</v>
      </c>
      <c r="R1232">
        <v>0</v>
      </c>
      <c r="S1232">
        <v>0</v>
      </c>
      <c r="T1232">
        <v>0</v>
      </c>
      <c r="U1232">
        <v>1</v>
      </c>
      <c r="V1232">
        <v>1</v>
      </c>
      <c r="W1232" t="s">
        <v>37</v>
      </c>
      <c r="X1232">
        <v>58</v>
      </c>
      <c r="Y1232">
        <v>0</v>
      </c>
      <c r="Z1232">
        <f t="shared" si="114"/>
        <v>51</v>
      </c>
      <c r="AA1232">
        <f t="shared" si="115"/>
        <v>0.68292682926829273</v>
      </c>
      <c r="AB1232">
        <f t="shared" si="116"/>
        <v>0</v>
      </c>
      <c r="AC1232" t="str">
        <f t="shared" si="117"/>
        <v>Low</v>
      </c>
      <c r="AD1232" t="str">
        <f t="shared" si="118"/>
        <v>Upsell premium bundle</v>
      </c>
      <c r="AE1232">
        <f t="shared" si="119"/>
        <v>49</v>
      </c>
    </row>
    <row r="1233" spans="1:31" x14ac:dyDescent="0.35">
      <c r="A1233" t="s">
        <v>1291</v>
      </c>
      <c r="B1233" s="4">
        <v>45819</v>
      </c>
      <c r="C1233" s="4">
        <v>46143</v>
      </c>
      <c r="D1233" t="s">
        <v>47</v>
      </c>
      <c r="E1233">
        <v>52</v>
      </c>
      <c r="F1233" t="s">
        <v>57</v>
      </c>
      <c r="G1233" t="s">
        <v>34</v>
      </c>
      <c r="H1233" t="s">
        <v>41</v>
      </c>
      <c r="I1233" t="s">
        <v>36</v>
      </c>
      <c r="J1233">
        <v>10</v>
      </c>
      <c r="K1233" s="5">
        <v>1146.1500000000001</v>
      </c>
      <c r="L1233" s="5">
        <v>354.35</v>
      </c>
      <c r="M1233">
        <v>10</v>
      </c>
      <c r="N1233">
        <v>6</v>
      </c>
      <c r="O1233">
        <v>1</v>
      </c>
      <c r="P1233">
        <v>0</v>
      </c>
      <c r="Q1233">
        <v>18</v>
      </c>
      <c r="R1233">
        <v>2</v>
      </c>
      <c r="S1233">
        <v>1</v>
      </c>
      <c r="T1233">
        <v>1</v>
      </c>
      <c r="U1233">
        <v>0</v>
      </c>
      <c r="V1233">
        <v>0</v>
      </c>
      <c r="W1233" t="s">
        <v>37</v>
      </c>
      <c r="X1233">
        <v>20</v>
      </c>
      <c r="Y1233">
        <v>1</v>
      </c>
      <c r="Z1233">
        <f t="shared" si="114"/>
        <v>33</v>
      </c>
      <c r="AA1233">
        <f t="shared" si="115"/>
        <v>0.7</v>
      </c>
      <c r="AB1233">
        <f t="shared" si="116"/>
        <v>40</v>
      </c>
      <c r="AC1233" t="str">
        <f t="shared" si="117"/>
        <v>Medium</v>
      </c>
      <c r="AD1233" t="str">
        <f t="shared" si="118"/>
        <v>Nudge core feature adoption</v>
      </c>
      <c r="AE1233">
        <f t="shared" si="119"/>
        <v>67</v>
      </c>
    </row>
    <row r="1234" spans="1:31" x14ac:dyDescent="0.35">
      <c r="A1234" t="s">
        <v>1292</v>
      </c>
      <c r="B1234" s="4">
        <v>45252</v>
      </c>
      <c r="C1234" s="4">
        <v>46143</v>
      </c>
      <c r="D1234" t="s">
        <v>47</v>
      </c>
      <c r="E1234">
        <v>63</v>
      </c>
      <c r="F1234" t="s">
        <v>33</v>
      </c>
      <c r="G1234" t="s">
        <v>67</v>
      </c>
      <c r="H1234" t="s">
        <v>58</v>
      </c>
      <c r="I1234" t="s">
        <v>36</v>
      </c>
      <c r="J1234">
        <v>29</v>
      </c>
      <c r="K1234" s="5">
        <v>181.32</v>
      </c>
      <c r="L1234" s="5">
        <v>96.71</v>
      </c>
      <c r="M1234">
        <v>22</v>
      </c>
      <c r="N1234">
        <v>7</v>
      </c>
      <c r="O1234">
        <v>1</v>
      </c>
      <c r="P1234">
        <v>1</v>
      </c>
      <c r="Q1234">
        <v>14</v>
      </c>
      <c r="R1234">
        <v>1</v>
      </c>
      <c r="S1234">
        <v>0</v>
      </c>
      <c r="T1234">
        <v>0</v>
      </c>
      <c r="U1234">
        <v>0</v>
      </c>
      <c r="V1234">
        <v>1</v>
      </c>
      <c r="W1234" t="s">
        <v>52</v>
      </c>
      <c r="X1234">
        <v>13</v>
      </c>
      <c r="Y1234">
        <v>0</v>
      </c>
      <c r="Z1234">
        <f t="shared" si="114"/>
        <v>51</v>
      </c>
      <c r="AA1234">
        <f t="shared" si="115"/>
        <v>0.61016949152542377</v>
      </c>
      <c r="AB1234">
        <f t="shared" si="116"/>
        <v>20</v>
      </c>
      <c r="AC1234" t="str">
        <f t="shared" si="117"/>
        <v>Low</v>
      </c>
      <c r="AD1234" t="str">
        <f t="shared" si="118"/>
        <v>Upsell premium bundle</v>
      </c>
      <c r="AE1234">
        <f t="shared" si="119"/>
        <v>49</v>
      </c>
    </row>
    <row r="1235" spans="1:31" x14ac:dyDescent="0.35">
      <c r="A1235" t="s">
        <v>1293</v>
      </c>
      <c r="B1235" s="4">
        <v>45283</v>
      </c>
      <c r="C1235" s="4">
        <v>46143</v>
      </c>
      <c r="D1235" t="s">
        <v>60</v>
      </c>
      <c r="E1235">
        <v>33</v>
      </c>
      <c r="F1235" t="s">
        <v>57</v>
      </c>
      <c r="G1235" t="s">
        <v>34</v>
      </c>
      <c r="H1235" t="s">
        <v>44</v>
      </c>
      <c r="I1235" t="s">
        <v>36</v>
      </c>
      <c r="J1235">
        <v>28</v>
      </c>
      <c r="K1235" s="5">
        <v>947.59</v>
      </c>
      <c r="L1235" s="5">
        <v>185.81</v>
      </c>
      <c r="M1235">
        <v>40</v>
      </c>
      <c r="N1235">
        <v>13</v>
      </c>
      <c r="O1235">
        <v>10</v>
      </c>
      <c r="P1235">
        <v>8</v>
      </c>
      <c r="Q1235">
        <v>18</v>
      </c>
      <c r="R1235">
        <v>0</v>
      </c>
      <c r="S1235">
        <v>0</v>
      </c>
      <c r="T1235">
        <v>1</v>
      </c>
      <c r="U1235">
        <v>1</v>
      </c>
      <c r="V1235">
        <v>0</v>
      </c>
      <c r="W1235" t="s">
        <v>37</v>
      </c>
      <c r="X1235">
        <v>-18</v>
      </c>
      <c r="Y1235">
        <v>0</v>
      </c>
      <c r="Z1235">
        <f t="shared" si="114"/>
        <v>100</v>
      </c>
      <c r="AA1235">
        <f t="shared" si="115"/>
        <v>1</v>
      </c>
      <c r="AB1235">
        <f t="shared" si="116"/>
        <v>17</v>
      </c>
      <c r="AC1235" t="str">
        <f t="shared" si="117"/>
        <v>Low</v>
      </c>
      <c r="AD1235" t="str">
        <f t="shared" si="118"/>
        <v>Upsell premium bundle</v>
      </c>
      <c r="AE1235">
        <f t="shared" si="119"/>
        <v>0</v>
      </c>
    </row>
    <row r="1236" spans="1:31" x14ac:dyDescent="0.35">
      <c r="A1236" t="s">
        <v>1294</v>
      </c>
      <c r="B1236" s="4">
        <v>45707</v>
      </c>
      <c r="C1236" s="4">
        <v>46143</v>
      </c>
      <c r="D1236" t="s">
        <v>47</v>
      </c>
      <c r="E1236">
        <v>63</v>
      </c>
      <c r="F1236" t="s">
        <v>57</v>
      </c>
      <c r="G1236" t="s">
        <v>85</v>
      </c>
      <c r="H1236" t="s">
        <v>41</v>
      </c>
      <c r="I1236" t="s">
        <v>36</v>
      </c>
      <c r="J1236">
        <v>14</v>
      </c>
      <c r="K1236" s="5">
        <v>2153.56</v>
      </c>
      <c r="L1236" s="5">
        <v>1380.88</v>
      </c>
      <c r="M1236">
        <v>22</v>
      </c>
      <c r="N1236">
        <v>14</v>
      </c>
      <c r="O1236">
        <v>5</v>
      </c>
      <c r="P1236">
        <v>0</v>
      </c>
      <c r="Q1236">
        <v>25</v>
      </c>
      <c r="R1236">
        <v>0</v>
      </c>
      <c r="S1236">
        <v>0</v>
      </c>
      <c r="T1236">
        <v>1</v>
      </c>
      <c r="U1236">
        <v>0</v>
      </c>
      <c r="V1236">
        <v>0</v>
      </c>
      <c r="W1236" t="s">
        <v>50</v>
      </c>
      <c r="X1236">
        <v>55</v>
      </c>
      <c r="Y1236">
        <v>0</v>
      </c>
      <c r="Z1236">
        <f t="shared" si="114"/>
        <v>63</v>
      </c>
      <c r="AA1236">
        <f t="shared" si="115"/>
        <v>1.0681818181818181</v>
      </c>
      <c r="AB1236">
        <f t="shared" si="116"/>
        <v>5</v>
      </c>
      <c r="AC1236" t="str">
        <f t="shared" si="117"/>
        <v>Low</v>
      </c>
      <c r="AD1236" t="str">
        <f t="shared" si="118"/>
        <v>Upsell premium bundle</v>
      </c>
      <c r="AE1236">
        <f t="shared" si="119"/>
        <v>37</v>
      </c>
    </row>
    <row r="1237" spans="1:31" x14ac:dyDescent="0.35">
      <c r="A1237" t="s">
        <v>1295</v>
      </c>
      <c r="B1237" s="4">
        <v>45389</v>
      </c>
      <c r="C1237" s="4">
        <v>46143</v>
      </c>
      <c r="D1237" t="s">
        <v>72</v>
      </c>
      <c r="E1237">
        <v>70</v>
      </c>
      <c r="F1237" t="s">
        <v>33</v>
      </c>
      <c r="G1237" t="s">
        <v>34</v>
      </c>
      <c r="H1237" t="s">
        <v>41</v>
      </c>
      <c r="I1237" t="s">
        <v>36</v>
      </c>
      <c r="J1237">
        <v>25</v>
      </c>
      <c r="K1237" s="5">
        <v>490.73</v>
      </c>
      <c r="L1237" s="5">
        <v>573.21</v>
      </c>
      <c r="M1237">
        <v>8</v>
      </c>
      <c r="N1237">
        <v>2</v>
      </c>
      <c r="O1237">
        <v>1</v>
      </c>
      <c r="P1237">
        <v>0</v>
      </c>
      <c r="Q1237">
        <v>0</v>
      </c>
      <c r="R1237">
        <v>2</v>
      </c>
      <c r="S1237">
        <v>0</v>
      </c>
      <c r="T1237">
        <v>0</v>
      </c>
      <c r="U1237">
        <v>0</v>
      </c>
      <c r="V1237">
        <v>0</v>
      </c>
      <c r="W1237" t="s">
        <v>37</v>
      </c>
      <c r="X1237">
        <v>6</v>
      </c>
      <c r="Y1237">
        <v>1</v>
      </c>
      <c r="Z1237">
        <f t="shared" si="114"/>
        <v>11</v>
      </c>
      <c r="AA1237">
        <f t="shared" si="115"/>
        <v>0.14545454545454545</v>
      </c>
      <c r="AB1237">
        <f t="shared" si="116"/>
        <v>48</v>
      </c>
      <c r="AC1237" t="str">
        <f t="shared" si="117"/>
        <v>Medium</v>
      </c>
      <c r="AD1237" t="str">
        <f t="shared" si="118"/>
        <v>Nudge core feature adoption</v>
      </c>
      <c r="AE1237">
        <f t="shared" si="119"/>
        <v>89</v>
      </c>
    </row>
    <row r="1238" spans="1:31" x14ac:dyDescent="0.35">
      <c r="A1238" t="s">
        <v>1296</v>
      </c>
      <c r="B1238" s="4">
        <v>45816</v>
      </c>
      <c r="C1238" s="4">
        <v>46143</v>
      </c>
      <c r="D1238" t="s">
        <v>66</v>
      </c>
      <c r="E1238">
        <v>45</v>
      </c>
      <c r="F1238" t="s">
        <v>61</v>
      </c>
      <c r="G1238" t="s">
        <v>85</v>
      </c>
      <c r="H1238" t="s">
        <v>41</v>
      </c>
      <c r="I1238" t="s">
        <v>36</v>
      </c>
      <c r="J1238">
        <v>10</v>
      </c>
      <c r="K1238" s="5">
        <v>1888</v>
      </c>
      <c r="L1238" s="5">
        <v>3442.28</v>
      </c>
      <c r="M1238">
        <v>19</v>
      </c>
      <c r="N1238">
        <v>12</v>
      </c>
      <c r="O1238">
        <v>2</v>
      </c>
      <c r="P1238">
        <v>0</v>
      </c>
      <c r="Q1238">
        <v>17</v>
      </c>
      <c r="R1238">
        <v>5</v>
      </c>
      <c r="S1238">
        <v>1</v>
      </c>
      <c r="T1238">
        <v>0</v>
      </c>
      <c r="U1238">
        <v>0</v>
      </c>
      <c r="V1238">
        <v>0</v>
      </c>
      <c r="W1238" t="s">
        <v>50</v>
      </c>
      <c r="X1238">
        <v>33</v>
      </c>
      <c r="Y1238">
        <v>1</v>
      </c>
      <c r="Z1238">
        <f t="shared" si="114"/>
        <v>47</v>
      </c>
      <c r="AA1238">
        <f t="shared" si="115"/>
        <v>0.9</v>
      </c>
      <c r="AB1238">
        <f t="shared" si="116"/>
        <v>13</v>
      </c>
      <c r="AC1238" t="str">
        <f t="shared" si="117"/>
        <v>Low</v>
      </c>
      <c r="AD1238" t="str">
        <f t="shared" si="118"/>
        <v>Upsell premium bundle</v>
      </c>
      <c r="AE1238">
        <f t="shared" si="119"/>
        <v>53</v>
      </c>
    </row>
    <row r="1239" spans="1:31" x14ac:dyDescent="0.35">
      <c r="A1239" t="s">
        <v>1297</v>
      </c>
      <c r="B1239" s="4">
        <v>45682</v>
      </c>
      <c r="C1239" s="4">
        <v>46143</v>
      </c>
      <c r="D1239" t="s">
        <v>47</v>
      </c>
      <c r="E1239">
        <v>70</v>
      </c>
      <c r="F1239" t="s">
        <v>33</v>
      </c>
      <c r="G1239" t="s">
        <v>48</v>
      </c>
      <c r="H1239" t="s">
        <v>41</v>
      </c>
      <c r="I1239" t="s">
        <v>49</v>
      </c>
      <c r="J1239">
        <v>15</v>
      </c>
      <c r="K1239" s="5">
        <v>159.16999999999999</v>
      </c>
      <c r="L1239" s="5">
        <v>413.75</v>
      </c>
      <c r="M1239">
        <v>28</v>
      </c>
      <c r="N1239">
        <v>8</v>
      </c>
      <c r="O1239">
        <v>7</v>
      </c>
      <c r="P1239">
        <v>4</v>
      </c>
      <c r="Q1239">
        <v>24</v>
      </c>
      <c r="R1239">
        <v>1</v>
      </c>
      <c r="S1239">
        <v>0</v>
      </c>
      <c r="T1239">
        <v>1</v>
      </c>
      <c r="U1239">
        <v>0</v>
      </c>
      <c r="V1239">
        <v>1</v>
      </c>
      <c r="W1239" t="s">
        <v>45</v>
      </c>
      <c r="X1239">
        <v>89</v>
      </c>
      <c r="Y1239">
        <v>0</v>
      </c>
      <c r="Z1239">
        <f t="shared" si="114"/>
        <v>79</v>
      </c>
      <c r="AA1239">
        <f t="shared" si="115"/>
        <v>1.1555555555555554</v>
      </c>
      <c r="AB1239">
        <f t="shared" si="116"/>
        <v>0</v>
      </c>
      <c r="AC1239" t="str">
        <f t="shared" si="117"/>
        <v>Low</v>
      </c>
      <c r="AD1239" t="str">
        <f t="shared" si="118"/>
        <v>Upsell premium bundle</v>
      </c>
      <c r="AE1239">
        <f t="shared" si="119"/>
        <v>21</v>
      </c>
    </row>
    <row r="1240" spans="1:31" x14ac:dyDescent="0.35">
      <c r="A1240" t="s">
        <v>1298</v>
      </c>
      <c r="B1240" s="4">
        <v>45155</v>
      </c>
      <c r="C1240" s="4">
        <v>46143</v>
      </c>
      <c r="D1240" t="s">
        <v>60</v>
      </c>
      <c r="E1240">
        <v>25</v>
      </c>
      <c r="F1240" t="s">
        <v>43</v>
      </c>
      <c r="G1240" t="s">
        <v>48</v>
      </c>
      <c r="H1240" t="s">
        <v>41</v>
      </c>
      <c r="I1240" t="s">
        <v>49</v>
      </c>
      <c r="J1240">
        <v>32</v>
      </c>
      <c r="K1240" s="5">
        <v>48.12</v>
      </c>
      <c r="L1240" s="5">
        <v>76.489999999999995</v>
      </c>
      <c r="M1240">
        <v>18</v>
      </c>
      <c r="N1240">
        <v>4</v>
      </c>
      <c r="O1240">
        <v>3</v>
      </c>
      <c r="P1240">
        <v>0</v>
      </c>
      <c r="Q1240">
        <v>21</v>
      </c>
      <c r="R1240">
        <v>0</v>
      </c>
      <c r="S1240">
        <v>0</v>
      </c>
      <c r="T1240">
        <v>1</v>
      </c>
      <c r="U1240">
        <v>0</v>
      </c>
      <c r="V1240">
        <v>0</v>
      </c>
      <c r="W1240" t="s">
        <v>52</v>
      </c>
      <c r="X1240">
        <v>27</v>
      </c>
      <c r="Y1240">
        <v>1</v>
      </c>
      <c r="Z1240">
        <f t="shared" si="114"/>
        <v>45</v>
      </c>
      <c r="AA1240">
        <f t="shared" si="115"/>
        <v>0.62903225806451613</v>
      </c>
      <c r="AB1240">
        <f t="shared" si="116"/>
        <v>43</v>
      </c>
      <c r="AC1240" t="str">
        <f t="shared" si="117"/>
        <v>Medium</v>
      </c>
      <c r="AD1240" t="str">
        <f t="shared" si="118"/>
        <v>Nudge core feature adoption</v>
      </c>
      <c r="AE1240">
        <f t="shared" si="119"/>
        <v>55</v>
      </c>
    </row>
    <row r="1241" spans="1:31" x14ac:dyDescent="0.35">
      <c r="A1241" t="s">
        <v>1299</v>
      </c>
      <c r="B1241" s="4">
        <v>45167</v>
      </c>
      <c r="C1241" s="4">
        <v>46143</v>
      </c>
      <c r="D1241" t="s">
        <v>72</v>
      </c>
      <c r="E1241">
        <v>29</v>
      </c>
      <c r="F1241" t="s">
        <v>57</v>
      </c>
      <c r="G1241" t="s">
        <v>85</v>
      </c>
      <c r="H1241" t="s">
        <v>41</v>
      </c>
      <c r="I1241" t="s">
        <v>49</v>
      </c>
      <c r="J1241">
        <v>32</v>
      </c>
      <c r="K1241" s="5">
        <v>48.47</v>
      </c>
      <c r="L1241" s="5">
        <v>974.96</v>
      </c>
      <c r="M1241">
        <v>12</v>
      </c>
      <c r="N1241">
        <v>6</v>
      </c>
      <c r="O1241">
        <v>2</v>
      </c>
      <c r="P1241">
        <v>2</v>
      </c>
      <c r="Q1241">
        <v>11</v>
      </c>
      <c r="R1241">
        <v>0</v>
      </c>
      <c r="S1241">
        <v>0</v>
      </c>
      <c r="T1241">
        <v>0</v>
      </c>
      <c r="U1241">
        <v>0</v>
      </c>
      <c r="V1241">
        <v>1</v>
      </c>
      <c r="W1241" t="s">
        <v>37</v>
      </c>
      <c r="X1241">
        <v>18</v>
      </c>
      <c r="Y1241">
        <v>0</v>
      </c>
      <c r="Z1241">
        <f t="shared" si="114"/>
        <v>40</v>
      </c>
      <c r="AA1241">
        <f t="shared" si="115"/>
        <v>0.37096774193548387</v>
      </c>
      <c r="AB1241">
        <f t="shared" si="116"/>
        <v>49</v>
      </c>
      <c r="AC1241" t="str">
        <f t="shared" si="117"/>
        <v>Medium</v>
      </c>
      <c r="AD1241" t="str">
        <f t="shared" si="118"/>
        <v>Nudge core feature adoption</v>
      </c>
      <c r="AE1241">
        <f t="shared" si="119"/>
        <v>60</v>
      </c>
    </row>
    <row r="1242" spans="1:31" x14ac:dyDescent="0.35">
      <c r="A1242" t="s">
        <v>1300</v>
      </c>
      <c r="B1242" s="4">
        <v>45586</v>
      </c>
      <c r="C1242" s="4">
        <v>46143</v>
      </c>
      <c r="D1242" t="s">
        <v>72</v>
      </c>
      <c r="E1242">
        <v>23</v>
      </c>
      <c r="F1242" t="s">
        <v>57</v>
      </c>
      <c r="G1242" t="s">
        <v>63</v>
      </c>
      <c r="H1242" t="s">
        <v>58</v>
      </c>
      <c r="I1242" t="s">
        <v>36</v>
      </c>
      <c r="J1242">
        <v>18</v>
      </c>
      <c r="K1242" s="5">
        <v>622.96</v>
      </c>
      <c r="L1242" s="5">
        <v>534.42999999999995</v>
      </c>
      <c r="M1242">
        <v>38</v>
      </c>
      <c r="N1242">
        <v>24</v>
      </c>
      <c r="O1242">
        <v>3</v>
      </c>
      <c r="P1242">
        <v>1</v>
      </c>
      <c r="Q1242">
        <v>18</v>
      </c>
      <c r="R1242">
        <v>0</v>
      </c>
      <c r="S1242">
        <v>0</v>
      </c>
      <c r="T1242">
        <v>1</v>
      </c>
      <c r="U1242">
        <v>1</v>
      </c>
      <c r="V1242">
        <v>1</v>
      </c>
      <c r="W1242" t="s">
        <v>52</v>
      </c>
      <c r="X1242">
        <v>46</v>
      </c>
      <c r="Y1242">
        <v>0</v>
      </c>
      <c r="Z1242">
        <f t="shared" si="114"/>
        <v>95</v>
      </c>
      <c r="AA1242">
        <f t="shared" si="115"/>
        <v>1.1666666666666667</v>
      </c>
      <c r="AB1242">
        <f t="shared" si="116"/>
        <v>0</v>
      </c>
      <c r="AC1242" t="str">
        <f t="shared" si="117"/>
        <v>Low</v>
      </c>
      <c r="AD1242" t="str">
        <f t="shared" si="118"/>
        <v>Upsell premium bundle</v>
      </c>
      <c r="AE1242">
        <f t="shared" si="119"/>
        <v>5</v>
      </c>
    </row>
    <row r="1243" spans="1:31" x14ac:dyDescent="0.35">
      <c r="A1243" t="s">
        <v>1301</v>
      </c>
      <c r="B1243" s="4">
        <v>45873</v>
      </c>
      <c r="C1243" s="4">
        <v>46143</v>
      </c>
      <c r="D1243" t="s">
        <v>60</v>
      </c>
      <c r="E1243">
        <v>43</v>
      </c>
      <c r="F1243" t="s">
        <v>57</v>
      </c>
      <c r="G1243" t="s">
        <v>40</v>
      </c>
      <c r="H1243" t="s">
        <v>41</v>
      </c>
      <c r="I1243" t="s">
        <v>36</v>
      </c>
      <c r="J1243">
        <v>9</v>
      </c>
      <c r="K1243" s="5">
        <v>1784.44</v>
      </c>
      <c r="L1243" s="5">
        <v>0</v>
      </c>
      <c r="M1243">
        <v>35</v>
      </c>
      <c r="N1243">
        <v>14</v>
      </c>
      <c r="O1243">
        <v>8</v>
      </c>
      <c r="P1243">
        <v>7</v>
      </c>
      <c r="Q1243">
        <v>28</v>
      </c>
      <c r="R1243">
        <v>3</v>
      </c>
      <c r="S1243">
        <v>1</v>
      </c>
      <c r="T1243">
        <v>0</v>
      </c>
      <c r="U1243">
        <v>0</v>
      </c>
      <c r="V1243">
        <v>1</v>
      </c>
      <c r="W1243" t="s">
        <v>52</v>
      </c>
      <c r="X1243">
        <v>-15</v>
      </c>
      <c r="Y1243">
        <v>1</v>
      </c>
      <c r="Z1243">
        <f t="shared" si="114"/>
        <v>100</v>
      </c>
      <c r="AA1243">
        <f t="shared" si="115"/>
        <v>1.6153846153846154</v>
      </c>
      <c r="AB1243">
        <f t="shared" si="116"/>
        <v>29</v>
      </c>
      <c r="AC1243" t="str">
        <f t="shared" si="117"/>
        <v>Low</v>
      </c>
      <c r="AD1243" t="str">
        <f t="shared" si="118"/>
        <v>Upsell premium bundle</v>
      </c>
      <c r="AE1243">
        <f t="shared" si="119"/>
        <v>0</v>
      </c>
    </row>
    <row r="1244" spans="1:31" x14ac:dyDescent="0.35">
      <c r="A1244" t="s">
        <v>1302</v>
      </c>
      <c r="B1244" s="4">
        <v>45879</v>
      </c>
      <c r="C1244" s="4">
        <v>46143</v>
      </c>
      <c r="D1244" t="s">
        <v>39</v>
      </c>
      <c r="E1244">
        <v>43</v>
      </c>
      <c r="F1244" t="s">
        <v>33</v>
      </c>
      <c r="G1244" t="s">
        <v>67</v>
      </c>
      <c r="H1244" t="s">
        <v>44</v>
      </c>
      <c r="I1244" t="s">
        <v>49</v>
      </c>
      <c r="J1244">
        <v>8</v>
      </c>
      <c r="K1244" s="5">
        <v>555.09</v>
      </c>
      <c r="L1244" s="5">
        <v>484.03</v>
      </c>
      <c r="M1244">
        <v>28</v>
      </c>
      <c r="N1244">
        <v>10</v>
      </c>
      <c r="O1244">
        <v>8</v>
      </c>
      <c r="P1244">
        <v>3</v>
      </c>
      <c r="Q1244">
        <v>25</v>
      </c>
      <c r="R1244">
        <v>3</v>
      </c>
      <c r="S1244">
        <v>0</v>
      </c>
      <c r="T1244">
        <v>1</v>
      </c>
      <c r="U1244">
        <v>0</v>
      </c>
      <c r="V1244">
        <v>0</v>
      </c>
      <c r="W1244" t="s">
        <v>55</v>
      </c>
      <c r="X1244">
        <v>62</v>
      </c>
      <c r="Y1244">
        <v>0</v>
      </c>
      <c r="Z1244">
        <f t="shared" si="114"/>
        <v>74</v>
      </c>
      <c r="AA1244">
        <f t="shared" si="115"/>
        <v>1.3947368421052631</v>
      </c>
      <c r="AB1244">
        <f t="shared" si="116"/>
        <v>0</v>
      </c>
      <c r="AC1244" t="str">
        <f t="shared" si="117"/>
        <v>Low</v>
      </c>
      <c r="AD1244" t="str">
        <f t="shared" si="118"/>
        <v>Upsell premium bundle</v>
      </c>
      <c r="AE1244">
        <f t="shared" si="119"/>
        <v>26</v>
      </c>
    </row>
    <row r="1245" spans="1:31" x14ac:dyDescent="0.35">
      <c r="A1245" t="s">
        <v>1303</v>
      </c>
      <c r="B1245" s="4">
        <v>45843</v>
      </c>
      <c r="C1245" s="4">
        <v>46143</v>
      </c>
      <c r="D1245" t="s">
        <v>47</v>
      </c>
      <c r="E1245">
        <v>40</v>
      </c>
      <c r="F1245" t="s">
        <v>33</v>
      </c>
      <c r="G1245" t="s">
        <v>67</v>
      </c>
      <c r="H1245" t="s">
        <v>41</v>
      </c>
      <c r="I1245" t="s">
        <v>36</v>
      </c>
      <c r="J1245">
        <v>10</v>
      </c>
      <c r="K1245" s="5">
        <v>65.180000000000007</v>
      </c>
      <c r="L1245" s="5">
        <v>647.83000000000004</v>
      </c>
      <c r="M1245">
        <v>16</v>
      </c>
      <c r="N1245">
        <v>6</v>
      </c>
      <c r="O1245">
        <v>4</v>
      </c>
      <c r="P1245">
        <v>2</v>
      </c>
      <c r="Q1245">
        <v>13</v>
      </c>
      <c r="R1245">
        <v>2</v>
      </c>
      <c r="S1245">
        <v>0</v>
      </c>
      <c r="T1245">
        <v>0</v>
      </c>
      <c r="U1245">
        <v>1</v>
      </c>
      <c r="V1245">
        <v>0</v>
      </c>
      <c r="W1245" t="s">
        <v>50</v>
      </c>
      <c r="X1245">
        <v>-6</v>
      </c>
      <c r="Y1245">
        <v>1</v>
      </c>
      <c r="Z1245">
        <f t="shared" si="114"/>
        <v>49</v>
      </c>
      <c r="AA1245">
        <f t="shared" si="115"/>
        <v>0.72499999999999998</v>
      </c>
      <c r="AB1245">
        <f t="shared" si="116"/>
        <v>38</v>
      </c>
      <c r="AC1245" t="str">
        <f t="shared" si="117"/>
        <v>Low</v>
      </c>
      <c r="AD1245" t="str">
        <f t="shared" si="118"/>
        <v>Upsell premium bundle</v>
      </c>
      <c r="AE1245">
        <f t="shared" si="119"/>
        <v>51</v>
      </c>
    </row>
    <row r="1246" spans="1:31" x14ac:dyDescent="0.35">
      <c r="A1246" t="s">
        <v>1304</v>
      </c>
      <c r="B1246" s="4">
        <v>45214</v>
      </c>
      <c r="C1246" s="4">
        <v>46143</v>
      </c>
      <c r="D1246" t="s">
        <v>66</v>
      </c>
      <c r="E1246">
        <v>67</v>
      </c>
      <c r="F1246" t="s">
        <v>61</v>
      </c>
      <c r="G1246" t="s">
        <v>48</v>
      </c>
      <c r="H1246" t="s">
        <v>44</v>
      </c>
      <c r="I1246" t="s">
        <v>36</v>
      </c>
      <c r="J1246">
        <v>30</v>
      </c>
      <c r="K1246" s="5">
        <v>3706.95</v>
      </c>
      <c r="L1246" s="5">
        <v>4073.31</v>
      </c>
      <c r="M1246">
        <v>24</v>
      </c>
      <c r="N1246">
        <v>8</v>
      </c>
      <c r="O1246">
        <v>5</v>
      </c>
      <c r="P1246">
        <v>3</v>
      </c>
      <c r="Q1246">
        <v>20</v>
      </c>
      <c r="R1246">
        <v>3</v>
      </c>
      <c r="S1246">
        <v>0</v>
      </c>
      <c r="T1246">
        <v>0</v>
      </c>
      <c r="U1246">
        <v>0</v>
      </c>
      <c r="V1246">
        <v>1</v>
      </c>
      <c r="W1246" t="s">
        <v>52</v>
      </c>
      <c r="X1246">
        <v>64</v>
      </c>
      <c r="Y1246">
        <v>0</v>
      </c>
      <c r="Z1246">
        <f t="shared" si="114"/>
        <v>67</v>
      </c>
      <c r="AA1246">
        <f t="shared" si="115"/>
        <v>0.73333333333333328</v>
      </c>
      <c r="AB1246">
        <f t="shared" si="116"/>
        <v>0</v>
      </c>
      <c r="AC1246" t="str">
        <f t="shared" si="117"/>
        <v>Low</v>
      </c>
      <c r="AD1246" t="str">
        <f t="shared" si="118"/>
        <v>Upsell premium bundle</v>
      </c>
      <c r="AE1246">
        <f t="shared" si="119"/>
        <v>33</v>
      </c>
    </row>
    <row r="1247" spans="1:31" x14ac:dyDescent="0.35">
      <c r="A1247" t="s">
        <v>1305</v>
      </c>
      <c r="B1247" s="4">
        <v>44940</v>
      </c>
      <c r="C1247" s="4">
        <v>46143</v>
      </c>
      <c r="D1247" t="s">
        <v>72</v>
      </c>
      <c r="E1247">
        <v>28</v>
      </c>
      <c r="F1247" t="s">
        <v>57</v>
      </c>
      <c r="G1247" t="s">
        <v>48</v>
      </c>
      <c r="H1247" t="s">
        <v>41</v>
      </c>
      <c r="I1247" t="s">
        <v>36</v>
      </c>
      <c r="J1247">
        <v>40</v>
      </c>
      <c r="K1247" s="5">
        <v>1771.22</v>
      </c>
      <c r="L1247" s="5">
        <v>502.24</v>
      </c>
      <c r="M1247">
        <v>26</v>
      </c>
      <c r="N1247">
        <v>9</v>
      </c>
      <c r="O1247">
        <v>2</v>
      </c>
      <c r="P1247">
        <v>0</v>
      </c>
      <c r="Q1247">
        <v>24</v>
      </c>
      <c r="R1247">
        <v>3</v>
      </c>
      <c r="S1247">
        <v>0</v>
      </c>
      <c r="T1247">
        <v>0</v>
      </c>
      <c r="U1247">
        <v>0</v>
      </c>
      <c r="V1247">
        <v>1</v>
      </c>
      <c r="W1247" t="s">
        <v>37</v>
      </c>
      <c r="X1247">
        <v>53</v>
      </c>
      <c r="Y1247">
        <v>0</v>
      </c>
      <c r="Z1247">
        <f t="shared" si="114"/>
        <v>66</v>
      </c>
      <c r="AA1247">
        <f t="shared" si="115"/>
        <v>0.7142857142857143</v>
      </c>
      <c r="AB1247">
        <f t="shared" si="116"/>
        <v>1</v>
      </c>
      <c r="AC1247" t="str">
        <f t="shared" si="117"/>
        <v>Low</v>
      </c>
      <c r="AD1247" t="str">
        <f t="shared" si="118"/>
        <v>Upsell premium bundle</v>
      </c>
      <c r="AE1247">
        <f t="shared" si="119"/>
        <v>34</v>
      </c>
    </row>
    <row r="1248" spans="1:31" x14ac:dyDescent="0.35">
      <c r="A1248" t="s">
        <v>1306</v>
      </c>
      <c r="B1248" s="4">
        <v>44753</v>
      </c>
      <c r="C1248" s="4">
        <v>46143</v>
      </c>
      <c r="D1248" t="s">
        <v>66</v>
      </c>
      <c r="E1248">
        <v>23</v>
      </c>
      <c r="F1248" t="s">
        <v>57</v>
      </c>
      <c r="G1248" t="s">
        <v>34</v>
      </c>
      <c r="H1248" t="s">
        <v>58</v>
      </c>
      <c r="I1248" t="s">
        <v>36</v>
      </c>
      <c r="J1248">
        <v>46</v>
      </c>
      <c r="K1248" s="5">
        <v>1511.83</v>
      </c>
      <c r="L1248" s="5">
        <v>707.77</v>
      </c>
      <c r="M1248">
        <v>21</v>
      </c>
      <c r="N1248">
        <v>7</v>
      </c>
      <c r="O1248">
        <v>5</v>
      </c>
      <c r="P1248">
        <v>4</v>
      </c>
      <c r="Q1248">
        <v>21</v>
      </c>
      <c r="R1248">
        <v>0</v>
      </c>
      <c r="S1248">
        <v>0</v>
      </c>
      <c r="T1248">
        <v>1</v>
      </c>
      <c r="U1248">
        <v>1</v>
      </c>
      <c r="V1248">
        <v>0</v>
      </c>
      <c r="W1248" t="s">
        <v>45</v>
      </c>
      <c r="X1248">
        <v>50</v>
      </c>
      <c r="Y1248">
        <v>0</v>
      </c>
      <c r="Z1248">
        <f t="shared" si="114"/>
        <v>67</v>
      </c>
      <c r="AA1248">
        <f t="shared" si="115"/>
        <v>0.55263157894736847</v>
      </c>
      <c r="AB1248">
        <f t="shared" si="116"/>
        <v>0</v>
      </c>
      <c r="AC1248" t="str">
        <f t="shared" si="117"/>
        <v>Low</v>
      </c>
      <c r="AD1248" t="str">
        <f t="shared" si="118"/>
        <v>Upsell premium bundle</v>
      </c>
      <c r="AE1248">
        <f t="shared" si="119"/>
        <v>33</v>
      </c>
    </row>
    <row r="1249" spans="1:31" x14ac:dyDescent="0.35">
      <c r="A1249" t="s">
        <v>1307</v>
      </c>
      <c r="B1249" s="4">
        <v>45106</v>
      </c>
      <c r="C1249" s="4">
        <v>46143</v>
      </c>
      <c r="D1249" t="s">
        <v>72</v>
      </c>
      <c r="E1249">
        <v>70</v>
      </c>
      <c r="F1249" t="s">
        <v>61</v>
      </c>
      <c r="G1249" t="s">
        <v>40</v>
      </c>
      <c r="H1249" t="s">
        <v>41</v>
      </c>
      <c r="I1249" t="s">
        <v>36</v>
      </c>
      <c r="J1249">
        <v>34</v>
      </c>
      <c r="K1249" s="5">
        <v>2333.91</v>
      </c>
      <c r="L1249" s="5">
        <v>3020.43</v>
      </c>
      <c r="M1249">
        <v>23</v>
      </c>
      <c r="N1249">
        <v>9</v>
      </c>
      <c r="O1249">
        <v>2</v>
      </c>
      <c r="P1249">
        <v>1</v>
      </c>
      <c r="Q1249">
        <v>21</v>
      </c>
      <c r="R1249">
        <v>0</v>
      </c>
      <c r="S1249">
        <v>0</v>
      </c>
      <c r="T1249">
        <v>1</v>
      </c>
      <c r="U1249">
        <v>0</v>
      </c>
      <c r="V1249">
        <v>0</v>
      </c>
      <c r="W1249" t="s">
        <v>45</v>
      </c>
      <c r="X1249">
        <v>24</v>
      </c>
      <c r="Y1249">
        <v>0</v>
      </c>
      <c r="Z1249">
        <f t="shared" si="114"/>
        <v>54</v>
      </c>
      <c r="AA1249">
        <f t="shared" si="115"/>
        <v>0.6875</v>
      </c>
      <c r="AB1249">
        <f t="shared" si="116"/>
        <v>14</v>
      </c>
      <c r="AC1249" t="str">
        <f t="shared" si="117"/>
        <v>Low</v>
      </c>
      <c r="AD1249" t="str">
        <f t="shared" si="118"/>
        <v>Upsell premium bundle</v>
      </c>
      <c r="AE1249">
        <f t="shared" si="119"/>
        <v>46</v>
      </c>
    </row>
    <row r="1250" spans="1:31" x14ac:dyDescent="0.35">
      <c r="A1250" t="s">
        <v>1308</v>
      </c>
      <c r="B1250" s="4">
        <v>45292</v>
      </c>
      <c r="C1250" s="4">
        <v>46143</v>
      </c>
      <c r="D1250" t="s">
        <v>72</v>
      </c>
      <c r="E1250">
        <v>48</v>
      </c>
      <c r="F1250" t="s">
        <v>57</v>
      </c>
      <c r="G1250" t="s">
        <v>67</v>
      </c>
      <c r="H1250" t="s">
        <v>41</v>
      </c>
      <c r="I1250" t="s">
        <v>36</v>
      </c>
      <c r="J1250">
        <v>28</v>
      </c>
      <c r="K1250" s="5">
        <v>2278.0700000000002</v>
      </c>
      <c r="L1250" s="5">
        <v>0</v>
      </c>
      <c r="M1250">
        <v>23</v>
      </c>
      <c r="N1250">
        <v>17</v>
      </c>
      <c r="O1250">
        <v>2</v>
      </c>
      <c r="P1250">
        <v>1</v>
      </c>
      <c r="Q1250">
        <v>13</v>
      </c>
      <c r="R1250">
        <v>1</v>
      </c>
      <c r="S1250">
        <v>0</v>
      </c>
      <c r="T1250">
        <v>0</v>
      </c>
      <c r="U1250">
        <v>0</v>
      </c>
      <c r="V1250">
        <v>0</v>
      </c>
      <c r="W1250" t="s">
        <v>37</v>
      </c>
      <c r="X1250">
        <v>21</v>
      </c>
      <c r="Y1250">
        <v>0</v>
      </c>
      <c r="Z1250">
        <f t="shared" si="114"/>
        <v>53</v>
      </c>
      <c r="AA1250">
        <f t="shared" si="115"/>
        <v>0.62068965517241381</v>
      </c>
      <c r="AB1250">
        <f t="shared" si="116"/>
        <v>25</v>
      </c>
      <c r="AC1250" t="str">
        <f t="shared" si="117"/>
        <v>Low</v>
      </c>
      <c r="AD1250" t="str">
        <f t="shared" si="118"/>
        <v>Upsell premium bundle</v>
      </c>
      <c r="AE1250">
        <f t="shared" si="119"/>
        <v>47</v>
      </c>
    </row>
    <row r="1251" spans="1:31" x14ac:dyDescent="0.35">
      <c r="A1251" t="s">
        <v>1309</v>
      </c>
      <c r="B1251" s="4">
        <v>45544</v>
      </c>
      <c r="C1251" s="4">
        <v>46143</v>
      </c>
      <c r="D1251" t="s">
        <v>32</v>
      </c>
      <c r="E1251">
        <v>30</v>
      </c>
      <c r="F1251" t="s">
        <v>61</v>
      </c>
      <c r="G1251" t="s">
        <v>85</v>
      </c>
      <c r="H1251" t="s">
        <v>58</v>
      </c>
      <c r="I1251" t="s">
        <v>49</v>
      </c>
      <c r="J1251">
        <v>19</v>
      </c>
      <c r="K1251" s="5">
        <v>3269.4</v>
      </c>
      <c r="L1251" s="5">
        <v>1945.71</v>
      </c>
      <c r="M1251">
        <v>39</v>
      </c>
      <c r="N1251">
        <v>20</v>
      </c>
      <c r="O1251">
        <v>7</v>
      </c>
      <c r="P1251">
        <v>4</v>
      </c>
      <c r="Q1251">
        <v>26</v>
      </c>
      <c r="R1251">
        <v>3</v>
      </c>
      <c r="S1251">
        <v>0</v>
      </c>
      <c r="T1251">
        <v>0</v>
      </c>
      <c r="U1251">
        <v>0</v>
      </c>
      <c r="V1251">
        <v>1</v>
      </c>
      <c r="W1251" t="s">
        <v>50</v>
      </c>
      <c r="X1251">
        <v>-27</v>
      </c>
      <c r="Y1251">
        <v>0</v>
      </c>
      <c r="Z1251">
        <f t="shared" si="114"/>
        <v>100</v>
      </c>
      <c r="AA1251">
        <f t="shared" si="115"/>
        <v>1.3265306122448979</v>
      </c>
      <c r="AB1251">
        <f t="shared" si="116"/>
        <v>23</v>
      </c>
      <c r="AC1251" t="str">
        <f t="shared" si="117"/>
        <v>Low</v>
      </c>
      <c r="AD1251" t="str">
        <f t="shared" si="118"/>
        <v>Upsell premium bundle</v>
      </c>
      <c r="AE1251">
        <f t="shared" si="119"/>
        <v>0</v>
      </c>
    </row>
    <row r="1252" spans="1:31" x14ac:dyDescent="0.35">
      <c r="A1252" t="s">
        <v>1310</v>
      </c>
      <c r="B1252" s="4">
        <v>46032</v>
      </c>
      <c r="C1252" s="4">
        <v>46143</v>
      </c>
      <c r="D1252" t="s">
        <v>47</v>
      </c>
      <c r="E1252">
        <v>67</v>
      </c>
      <c r="F1252" t="s">
        <v>61</v>
      </c>
      <c r="G1252" t="s">
        <v>67</v>
      </c>
      <c r="H1252" t="s">
        <v>41</v>
      </c>
      <c r="I1252" t="s">
        <v>54</v>
      </c>
      <c r="J1252">
        <v>3</v>
      </c>
      <c r="K1252" s="5">
        <v>3759.8</v>
      </c>
      <c r="L1252" s="5">
        <v>882</v>
      </c>
      <c r="M1252">
        <v>22</v>
      </c>
      <c r="N1252">
        <v>12</v>
      </c>
      <c r="O1252">
        <v>4</v>
      </c>
      <c r="P1252">
        <v>0</v>
      </c>
      <c r="Q1252">
        <v>11</v>
      </c>
      <c r="R1252">
        <v>0</v>
      </c>
      <c r="S1252">
        <v>0</v>
      </c>
      <c r="T1252">
        <v>0</v>
      </c>
      <c r="U1252">
        <v>0</v>
      </c>
      <c r="V1252">
        <v>1</v>
      </c>
      <c r="W1252" t="s">
        <v>55</v>
      </c>
      <c r="X1252">
        <v>100</v>
      </c>
      <c r="Y1252">
        <v>1</v>
      </c>
      <c r="Z1252">
        <f t="shared" si="114"/>
        <v>54</v>
      </c>
      <c r="AA1252">
        <f t="shared" si="115"/>
        <v>1</v>
      </c>
      <c r="AB1252">
        <f t="shared" si="116"/>
        <v>2</v>
      </c>
      <c r="AC1252" t="str">
        <f t="shared" si="117"/>
        <v>Low</v>
      </c>
      <c r="AD1252" t="str">
        <f t="shared" si="118"/>
        <v>Upsell premium bundle</v>
      </c>
      <c r="AE1252">
        <f t="shared" si="119"/>
        <v>46</v>
      </c>
    </row>
    <row r="1253" spans="1:31" x14ac:dyDescent="0.35">
      <c r="A1253" t="s">
        <v>1311</v>
      </c>
      <c r="B1253" s="4">
        <v>44764</v>
      </c>
      <c r="C1253" s="4">
        <v>46143</v>
      </c>
      <c r="D1253" t="s">
        <v>47</v>
      </c>
      <c r="E1253">
        <v>54</v>
      </c>
      <c r="F1253" t="s">
        <v>43</v>
      </c>
      <c r="G1253" t="s">
        <v>63</v>
      </c>
      <c r="H1253" t="s">
        <v>58</v>
      </c>
      <c r="I1253" t="s">
        <v>36</v>
      </c>
      <c r="J1253">
        <v>45</v>
      </c>
      <c r="K1253" s="5">
        <v>192.06</v>
      </c>
      <c r="L1253" s="5">
        <v>31.14</v>
      </c>
      <c r="M1253">
        <v>27</v>
      </c>
      <c r="N1253">
        <v>10</v>
      </c>
      <c r="O1253">
        <v>2</v>
      </c>
      <c r="P1253">
        <v>3</v>
      </c>
      <c r="Q1253">
        <v>27</v>
      </c>
      <c r="R1253">
        <v>0</v>
      </c>
      <c r="S1253">
        <v>1</v>
      </c>
      <c r="T1253">
        <v>1</v>
      </c>
      <c r="U1253">
        <v>0</v>
      </c>
      <c r="V1253">
        <v>0</v>
      </c>
      <c r="W1253" t="s">
        <v>55</v>
      </c>
      <c r="X1253">
        <v>-7</v>
      </c>
      <c r="Y1253">
        <v>0</v>
      </c>
      <c r="Z1253">
        <f t="shared" si="114"/>
        <v>68</v>
      </c>
      <c r="AA1253">
        <f t="shared" si="115"/>
        <v>0.72</v>
      </c>
      <c r="AB1253">
        <f t="shared" si="116"/>
        <v>32</v>
      </c>
      <c r="AC1253" t="str">
        <f t="shared" si="117"/>
        <v>Low</v>
      </c>
      <c r="AD1253" t="str">
        <f t="shared" si="118"/>
        <v>Upsell premium bundle</v>
      </c>
      <c r="AE1253">
        <f t="shared" si="119"/>
        <v>32</v>
      </c>
    </row>
    <row r="1254" spans="1:31" x14ac:dyDescent="0.35">
      <c r="A1254" t="s">
        <v>1312</v>
      </c>
      <c r="B1254" s="4">
        <v>44880</v>
      </c>
      <c r="C1254" s="4">
        <v>46143</v>
      </c>
      <c r="D1254" t="s">
        <v>60</v>
      </c>
      <c r="E1254">
        <v>42</v>
      </c>
      <c r="F1254" t="s">
        <v>57</v>
      </c>
      <c r="G1254" t="s">
        <v>40</v>
      </c>
      <c r="H1254" t="s">
        <v>35</v>
      </c>
      <c r="I1254" t="s">
        <v>36</v>
      </c>
      <c r="J1254">
        <v>42</v>
      </c>
      <c r="K1254" s="5">
        <v>2250.14</v>
      </c>
      <c r="L1254" s="5">
        <v>713.23</v>
      </c>
      <c r="M1254">
        <v>35</v>
      </c>
      <c r="N1254">
        <v>23</v>
      </c>
      <c r="O1254">
        <v>7</v>
      </c>
      <c r="P1254">
        <v>5</v>
      </c>
      <c r="Q1254">
        <v>26</v>
      </c>
      <c r="R1254">
        <v>0</v>
      </c>
      <c r="S1254">
        <v>1</v>
      </c>
      <c r="T1254">
        <v>0</v>
      </c>
      <c r="U1254">
        <v>0</v>
      </c>
      <c r="V1254">
        <v>0</v>
      </c>
      <c r="W1254" t="s">
        <v>55</v>
      </c>
      <c r="X1254">
        <v>59</v>
      </c>
      <c r="Y1254">
        <v>1</v>
      </c>
      <c r="Z1254">
        <f t="shared" si="114"/>
        <v>93</v>
      </c>
      <c r="AA1254">
        <f t="shared" si="115"/>
        <v>0.84722222222222221</v>
      </c>
      <c r="AB1254">
        <f t="shared" si="116"/>
        <v>0</v>
      </c>
      <c r="AC1254" t="str">
        <f t="shared" si="117"/>
        <v>Low</v>
      </c>
      <c r="AD1254" t="str">
        <f t="shared" si="118"/>
        <v>Upsell premium bundle</v>
      </c>
      <c r="AE1254">
        <f t="shared" si="119"/>
        <v>7</v>
      </c>
    </row>
    <row r="1255" spans="1:31" x14ac:dyDescent="0.35">
      <c r="A1255" t="s">
        <v>1313</v>
      </c>
      <c r="B1255" s="4">
        <v>44937</v>
      </c>
      <c r="C1255" s="4">
        <v>46143</v>
      </c>
      <c r="D1255" t="s">
        <v>66</v>
      </c>
      <c r="E1255">
        <v>61</v>
      </c>
      <c r="F1255" t="s">
        <v>61</v>
      </c>
      <c r="G1255" t="s">
        <v>67</v>
      </c>
      <c r="H1255" t="s">
        <v>58</v>
      </c>
      <c r="I1255" t="s">
        <v>36</v>
      </c>
      <c r="J1255">
        <v>40</v>
      </c>
      <c r="K1255" s="5">
        <v>18</v>
      </c>
      <c r="L1255" s="5">
        <v>0</v>
      </c>
      <c r="M1255">
        <v>27</v>
      </c>
      <c r="N1255">
        <v>13</v>
      </c>
      <c r="O1255">
        <v>2</v>
      </c>
      <c r="P1255">
        <v>4</v>
      </c>
      <c r="Q1255">
        <v>19</v>
      </c>
      <c r="R1255">
        <v>0</v>
      </c>
      <c r="S1255">
        <v>0</v>
      </c>
      <c r="T1255">
        <v>1</v>
      </c>
      <c r="U1255">
        <v>0</v>
      </c>
      <c r="V1255">
        <v>0</v>
      </c>
      <c r="W1255" t="s">
        <v>52</v>
      </c>
      <c r="X1255">
        <v>-28</v>
      </c>
      <c r="Y1255">
        <v>0</v>
      </c>
      <c r="Z1255">
        <f t="shared" si="114"/>
        <v>64</v>
      </c>
      <c r="AA1255">
        <f t="shared" si="115"/>
        <v>0.65714285714285714</v>
      </c>
      <c r="AB1255">
        <f t="shared" si="116"/>
        <v>36</v>
      </c>
      <c r="AC1255" t="str">
        <f t="shared" si="117"/>
        <v>Low</v>
      </c>
      <c r="AD1255" t="str">
        <f t="shared" si="118"/>
        <v>Upsell premium bundle</v>
      </c>
      <c r="AE1255">
        <f t="shared" si="119"/>
        <v>36</v>
      </c>
    </row>
    <row r="1256" spans="1:31" x14ac:dyDescent="0.35">
      <c r="A1256" t="s">
        <v>1314</v>
      </c>
      <c r="B1256" s="4">
        <v>45418</v>
      </c>
      <c r="C1256" s="4">
        <v>46143</v>
      </c>
      <c r="D1256" t="s">
        <v>66</v>
      </c>
      <c r="E1256">
        <v>64</v>
      </c>
      <c r="F1256" t="s">
        <v>57</v>
      </c>
      <c r="G1256" t="s">
        <v>48</v>
      </c>
      <c r="H1256" t="s">
        <v>41</v>
      </c>
      <c r="I1256" t="s">
        <v>36</v>
      </c>
      <c r="J1256">
        <v>24</v>
      </c>
      <c r="K1256" s="5">
        <v>1869.61</v>
      </c>
      <c r="L1256" s="5">
        <v>253.76</v>
      </c>
      <c r="M1256">
        <v>11</v>
      </c>
      <c r="N1256">
        <v>4</v>
      </c>
      <c r="O1256">
        <v>2</v>
      </c>
      <c r="P1256">
        <v>1</v>
      </c>
      <c r="Q1256">
        <v>17</v>
      </c>
      <c r="R1256">
        <v>1</v>
      </c>
      <c r="S1256">
        <v>1</v>
      </c>
      <c r="T1256">
        <v>0</v>
      </c>
      <c r="U1256">
        <v>0</v>
      </c>
      <c r="V1256">
        <v>1</v>
      </c>
      <c r="W1256" t="s">
        <v>52</v>
      </c>
      <c r="X1256">
        <v>6</v>
      </c>
      <c r="Y1256">
        <v>1</v>
      </c>
      <c r="Z1256">
        <f t="shared" si="114"/>
        <v>41</v>
      </c>
      <c r="AA1256">
        <f t="shared" si="115"/>
        <v>0.51851851851851849</v>
      </c>
      <c r="AB1256">
        <f t="shared" si="116"/>
        <v>45</v>
      </c>
      <c r="AC1256" t="str">
        <f t="shared" si="117"/>
        <v>Medium</v>
      </c>
      <c r="AD1256" t="str">
        <f t="shared" si="118"/>
        <v>Nudge core feature adoption</v>
      </c>
      <c r="AE1256">
        <f t="shared" si="119"/>
        <v>59</v>
      </c>
    </row>
    <row r="1257" spans="1:31" x14ac:dyDescent="0.35">
      <c r="A1257" t="s">
        <v>1315</v>
      </c>
      <c r="B1257" s="4">
        <v>45231</v>
      </c>
      <c r="C1257" s="4">
        <v>46143</v>
      </c>
      <c r="D1257" t="s">
        <v>60</v>
      </c>
      <c r="E1257">
        <v>38</v>
      </c>
      <c r="F1257" t="s">
        <v>43</v>
      </c>
      <c r="G1257" t="s">
        <v>85</v>
      </c>
      <c r="H1257" t="s">
        <v>41</v>
      </c>
      <c r="I1257" t="s">
        <v>36</v>
      </c>
      <c r="J1257">
        <v>30</v>
      </c>
      <c r="K1257" s="5">
        <v>31.34</v>
      </c>
      <c r="L1257" s="5">
        <v>69.31</v>
      </c>
      <c r="M1257">
        <v>33</v>
      </c>
      <c r="N1257">
        <v>12</v>
      </c>
      <c r="O1257">
        <v>8</v>
      </c>
      <c r="P1257">
        <v>4</v>
      </c>
      <c r="Q1257">
        <v>27</v>
      </c>
      <c r="R1257">
        <v>3</v>
      </c>
      <c r="S1257">
        <v>1</v>
      </c>
      <c r="T1257">
        <v>1</v>
      </c>
      <c r="U1257">
        <v>1</v>
      </c>
      <c r="V1257">
        <v>0</v>
      </c>
      <c r="W1257" t="s">
        <v>52</v>
      </c>
      <c r="X1257">
        <v>25</v>
      </c>
      <c r="Y1257">
        <v>0</v>
      </c>
      <c r="Z1257">
        <f t="shared" si="114"/>
        <v>92</v>
      </c>
      <c r="AA1257">
        <f t="shared" si="115"/>
        <v>1</v>
      </c>
      <c r="AB1257">
        <f t="shared" si="116"/>
        <v>12</v>
      </c>
      <c r="AC1257" t="str">
        <f t="shared" si="117"/>
        <v>Low</v>
      </c>
      <c r="AD1257" t="str">
        <f t="shared" si="118"/>
        <v>Upsell premium bundle</v>
      </c>
      <c r="AE1257">
        <f t="shared" si="119"/>
        <v>8</v>
      </c>
    </row>
    <row r="1258" spans="1:31" x14ac:dyDescent="0.35">
      <c r="A1258" t="s">
        <v>1316</v>
      </c>
      <c r="B1258" s="4">
        <v>44837</v>
      </c>
      <c r="C1258" s="4">
        <v>46143</v>
      </c>
      <c r="D1258" t="s">
        <v>60</v>
      </c>
      <c r="E1258">
        <v>56</v>
      </c>
      <c r="F1258" t="s">
        <v>33</v>
      </c>
      <c r="G1258" t="s">
        <v>48</v>
      </c>
      <c r="H1258" t="s">
        <v>41</v>
      </c>
      <c r="I1258" t="s">
        <v>36</v>
      </c>
      <c r="J1258">
        <v>43</v>
      </c>
      <c r="K1258" s="5">
        <v>357.39</v>
      </c>
      <c r="L1258" s="5">
        <v>405.85</v>
      </c>
      <c r="M1258">
        <v>11</v>
      </c>
      <c r="N1258">
        <v>5</v>
      </c>
      <c r="O1258">
        <v>3</v>
      </c>
      <c r="P1258">
        <v>2</v>
      </c>
      <c r="Q1258">
        <v>11</v>
      </c>
      <c r="R1258">
        <v>1</v>
      </c>
      <c r="S1258">
        <v>1</v>
      </c>
      <c r="T1258">
        <v>0</v>
      </c>
      <c r="U1258">
        <v>0</v>
      </c>
      <c r="V1258">
        <v>0</v>
      </c>
      <c r="W1258" t="s">
        <v>50</v>
      </c>
      <c r="X1258">
        <v>30</v>
      </c>
      <c r="Y1258">
        <v>1</v>
      </c>
      <c r="Z1258">
        <f t="shared" si="114"/>
        <v>32</v>
      </c>
      <c r="AA1258">
        <f t="shared" si="115"/>
        <v>0.30136986301369861</v>
      </c>
      <c r="AB1258">
        <f t="shared" si="116"/>
        <v>37</v>
      </c>
      <c r="AC1258" t="str">
        <f t="shared" si="117"/>
        <v>Low</v>
      </c>
      <c r="AD1258" t="str">
        <f t="shared" si="118"/>
        <v>Upsell premium bundle</v>
      </c>
      <c r="AE1258">
        <f t="shared" si="119"/>
        <v>68</v>
      </c>
    </row>
    <row r="1259" spans="1:31" x14ac:dyDescent="0.35">
      <c r="A1259" t="s">
        <v>1317</v>
      </c>
      <c r="B1259" s="4">
        <v>44821</v>
      </c>
      <c r="C1259" s="4">
        <v>46143</v>
      </c>
      <c r="D1259" t="s">
        <v>39</v>
      </c>
      <c r="E1259">
        <v>70</v>
      </c>
      <c r="F1259" t="s">
        <v>77</v>
      </c>
      <c r="G1259" t="s">
        <v>67</v>
      </c>
      <c r="H1259" t="s">
        <v>41</v>
      </c>
      <c r="I1259" t="s">
        <v>36</v>
      </c>
      <c r="J1259">
        <v>44</v>
      </c>
      <c r="K1259" s="5">
        <v>17899.740000000002</v>
      </c>
      <c r="L1259" s="5">
        <v>6547.53</v>
      </c>
      <c r="M1259">
        <v>31</v>
      </c>
      <c r="N1259">
        <v>17</v>
      </c>
      <c r="O1259">
        <v>2</v>
      </c>
      <c r="P1259">
        <v>4</v>
      </c>
      <c r="Q1259">
        <v>22</v>
      </c>
      <c r="R1259">
        <v>3</v>
      </c>
      <c r="S1259">
        <v>1</v>
      </c>
      <c r="T1259">
        <v>1</v>
      </c>
      <c r="U1259">
        <v>1</v>
      </c>
      <c r="V1259">
        <v>0</v>
      </c>
      <c r="W1259" t="s">
        <v>52</v>
      </c>
      <c r="X1259">
        <v>50</v>
      </c>
      <c r="Y1259">
        <v>0</v>
      </c>
      <c r="Z1259">
        <f t="shared" si="114"/>
        <v>82</v>
      </c>
      <c r="AA1259">
        <f t="shared" si="115"/>
        <v>0.71621621621621623</v>
      </c>
      <c r="AB1259">
        <f t="shared" si="116"/>
        <v>0</v>
      </c>
      <c r="AC1259" t="str">
        <f t="shared" si="117"/>
        <v>Low</v>
      </c>
      <c r="AD1259" t="str">
        <f t="shared" si="118"/>
        <v>Upsell premium bundle</v>
      </c>
      <c r="AE1259">
        <f t="shared" si="119"/>
        <v>18</v>
      </c>
    </row>
    <row r="1260" spans="1:31" x14ac:dyDescent="0.35">
      <c r="A1260" t="s">
        <v>1318</v>
      </c>
      <c r="B1260" s="4">
        <v>45077</v>
      </c>
      <c r="C1260" s="4">
        <v>46143</v>
      </c>
      <c r="D1260" t="s">
        <v>60</v>
      </c>
      <c r="E1260">
        <v>39</v>
      </c>
      <c r="F1260" t="s">
        <v>33</v>
      </c>
      <c r="G1260" t="s">
        <v>85</v>
      </c>
      <c r="H1260" t="s">
        <v>58</v>
      </c>
      <c r="I1260" t="s">
        <v>36</v>
      </c>
      <c r="J1260">
        <v>35</v>
      </c>
      <c r="K1260" s="5">
        <v>350.13</v>
      </c>
      <c r="L1260" s="5">
        <v>171.06</v>
      </c>
      <c r="M1260">
        <v>14</v>
      </c>
      <c r="N1260">
        <v>3</v>
      </c>
      <c r="O1260">
        <v>1</v>
      </c>
      <c r="P1260">
        <v>2</v>
      </c>
      <c r="Q1260">
        <v>19</v>
      </c>
      <c r="R1260">
        <v>0</v>
      </c>
      <c r="S1260">
        <v>0</v>
      </c>
      <c r="T1260">
        <v>0</v>
      </c>
      <c r="U1260">
        <v>0</v>
      </c>
      <c r="V1260">
        <v>1</v>
      </c>
      <c r="W1260" t="s">
        <v>37</v>
      </c>
      <c r="X1260">
        <v>28</v>
      </c>
      <c r="Y1260">
        <v>0</v>
      </c>
      <c r="Z1260">
        <f t="shared" si="114"/>
        <v>46</v>
      </c>
      <c r="AA1260">
        <f t="shared" si="115"/>
        <v>0.50769230769230766</v>
      </c>
      <c r="AB1260">
        <f t="shared" si="116"/>
        <v>16</v>
      </c>
      <c r="AC1260" t="str">
        <f t="shared" si="117"/>
        <v>Low</v>
      </c>
      <c r="AD1260" t="str">
        <f t="shared" si="118"/>
        <v>Upsell premium bundle</v>
      </c>
      <c r="AE1260">
        <f t="shared" si="119"/>
        <v>54</v>
      </c>
    </row>
    <row r="1261" spans="1:31" x14ac:dyDescent="0.35">
      <c r="A1261" t="s">
        <v>1319</v>
      </c>
      <c r="B1261" s="4">
        <v>45946</v>
      </c>
      <c r="C1261" s="4">
        <v>46143</v>
      </c>
      <c r="D1261" t="s">
        <v>47</v>
      </c>
      <c r="E1261">
        <v>60</v>
      </c>
      <c r="F1261" t="s">
        <v>33</v>
      </c>
      <c r="G1261" t="s">
        <v>63</v>
      </c>
      <c r="H1261" t="s">
        <v>58</v>
      </c>
      <c r="I1261" t="s">
        <v>36</v>
      </c>
      <c r="J1261">
        <v>6</v>
      </c>
      <c r="K1261" s="5">
        <v>950.62</v>
      </c>
      <c r="L1261" s="5">
        <v>245.52</v>
      </c>
      <c r="M1261">
        <v>36</v>
      </c>
      <c r="N1261">
        <v>15</v>
      </c>
      <c r="O1261">
        <v>10</v>
      </c>
      <c r="P1261">
        <v>0</v>
      </c>
      <c r="Q1261">
        <v>28</v>
      </c>
      <c r="R1261">
        <v>2</v>
      </c>
      <c r="S1261">
        <v>0</v>
      </c>
      <c r="T1261">
        <v>0</v>
      </c>
      <c r="U1261">
        <v>1</v>
      </c>
      <c r="V1261">
        <v>1</v>
      </c>
      <c r="W1261" t="s">
        <v>45</v>
      </c>
      <c r="X1261">
        <v>90</v>
      </c>
      <c r="Y1261">
        <v>0</v>
      </c>
      <c r="Z1261">
        <f t="shared" si="114"/>
        <v>100</v>
      </c>
      <c r="AA1261">
        <f t="shared" si="115"/>
        <v>1.7777777777777777</v>
      </c>
      <c r="AB1261">
        <f t="shared" si="116"/>
        <v>0</v>
      </c>
      <c r="AC1261" t="str">
        <f t="shared" si="117"/>
        <v>Low</v>
      </c>
      <c r="AD1261" t="str">
        <f t="shared" si="118"/>
        <v>Upsell premium bundle</v>
      </c>
      <c r="AE1261">
        <f t="shared" si="119"/>
        <v>0</v>
      </c>
    </row>
    <row r="1262" spans="1:31" x14ac:dyDescent="0.35">
      <c r="A1262" t="s">
        <v>1320</v>
      </c>
      <c r="B1262" s="4">
        <v>45848</v>
      </c>
      <c r="C1262" s="4">
        <v>46143</v>
      </c>
      <c r="D1262" t="s">
        <v>66</v>
      </c>
      <c r="E1262">
        <v>38</v>
      </c>
      <c r="F1262" t="s">
        <v>61</v>
      </c>
      <c r="G1262" t="s">
        <v>34</v>
      </c>
      <c r="H1262" t="s">
        <v>41</v>
      </c>
      <c r="I1262" t="s">
        <v>36</v>
      </c>
      <c r="J1262">
        <v>9</v>
      </c>
      <c r="K1262" s="5">
        <v>0</v>
      </c>
      <c r="L1262" s="5">
        <v>671.72</v>
      </c>
      <c r="M1262">
        <v>28</v>
      </c>
      <c r="N1262">
        <v>14</v>
      </c>
      <c r="O1262">
        <v>6</v>
      </c>
      <c r="P1262">
        <v>3</v>
      </c>
      <c r="Q1262">
        <v>23</v>
      </c>
      <c r="R1262">
        <v>2</v>
      </c>
      <c r="S1262">
        <v>0</v>
      </c>
      <c r="T1262">
        <v>1</v>
      </c>
      <c r="U1262">
        <v>0</v>
      </c>
      <c r="V1262">
        <v>0</v>
      </c>
      <c r="W1262" t="s">
        <v>55</v>
      </c>
      <c r="X1262">
        <v>30</v>
      </c>
      <c r="Y1262">
        <v>0</v>
      </c>
      <c r="Z1262">
        <f t="shared" si="114"/>
        <v>73</v>
      </c>
      <c r="AA1262">
        <f t="shared" si="115"/>
        <v>1.3076923076923077</v>
      </c>
      <c r="AB1262">
        <f t="shared" si="116"/>
        <v>11</v>
      </c>
      <c r="AC1262" t="str">
        <f t="shared" si="117"/>
        <v>Low</v>
      </c>
      <c r="AD1262" t="str">
        <f t="shared" si="118"/>
        <v>Upsell premium bundle</v>
      </c>
      <c r="AE1262">
        <f t="shared" si="119"/>
        <v>27</v>
      </c>
    </row>
    <row r="1263" spans="1:31" x14ac:dyDescent="0.35">
      <c r="A1263" t="s">
        <v>1321</v>
      </c>
      <c r="B1263" s="4">
        <v>45711</v>
      </c>
      <c r="C1263" s="4">
        <v>46143</v>
      </c>
      <c r="D1263" t="s">
        <v>72</v>
      </c>
      <c r="E1263">
        <v>34</v>
      </c>
      <c r="F1263" t="s">
        <v>33</v>
      </c>
      <c r="G1263" t="s">
        <v>67</v>
      </c>
      <c r="H1263" t="s">
        <v>41</v>
      </c>
      <c r="I1263" t="s">
        <v>36</v>
      </c>
      <c r="J1263">
        <v>14</v>
      </c>
      <c r="K1263" s="5">
        <v>554.20000000000005</v>
      </c>
      <c r="L1263" s="5">
        <v>249.17</v>
      </c>
      <c r="M1263">
        <v>34</v>
      </c>
      <c r="N1263">
        <v>22</v>
      </c>
      <c r="O1263">
        <v>10</v>
      </c>
      <c r="P1263">
        <v>5</v>
      </c>
      <c r="Q1263">
        <v>30</v>
      </c>
      <c r="R1263">
        <v>2</v>
      </c>
      <c r="S1263">
        <v>0</v>
      </c>
      <c r="T1263">
        <v>1</v>
      </c>
      <c r="U1263">
        <v>1</v>
      </c>
      <c r="V1263">
        <v>0</v>
      </c>
      <c r="W1263" t="s">
        <v>52</v>
      </c>
      <c r="X1263">
        <v>29</v>
      </c>
      <c r="Y1263">
        <v>0</v>
      </c>
      <c r="Z1263">
        <f t="shared" si="114"/>
        <v>100</v>
      </c>
      <c r="AA1263">
        <f t="shared" si="115"/>
        <v>1.4545454545454546</v>
      </c>
      <c r="AB1263">
        <f t="shared" si="116"/>
        <v>1</v>
      </c>
      <c r="AC1263" t="str">
        <f t="shared" si="117"/>
        <v>Low</v>
      </c>
      <c r="AD1263" t="str">
        <f t="shared" si="118"/>
        <v>Upsell premium bundle</v>
      </c>
      <c r="AE1263">
        <f t="shared" si="119"/>
        <v>0</v>
      </c>
    </row>
    <row r="1264" spans="1:31" x14ac:dyDescent="0.35">
      <c r="A1264" t="s">
        <v>1322</v>
      </c>
      <c r="B1264" s="4">
        <v>46061</v>
      </c>
      <c r="C1264" s="4">
        <v>46143</v>
      </c>
      <c r="D1264" t="s">
        <v>60</v>
      </c>
      <c r="E1264">
        <v>46</v>
      </c>
      <c r="F1264" t="s">
        <v>33</v>
      </c>
      <c r="G1264" t="s">
        <v>63</v>
      </c>
      <c r="H1264" t="s">
        <v>44</v>
      </c>
      <c r="I1264" t="s">
        <v>49</v>
      </c>
      <c r="J1264">
        <v>2</v>
      </c>
      <c r="K1264" s="5">
        <v>146.72</v>
      </c>
      <c r="L1264" s="5">
        <v>509.31</v>
      </c>
      <c r="M1264">
        <v>45</v>
      </c>
      <c r="N1264">
        <v>29</v>
      </c>
      <c r="O1264">
        <v>3</v>
      </c>
      <c r="P1264">
        <v>4</v>
      </c>
      <c r="Q1264">
        <v>25</v>
      </c>
      <c r="R1264">
        <v>0</v>
      </c>
      <c r="S1264">
        <v>1</v>
      </c>
      <c r="T1264">
        <v>1</v>
      </c>
      <c r="U1264">
        <v>1</v>
      </c>
      <c r="V1264">
        <v>0</v>
      </c>
      <c r="W1264" t="s">
        <v>37</v>
      </c>
      <c r="X1264">
        <v>21</v>
      </c>
      <c r="Y1264">
        <v>0</v>
      </c>
      <c r="Z1264">
        <f t="shared" si="114"/>
        <v>100</v>
      </c>
      <c r="AA1264">
        <f t="shared" si="115"/>
        <v>2.1875</v>
      </c>
      <c r="AB1264">
        <f t="shared" si="116"/>
        <v>22</v>
      </c>
      <c r="AC1264" t="str">
        <f t="shared" si="117"/>
        <v>Low</v>
      </c>
      <c r="AD1264" t="str">
        <f t="shared" si="118"/>
        <v>Upsell premium bundle</v>
      </c>
      <c r="AE1264">
        <f t="shared" si="119"/>
        <v>0</v>
      </c>
    </row>
    <row r="1265" spans="1:31" x14ac:dyDescent="0.35">
      <c r="A1265" t="s">
        <v>1323</v>
      </c>
      <c r="B1265" s="4">
        <v>45818</v>
      </c>
      <c r="C1265" s="4">
        <v>46143</v>
      </c>
      <c r="D1265" t="s">
        <v>66</v>
      </c>
      <c r="E1265">
        <v>49</v>
      </c>
      <c r="F1265" t="s">
        <v>57</v>
      </c>
      <c r="G1265" t="s">
        <v>34</v>
      </c>
      <c r="H1265" t="s">
        <v>58</v>
      </c>
      <c r="I1265" t="s">
        <v>49</v>
      </c>
      <c r="J1265">
        <v>10</v>
      </c>
      <c r="K1265" s="5">
        <v>22.72</v>
      </c>
      <c r="L1265" s="5">
        <v>755.29</v>
      </c>
      <c r="M1265">
        <v>49</v>
      </c>
      <c r="N1265">
        <v>16</v>
      </c>
      <c r="O1265">
        <v>5</v>
      </c>
      <c r="P1265">
        <v>4</v>
      </c>
      <c r="Q1265">
        <v>35</v>
      </c>
      <c r="R1265">
        <v>0</v>
      </c>
      <c r="S1265">
        <v>0</v>
      </c>
      <c r="T1265">
        <v>1</v>
      </c>
      <c r="U1265">
        <v>0</v>
      </c>
      <c r="V1265">
        <v>0</v>
      </c>
      <c r="W1265" t="s">
        <v>45</v>
      </c>
      <c r="X1265">
        <v>39</v>
      </c>
      <c r="Y1265">
        <v>0</v>
      </c>
      <c r="Z1265">
        <f t="shared" si="114"/>
        <v>100</v>
      </c>
      <c r="AA1265">
        <f t="shared" si="115"/>
        <v>2.1</v>
      </c>
      <c r="AB1265">
        <f t="shared" si="116"/>
        <v>5</v>
      </c>
      <c r="AC1265" t="str">
        <f t="shared" si="117"/>
        <v>Low</v>
      </c>
      <c r="AD1265" t="str">
        <f t="shared" si="118"/>
        <v>Upsell premium bundle</v>
      </c>
      <c r="AE1265">
        <f t="shared" si="119"/>
        <v>0</v>
      </c>
    </row>
    <row r="1266" spans="1:31" x14ac:dyDescent="0.35">
      <c r="A1266" t="s">
        <v>1324</v>
      </c>
      <c r="B1266" s="4">
        <v>44780</v>
      </c>
      <c r="C1266" s="4">
        <v>46143</v>
      </c>
      <c r="D1266" t="s">
        <v>47</v>
      </c>
      <c r="E1266">
        <v>20</v>
      </c>
      <c r="F1266" t="s">
        <v>77</v>
      </c>
      <c r="G1266" t="s">
        <v>40</v>
      </c>
      <c r="H1266" t="s">
        <v>41</v>
      </c>
      <c r="I1266" t="s">
        <v>36</v>
      </c>
      <c r="J1266">
        <v>45</v>
      </c>
      <c r="K1266" s="5">
        <v>11861.09</v>
      </c>
      <c r="L1266" s="5">
        <v>13929.93</v>
      </c>
      <c r="M1266">
        <v>21</v>
      </c>
      <c r="N1266">
        <v>12</v>
      </c>
      <c r="O1266">
        <v>3</v>
      </c>
      <c r="P1266">
        <v>0</v>
      </c>
      <c r="Q1266">
        <v>16</v>
      </c>
      <c r="R1266">
        <v>0</v>
      </c>
      <c r="S1266">
        <v>0</v>
      </c>
      <c r="T1266">
        <v>1</v>
      </c>
      <c r="U1266">
        <v>1</v>
      </c>
      <c r="V1266">
        <v>1</v>
      </c>
      <c r="W1266" t="s">
        <v>50</v>
      </c>
      <c r="X1266">
        <v>76</v>
      </c>
      <c r="Y1266">
        <v>0</v>
      </c>
      <c r="Z1266">
        <f t="shared" si="114"/>
        <v>65</v>
      </c>
      <c r="AA1266">
        <f t="shared" si="115"/>
        <v>0.49333333333333335</v>
      </c>
      <c r="AB1266">
        <f t="shared" si="116"/>
        <v>0</v>
      </c>
      <c r="AC1266" t="str">
        <f t="shared" si="117"/>
        <v>Low</v>
      </c>
      <c r="AD1266" t="str">
        <f t="shared" si="118"/>
        <v>Upsell premium bundle</v>
      </c>
      <c r="AE1266">
        <f t="shared" si="119"/>
        <v>35</v>
      </c>
    </row>
    <row r="1267" spans="1:31" x14ac:dyDescent="0.35">
      <c r="A1267" t="s">
        <v>1325</v>
      </c>
      <c r="B1267" s="4">
        <v>44952</v>
      </c>
      <c r="C1267" s="4">
        <v>46143</v>
      </c>
      <c r="D1267" t="s">
        <v>66</v>
      </c>
      <c r="E1267">
        <v>66</v>
      </c>
      <c r="F1267" t="s">
        <v>61</v>
      </c>
      <c r="G1267" t="s">
        <v>34</v>
      </c>
      <c r="H1267" t="s">
        <v>58</v>
      </c>
      <c r="I1267" t="s">
        <v>54</v>
      </c>
      <c r="J1267">
        <v>39</v>
      </c>
      <c r="K1267" s="5">
        <v>3830.25</v>
      </c>
      <c r="L1267" s="5">
        <v>4539.71</v>
      </c>
      <c r="M1267">
        <v>19</v>
      </c>
      <c r="N1267">
        <v>9</v>
      </c>
      <c r="O1267">
        <v>3</v>
      </c>
      <c r="P1267">
        <v>2</v>
      </c>
      <c r="Q1267">
        <v>21</v>
      </c>
      <c r="R1267">
        <v>2</v>
      </c>
      <c r="S1267">
        <v>0</v>
      </c>
      <c r="T1267">
        <v>1</v>
      </c>
      <c r="U1267">
        <v>0</v>
      </c>
      <c r="V1267">
        <v>1</v>
      </c>
      <c r="W1267" t="s">
        <v>45</v>
      </c>
      <c r="X1267">
        <v>6</v>
      </c>
      <c r="Y1267">
        <v>1</v>
      </c>
      <c r="Z1267">
        <f t="shared" si="114"/>
        <v>60</v>
      </c>
      <c r="AA1267">
        <f t="shared" si="115"/>
        <v>0.57971014492753625</v>
      </c>
      <c r="AB1267">
        <f t="shared" si="116"/>
        <v>24</v>
      </c>
      <c r="AC1267" t="str">
        <f t="shared" si="117"/>
        <v>Low</v>
      </c>
      <c r="AD1267" t="str">
        <f t="shared" si="118"/>
        <v>Upsell premium bundle</v>
      </c>
      <c r="AE1267">
        <f t="shared" si="119"/>
        <v>40</v>
      </c>
    </row>
    <row r="1268" spans="1:31" x14ac:dyDescent="0.35">
      <c r="A1268" t="s">
        <v>1326</v>
      </c>
      <c r="B1268" s="4">
        <v>45515</v>
      </c>
      <c r="C1268" s="4">
        <v>46143</v>
      </c>
      <c r="D1268" t="s">
        <v>39</v>
      </c>
      <c r="E1268">
        <v>62</v>
      </c>
      <c r="F1268" t="s">
        <v>43</v>
      </c>
      <c r="G1268" t="s">
        <v>85</v>
      </c>
      <c r="H1268" t="s">
        <v>58</v>
      </c>
      <c r="I1268" t="s">
        <v>36</v>
      </c>
      <c r="J1268">
        <v>20</v>
      </c>
      <c r="K1268" s="5">
        <v>157.18</v>
      </c>
      <c r="L1268" s="5">
        <v>83.03</v>
      </c>
      <c r="M1268">
        <v>19</v>
      </c>
      <c r="N1268">
        <v>11</v>
      </c>
      <c r="O1268">
        <v>3</v>
      </c>
      <c r="P1268">
        <v>1</v>
      </c>
      <c r="Q1268">
        <v>21</v>
      </c>
      <c r="R1268">
        <v>2</v>
      </c>
      <c r="S1268">
        <v>0</v>
      </c>
      <c r="T1268">
        <v>1</v>
      </c>
      <c r="U1268">
        <v>0</v>
      </c>
      <c r="V1268">
        <v>0</v>
      </c>
      <c r="W1268" t="s">
        <v>45</v>
      </c>
      <c r="X1268">
        <v>19</v>
      </c>
      <c r="Y1268">
        <v>1</v>
      </c>
      <c r="Z1268">
        <f t="shared" si="114"/>
        <v>53</v>
      </c>
      <c r="AA1268">
        <f t="shared" si="115"/>
        <v>0.8</v>
      </c>
      <c r="AB1268">
        <f t="shared" si="116"/>
        <v>14</v>
      </c>
      <c r="AC1268" t="str">
        <f t="shared" si="117"/>
        <v>Low</v>
      </c>
      <c r="AD1268" t="str">
        <f t="shared" si="118"/>
        <v>Upsell premium bundle</v>
      </c>
      <c r="AE1268">
        <f t="shared" si="119"/>
        <v>47</v>
      </c>
    </row>
    <row r="1269" spans="1:31" x14ac:dyDescent="0.35">
      <c r="A1269" t="s">
        <v>1327</v>
      </c>
      <c r="B1269" s="4">
        <v>45077</v>
      </c>
      <c r="C1269" s="4">
        <v>46143</v>
      </c>
      <c r="D1269" t="s">
        <v>39</v>
      </c>
      <c r="E1269">
        <v>66</v>
      </c>
      <c r="F1269" t="s">
        <v>57</v>
      </c>
      <c r="G1269" t="s">
        <v>48</v>
      </c>
      <c r="H1269" t="s">
        <v>44</v>
      </c>
      <c r="I1269" t="s">
        <v>54</v>
      </c>
      <c r="J1269">
        <v>35</v>
      </c>
      <c r="K1269" s="5">
        <v>1231.52</v>
      </c>
      <c r="L1269" s="5">
        <v>0</v>
      </c>
      <c r="M1269">
        <v>56</v>
      </c>
      <c r="N1269">
        <v>27</v>
      </c>
      <c r="O1269">
        <v>15</v>
      </c>
      <c r="P1269">
        <v>2</v>
      </c>
      <c r="Q1269">
        <v>38</v>
      </c>
      <c r="R1269">
        <v>0</v>
      </c>
      <c r="S1269">
        <v>0</v>
      </c>
      <c r="T1269">
        <v>1</v>
      </c>
      <c r="U1269">
        <v>1</v>
      </c>
      <c r="V1269">
        <v>0</v>
      </c>
      <c r="W1269" t="s">
        <v>55</v>
      </c>
      <c r="X1269">
        <v>52</v>
      </c>
      <c r="Y1269">
        <v>0</v>
      </c>
      <c r="Z1269">
        <f t="shared" si="114"/>
        <v>100</v>
      </c>
      <c r="AA1269">
        <f t="shared" si="115"/>
        <v>1.4461538461538461</v>
      </c>
      <c r="AB1269">
        <f t="shared" si="116"/>
        <v>0</v>
      </c>
      <c r="AC1269" t="str">
        <f t="shared" si="117"/>
        <v>Low</v>
      </c>
      <c r="AD1269" t="str">
        <f t="shared" si="118"/>
        <v>Upsell premium bundle</v>
      </c>
      <c r="AE1269">
        <f t="shared" si="119"/>
        <v>0</v>
      </c>
    </row>
    <row r="1270" spans="1:31" x14ac:dyDescent="0.35">
      <c r="A1270" t="s">
        <v>1328</v>
      </c>
      <c r="B1270" s="4">
        <v>46039</v>
      </c>
      <c r="C1270" s="4">
        <v>46143</v>
      </c>
      <c r="D1270" t="s">
        <v>32</v>
      </c>
      <c r="E1270">
        <v>44</v>
      </c>
      <c r="F1270" t="s">
        <v>33</v>
      </c>
      <c r="G1270" t="s">
        <v>34</v>
      </c>
      <c r="H1270" t="s">
        <v>41</v>
      </c>
      <c r="I1270" t="s">
        <v>36</v>
      </c>
      <c r="J1270">
        <v>3</v>
      </c>
      <c r="K1270" s="5">
        <v>10.3</v>
      </c>
      <c r="L1270" s="5">
        <v>38.51</v>
      </c>
      <c r="M1270">
        <v>21</v>
      </c>
      <c r="N1270">
        <v>5</v>
      </c>
      <c r="O1270">
        <v>3</v>
      </c>
      <c r="P1270">
        <v>2</v>
      </c>
      <c r="Q1270">
        <v>22</v>
      </c>
      <c r="R1270">
        <v>0</v>
      </c>
      <c r="S1270">
        <v>0</v>
      </c>
      <c r="T1270">
        <v>0</v>
      </c>
      <c r="U1270">
        <v>0</v>
      </c>
      <c r="V1270">
        <v>0</v>
      </c>
      <c r="W1270" t="s">
        <v>52</v>
      </c>
      <c r="X1270">
        <v>85</v>
      </c>
      <c r="Y1270">
        <v>0</v>
      </c>
      <c r="Z1270">
        <f t="shared" si="114"/>
        <v>53</v>
      </c>
      <c r="AA1270">
        <f t="shared" si="115"/>
        <v>1.303030303030303</v>
      </c>
      <c r="AB1270">
        <f t="shared" si="116"/>
        <v>0</v>
      </c>
      <c r="AC1270" t="str">
        <f t="shared" si="117"/>
        <v>Low</v>
      </c>
      <c r="AD1270" t="str">
        <f t="shared" si="118"/>
        <v>Upsell premium bundle</v>
      </c>
      <c r="AE1270">
        <f t="shared" si="119"/>
        <v>47</v>
      </c>
    </row>
    <row r="1271" spans="1:31" x14ac:dyDescent="0.35">
      <c r="A1271" t="s">
        <v>1329</v>
      </c>
      <c r="B1271" s="4">
        <v>46041</v>
      </c>
      <c r="C1271" s="4">
        <v>46143</v>
      </c>
      <c r="D1271" t="s">
        <v>60</v>
      </c>
      <c r="E1271">
        <v>51</v>
      </c>
      <c r="F1271" t="s">
        <v>57</v>
      </c>
      <c r="G1271" t="s">
        <v>85</v>
      </c>
      <c r="H1271" t="s">
        <v>41</v>
      </c>
      <c r="I1271" t="s">
        <v>36</v>
      </c>
      <c r="J1271">
        <v>3</v>
      </c>
      <c r="K1271" s="5">
        <v>1837.5</v>
      </c>
      <c r="L1271" s="5">
        <v>844.55</v>
      </c>
      <c r="M1271">
        <v>36</v>
      </c>
      <c r="N1271">
        <v>11</v>
      </c>
      <c r="O1271">
        <v>8</v>
      </c>
      <c r="P1271">
        <v>1</v>
      </c>
      <c r="Q1271">
        <v>33</v>
      </c>
      <c r="R1271">
        <v>0</v>
      </c>
      <c r="S1271">
        <v>1</v>
      </c>
      <c r="T1271">
        <v>0</v>
      </c>
      <c r="U1271">
        <v>0</v>
      </c>
      <c r="V1271">
        <v>0</v>
      </c>
      <c r="W1271" t="s">
        <v>55</v>
      </c>
      <c r="X1271">
        <v>17</v>
      </c>
      <c r="Y1271">
        <v>0</v>
      </c>
      <c r="Z1271">
        <f t="shared" si="114"/>
        <v>88</v>
      </c>
      <c r="AA1271">
        <f t="shared" si="115"/>
        <v>2.0909090909090908</v>
      </c>
      <c r="AB1271">
        <f t="shared" si="116"/>
        <v>22</v>
      </c>
      <c r="AC1271" t="str">
        <f t="shared" si="117"/>
        <v>Low</v>
      </c>
      <c r="AD1271" t="str">
        <f t="shared" si="118"/>
        <v>Upsell premium bundle</v>
      </c>
      <c r="AE1271">
        <f t="shared" si="119"/>
        <v>12</v>
      </c>
    </row>
    <row r="1272" spans="1:31" x14ac:dyDescent="0.35">
      <c r="A1272" t="s">
        <v>1330</v>
      </c>
      <c r="B1272" s="4">
        <v>45017</v>
      </c>
      <c r="C1272" s="4">
        <v>46143</v>
      </c>
      <c r="D1272" t="s">
        <v>32</v>
      </c>
      <c r="E1272">
        <v>38</v>
      </c>
      <c r="F1272" t="s">
        <v>43</v>
      </c>
      <c r="G1272" t="s">
        <v>63</v>
      </c>
      <c r="H1272" t="s">
        <v>58</v>
      </c>
      <c r="I1272" t="s">
        <v>36</v>
      </c>
      <c r="J1272">
        <v>37</v>
      </c>
      <c r="K1272" s="5">
        <v>78.77</v>
      </c>
      <c r="L1272" s="5">
        <v>18.43</v>
      </c>
      <c r="M1272">
        <v>34</v>
      </c>
      <c r="N1272">
        <v>10</v>
      </c>
      <c r="O1272">
        <v>7</v>
      </c>
      <c r="P1272">
        <v>4</v>
      </c>
      <c r="Q1272">
        <v>49</v>
      </c>
      <c r="R1272">
        <v>0</v>
      </c>
      <c r="S1272">
        <v>2</v>
      </c>
      <c r="T1272">
        <v>0</v>
      </c>
      <c r="U1272">
        <v>0</v>
      </c>
      <c r="V1272">
        <v>0</v>
      </c>
      <c r="W1272" t="s">
        <v>50</v>
      </c>
      <c r="X1272">
        <v>-9</v>
      </c>
      <c r="Y1272">
        <v>0</v>
      </c>
      <c r="Z1272">
        <f t="shared" si="114"/>
        <v>100</v>
      </c>
      <c r="AA1272">
        <f t="shared" si="115"/>
        <v>1.2388059701492538</v>
      </c>
      <c r="AB1272">
        <f t="shared" si="116"/>
        <v>29</v>
      </c>
      <c r="AC1272" t="str">
        <f t="shared" si="117"/>
        <v>Low</v>
      </c>
      <c r="AD1272" t="str">
        <f t="shared" si="118"/>
        <v>Upsell premium bundle</v>
      </c>
      <c r="AE1272">
        <f t="shared" si="119"/>
        <v>0</v>
      </c>
    </row>
    <row r="1273" spans="1:31" x14ac:dyDescent="0.35">
      <c r="A1273" t="s">
        <v>1331</v>
      </c>
      <c r="B1273" s="4">
        <v>45865</v>
      </c>
      <c r="C1273" s="4">
        <v>46143</v>
      </c>
      <c r="D1273" t="s">
        <v>32</v>
      </c>
      <c r="E1273">
        <v>60</v>
      </c>
      <c r="F1273" t="s">
        <v>57</v>
      </c>
      <c r="G1273" t="s">
        <v>85</v>
      </c>
      <c r="H1273" t="s">
        <v>41</v>
      </c>
      <c r="I1273" t="s">
        <v>36</v>
      </c>
      <c r="J1273">
        <v>9</v>
      </c>
      <c r="K1273" s="5">
        <v>1956.13</v>
      </c>
      <c r="L1273" s="5">
        <v>821.2</v>
      </c>
      <c r="M1273">
        <v>35</v>
      </c>
      <c r="N1273">
        <v>9</v>
      </c>
      <c r="O1273">
        <v>5</v>
      </c>
      <c r="P1273">
        <v>1</v>
      </c>
      <c r="Q1273">
        <v>27</v>
      </c>
      <c r="R1273">
        <v>1</v>
      </c>
      <c r="S1273">
        <v>1</v>
      </c>
      <c r="T1273">
        <v>0</v>
      </c>
      <c r="U1273">
        <v>1</v>
      </c>
      <c r="V1273">
        <v>0</v>
      </c>
      <c r="W1273" t="s">
        <v>37</v>
      </c>
      <c r="X1273">
        <v>11</v>
      </c>
      <c r="Y1273">
        <v>0</v>
      </c>
      <c r="Z1273">
        <f t="shared" si="114"/>
        <v>85</v>
      </c>
      <c r="AA1273">
        <f t="shared" si="115"/>
        <v>1.5897435897435896</v>
      </c>
      <c r="AB1273">
        <f t="shared" si="116"/>
        <v>25</v>
      </c>
      <c r="AC1273" t="str">
        <f t="shared" si="117"/>
        <v>Low</v>
      </c>
      <c r="AD1273" t="str">
        <f t="shared" si="118"/>
        <v>Upsell premium bundle</v>
      </c>
      <c r="AE1273">
        <f t="shared" si="119"/>
        <v>15</v>
      </c>
    </row>
    <row r="1274" spans="1:31" x14ac:dyDescent="0.35">
      <c r="A1274" t="s">
        <v>1332</v>
      </c>
      <c r="B1274" s="4">
        <v>45840</v>
      </c>
      <c r="C1274" s="4">
        <v>46143</v>
      </c>
      <c r="D1274" t="s">
        <v>32</v>
      </c>
      <c r="E1274">
        <v>29</v>
      </c>
      <c r="F1274" t="s">
        <v>57</v>
      </c>
      <c r="G1274" t="s">
        <v>34</v>
      </c>
      <c r="H1274" t="s">
        <v>41</v>
      </c>
      <c r="I1274" t="s">
        <v>36</v>
      </c>
      <c r="J1274">
        <v>10</v>
      </c>
      <c r="K1274" s="5">
        <v>1913.76</v>
      </c>
      <c r="L1274" s="5">
        <v>230.97</v>
      </c>
      <c r="M1274">
        <v>14</v>
      </c>
      <c r="N1274">
        <v>9</v>
      </c>
      <c r="O1274">
        <v>1</v>
      </c>
      <c r="P1274">
        <v>2</v>
      </c>
      <c r="Q1274">
        <v>16</v>
      </c>
      <c r="R1274">
        <v>0</v>
      </c>
      <c r="S1274">
        <v>2</v>
      </c>
      <c r="T1274">
        <v>1</v>
      </c>
      <c r="U1274">
        <v>0</v>
      </c>
      <c r="V1274">
        <v>0</v>
      </c>
      <c r="W1274" t="s">
        <v>37</v>
      </c>
      <c r="X1274">
        <v>-9</v>
      </c>
      <c r="Y1274">
        <v>0</v>
      </c>
      <c r="Z1274">
        <f t="shared" si="114"/>
        <v>40</v>
      </c>
      <c r="AA1274">
        <f t="shared" si="115"/>
        <v>0.75</v>
      </c>
      <c r="AB1274">
        <f t="shared" si="116"/>
        <v>63</v>
      </c>
      <c r="AC1274" t="str">
        <f t="shared" si="117"/>
        <v>Medium</v>
      </c>
      <c r="AD1274" t="str">
        <f t="shared" si="118"/>
        <v>Nudge core feature adoption</v>
      </c>
      <c r="AE1274">
        <f t="shared" si="119"/>
        <v>60</v>
      </c>
    </row>
    <row r="1275" spans="1:31" x14ac:dyDescent="0.35">
      <c r="A1275" t="s">
        <v>1333</v>
      </c>
      <c r="B1275" s="4">
        <v>45856</v>
      </c>
      <c r="C1275" s="4">
        <v>46143</v>
      </c>
      <c r="D1275" t="s">
        <v>60</v>
      </c>
      <c r="E1275">
        <v>32</v>
      </c>
      <c r="F1275" t="s">
        <v>57</v>
      </c>
      <c r="G1275" t="s">
        <v>40</v>
      </c>
      <c r="H1275" t="s">
        <v>44</v>
      </c>
      <c r="I1275" t="s">
        <v>36</v>
      </c>
      <c r="J1275">
        <v>9</v>
      </c>
      <c r="K1275" s="5">
        <v>1805.01</v>
      </c>
      <c r="L1275" s="5">
        <v>1082.8399999999999</v>
      </c>
      <c r="M1275">
        <v>27</v>
      </c>
      <c r="N1275">
        <v>11</v>
      </c>
      <c r="O1275">
        <v>7</v>
      </c>
      <c r="P1275">
        <v>1</v>
      </c>
      <c r="Q1275">
        <v>7</v>
      </c>
      <c r="R1275">
        <v>0</v>
      </c>
      <c r="S1275">
        <v>2</v>
      </c>
      <c r="T1275">
        <v>1</v>
      </c>
      <c r="U1275">
        <v>1</v>
      </c>
      <c r="V1275">
        <v>1</v>
      </c>
      <c r="W1275" t="s">
        <v>37</v>
      </c>
      <c r="X1275">
        <v>23</v>
      </c>
      <c r="Y1275">
        <v>0</v>
      </c>
      <c r="Z1275">
        <f t="shared" si="114"/>
        <v>69</v>
      </c>
      <c r="AA1275">
        <f t="shared" si="115"/>
        <v>0.87179487179487181</v>
      </c>
      <c r="AB1275">
        <f t="shared" si="116"/>
        <v>25</v>
      </c>
      <c r="AC1275" t="str">
        <f t="shared" si="117"/>
        <v>Low</v>
      </c>
      <c r="AD1275" t="str">
        <f t="shared" si="118"/>
        <v>Upsell premium bundle</v>
      </c>
      <c r="AE1275">
        <f t="shared" si="119"/>
        <v>31</v>
      </c>
    </row>
    <row r="1276" spans="1:31" x14ac:dyDescent="0.35">
      <c r="A1276" t="s">
        <v>1334</v>
      </c>
      <c r="B1276" s="4">
        <v>45660</v>
      </c>
      <c r="C1276" s="4">
        <v>46143</v>
      </c>
      <c r="D1276" t="s">
        <v>60</v>
      </c>
      <c r="E1276">
        <v>61</v>
      </c>
      <c r="F1276" t="s">
        <v>61</v>
      </c>
      <c r="G1276" t="s">
        <v>40</v>
      </c>
      <c r="H1276" t="s">
        <v>58</v>
      </c>
      <c r="I1276" t="s">
        <v>36</v>
      </c>
      <c r="J1276">
        <v>16</v>
      </c>
      <c r="K1276" s="5">
        <v>2524.3000000000002</v>
      </c>
      <c r="L1276" s="5">
        <v>3317.94</v>
      </c>
      <c r="M1276">
        <v>22</v>
      </c>
      <c r="N1276">
        <v>15</v>
      </c>
      <c r="O1276">
        <v>4</v>
      </c>
      <c r="P1276">
        <v>4</v>
      </c>
      <c r="Q1276">
        <v>33</v>
      </c>
      <c r="R1276">
        <v>1</v>
      </c>
      <c r="S1276">
        <v>0</v>
      </c>
      <c r="T1276">
        <v>1</v>
      </c>
      <c r="U1276">
        <v>0</v>
      </c>
      <c r="V1276">
        <v>0</v>
      </c>
      <c r="W1276" t="s">
        <v>52</v>
      </c>
      <c r="X1276">
        <v>59</v>
      </c>
      <c r="Y1276">
        <v>1</v>
      </c>
      <c r="Z1276">
        <f t="shared" si="114"/>
        <v>75</v>
      </c>
      <c r="AA1276">
        <f t="shared" si="115"/>
        <v>1.1956521739130435</v>
      </c>
      <c r="AB1276">
        <f t="shared" si="116"/>
        <v>0</v>
      </c>
      <c r="AC1276" t="str">
        <f t="shared" si="117"/>
        <v>Low</v>
      </c>
      <c r="AD1276" t="str">
        <f t="shared" si="118"/>
        <v>Upsell premium bundle</v>
      </c>
      <c r="AE1276">
        <f t="shared" si="119"/>
        <v>25</v>
      </c>
    </row>
    <row r="1277" spans="1:31" x14ac:dyDescent="0.35">
      <c r="A1277" t="s">
        <v>1335</v>
      </c>
      <c r="B1277" s="4">
        <v>44930</v>
      </c>
      <c r="C1277" s="4">
        <v>46143</v>
      </c>
      <c r="D1277" t="s">
        <v>66</v>
      </c>
      <c r="E1277">
        <v>25</v>
      </c>
      <c r="F1277" t="s">
        <v>77</v>
      </c>
      <c r="G1277" t="s">
        <v>85</v>
      </c>
      <c r="H1277" t="s">
        <v>58</v>
      </c>
      <c r="I1277" t="s">
        <v>54</v>
      </c>
      <c r="J1277">
        <v>40</v>
      </c>
      <c r="K1277" s="5">
        <v>0</v>
      </c>
      <c r="L1277" s="5">
        <v>8350.11</v>
      </c>
      <c r="M1277">
        <v>25</v>
      </c>
      <c r="N1277">
        <v>6</v>
      </c>
      <c r="O1277">
        <v>5</v>
      </c>
      <c r="P1277">
        <v>4</v>
      </c>
      <c r="Q1277">
        <v>29</v>
      </c>
      <c r="R1277">
        <v>3</v>
      </c>
      <c r="S1277">
        <v>1</v>
      </c>
      <c r="T1277">
        <v>0</v>
      </c>
      <c r="U1277">
        <v>1</v>
      </c>
      <c r="V1277">
        <v>0</v>
      </c>
      <c r="W1277" t="s">
        <v>52</v>
      </c>
      <c r="X1277">
        <v>57</v>
      </c>
      <c r="Y1277">
        <v>0</v>
      </c>
      <c r="Z1277">
        <f t="shared" si="114"/>
        <v>77</v>
      </c>
      <c r="AA1277">
        <f t="shared" si="115"/>
        <v>0.77142857142857146</v>
      </c>
      <c r="AB1277">
        <f t="shared" si="116"/>
        <v>0</v>
      </c>
      <c r="AC1277" t="str">
        <f t="shared" si="117"/>
        <v>Low</v>
      </c>
      <c r="AD1277" t="str">
        <f t="shared" si="118"/>
        <v>Upsell premium bundle</v>
      </c>
      <c r="AE1277">
        <f t="shared" si="119"/>
        <v>23</v>
      </c>
    </row>
    <row r="1278" spans="1:31" x14ac:dyDescent="0.35">
      <c r="A1278" t="s">
        <v>1336</v>
      </c>
      <c r="B1278" s="4">
        <v>45541</v>
      </c>
      <c r="C1278" s="4">
        <v>46143</v>
      </c>
      <c r="D1278" t="s">
        <v>72</v>
      </c>
      <c r="E1278">
        <v>27</v>
      </c>
      <c r="F1278" t="s">
        <v>33</v>
      </c>
      <c r="G1278" t="s">
        <v>67</v>
      </c>
      <c r="H1278" t="s">
        <v>58</v>
      </c>
      <c r="I1278" t="s">
        <v>36</v>
      </c>
      <c r="J1278">
        <v>20</v>
      </c>
      <c r="K1278" s="5">
        <v>504.15</v>
      </c>
      <c r="L1278" s="5">
        <v>216.9</v>
      </c>
      <c r="M1278">
        <v>24</v>
      </c>
      <c r="N1278">
        <v>8</v>
      </c>
      <c r="O1278">
        <v>2</v>
      </c>
      <c r="P1278">
        <v>1</v>
      </c>
      <c r="Q1278">
        <v>19</v>
      </c>
      <c r="R1278">
        <v>3</v>
      </c>
      <c r="S1278">
        <v>1</v>
      </c>
      <c r="T1278">
        <v>0</v>
      </c>
      <c r="U1278">
        <v>1</v>
      </c>
      <c r="V1278">
        <v>1</v>
      </c>
      <c r="W1278" t="s">
        <v>37</v>
      </c>
      <c r="X1278">
        <v>29</v>
      </c>
      <c r="Y1278">
        <v>0</v>
      </c>
      <c r="Z1278">
        <f t="shared" si="114"/>
        <v>68</v>
      </c>
      <c r="AA1278">
        <f t="shared" si="115"/>
        <v>0.86</v>
      </c>
      <c r="AB1278">
        <f t="shared" si="116"/>
        <v>10</v>
      </c>
      <c r="AC1278" t="str">
        <f t="shared" si="117"/>
        <v>Low</v>
      </c>
      <c r="AD1278" t="str">
        <f t="shared" si="118"/>
        <v>Upsell premium bundle</v>
      </c>
      <c r="AE1278">
        <f t="shared" si="119"/>
        <v>32</v>
      </c>
    </row>
    <row r="1279" spans="1:31" x14ac:dyDescent="0.35">
      <c r="A1279" t="s">
        <v>1337</v>
      </c>
      <c r="B1279" s="4">
        <v>44790</v>
      </c>
      <c r="C1279" s="4">
        <v>46143</v>
      </c>
      <c r="D1279" t="s">
        <v>47</v>
      </c>
      <c r="E1279">
        <v>20</v>
      </c>
      <c r="F1279" t="s">
        <v>43</v>
      </c>
      <c r="G1279" t="s">
        <v>63</v>
      </c>
      <c r="H1279" t="s">
        <v>58</v>
      </c>
      <c r="I1279" t="s">
        <v>36</v>
      </c>
      <c r="J1279">
        <v>45</v>
      </c>
      <c r="K1279" s="5">
        <v>91.37</v>
      </c>
      <c r="L1279" s="5">
        <v>74.64</v>
      </c>
      <c r="M1279">
        <v>43</v>
      </c>
      <c r="N1279">
        <v>25</v>
      </c>
      <c r="O1279">
        <v>9</v>
      </c>
      <c r="P1279">
        <v>4</v>
      </c>
      <c r="Q1279">
        <v>22</v>
      </c>
      <c r="R1279">
        <v>0</v>
      </c>
      <c r="S1279">
        <v>3</v>
      </c>
      <c r="T1279">
        <v>0</v>
      </c>
      <c r="U1279">
        <v>0</v>
      </c>
      <c r="V1279">
        <v>0</v>
      </c>
      <c r="W1279" t="s">
        <v>55</v>
      </c>
      <c r="X1279">
        <v>22</v>
      </c>
      <c r="Y1279">
        <v>0</v>
      </c>
      <c r="Z1279">
        <f t="shared" si="114"/>
        <v>100</v>
      </c>
      <c r="AA1279">
        <f t="shared" si="115"/>
        <v>0.8666666666666667</v>
      </c>
      <c r="AB1279">
        <f t="shared" si="116"/>
        <v>21</v>
      </c>
      <c r="AC1279" t="str">
        <f t="shared" si="117"/>
        <v>Low</v>
      </c>
      <c r="AD1279" t="str">
        <f t="shared" si="118"/>
        <v>Upsell premium bundle</v>
      </c>
      <c r="AE1279">
        <f t="shared" si="119"/>
        <v>0</v>
      </c>
    </row>
    <row r="1280" spans="1:31" x14ac:dyDescent="0.35">
      <c r="A1280" t="s">
        <v>1338</v>
      </c>
      <c r="B1280" s="4">
        <v>45628</v>
      </c>
      <c r="C1280" s="4">
        <v>46143</v>
      </c>
      <c r="D1280" t="s">
        <v>47</v>
      </c>
      <c r="E1280">
        <v>61</v>
      </c>
      <c r="F1280" t="s">
        <v>61</v>
      </c>
      <c r="G1280" t="s">
        <v>40</v>
      </c>
      <c r="H1280" t="s">
        <v>58</v>
      </c>
      <c r="I1280" t="s">
        <v>36</v>
      </c>
      <c r="J1280">
        <v>17</v>
      </c>
      <c r="K1280" s="5">
        <v>6313.4</v>
      </c>
      <c r="L1280" s="5">
        <v>2880.28</v>
      </c>
      <c r="M1280">
        <v>20</v>
      </c>
      <c r="N1280">
        <v>8</v>
      </c>
      <c r="O1280">
        <v>5</v>
      </c>
      <c r="P1280">
        <v>2</v>
      </c>
      <c r="Q1280">
        <v>14</v>
      </c>
      <c r="R1280">
        <v>1</v>
      </c>
      <c r="S1280">
        <v>0</v>
      </c>
      <c r="T1280">
        <v>1</v>
      </c>
      <c r="U1280">
        <v>0</v>
      </c>
      <c r="V1280">
        <v>1</v>
      </c>
      <c r="W1280" t="s">
        <v>37</v>
      </c>
      <c r="X1280">
        <v>50</v>
      </c>
      <c r="Y1280">
        <v>0</v>
      </c>
      <c r="Z1280">
        <f t="shared" si="114"/>
        <v>56</v>
      </c>
      <c r="AA1280">
        <f t="shared" si="115"/>
        <v>0.72340425531914898</v>
      </c>
      <c r="AB1280">
        <f t="shared" si="116"/>
        <v>0</v>
      </c>
      <c r="AC1280" t="str">
        <f t="shared" si="117"/>
        <v>Low</v>
      </c>
      <c r="AD1280" t="str">
        <f t="shared" si="118"/>
        <v>Upsell premium bundle</v>
      </c>
      <c r="AE1280">
        <f t="shared" si="119"/>
        <v>44</v>
      </c>
    </row>
    <row r="1281" spans="1:31" x14ac:dyDescent="0.35">
      <c r="A1281" t="s">
        <v>1339</v>
      </c>
      <c r="B1281" s="4">
        <v>45585</v>
      </c>
      <c r="C1281" s="4">
        <v>46143</v>
      </c>
      <c r="D1281" t="s">
        <v>47</v>
      </c>
      <c r="E1281">
        <v>26</v>
      </c>
      <c r="F1281" t="s">
        <v>57</v>
      </c>
      <c r="G1281" t="s">
        <v>67</v>
      </c>
      <c r="H1281" t="s">
        <v>58</v>
      </c>
      <c r="I1281" t="s">
        <v>36</v>
      </c>
      <c r="J1281">
        <v>18</v>
      </c>
      <c r="K1281" s="5">
        <v>854.63</v>
      </c>
      <c r="L1281" s="5">
        <v>586.62</v>
      </c>
      <c r="M1281">
        <v>38</v>
      </c>
      <c r="N1281">
        <v>10</v>
      </c>
      <c r="O1281">
        <v>3</v>
      </c>
      <c r="P1281">
        <v>0</v>
      </c>
      <c r="Q1281">
        <v>36</v>
      </c>
      <c r="R1281">
        <v>2</v>
      </c>
      <c r="S1281">
        <v>2</v>
      </c>
      <c r="T1281">
        <v>1</v>
      </c>
      <c r="U1281">
        <v>0</v>
      </c>
      <c r="V1281">
        <v>1</v>
      </c>
      <c r="W1281" t="s">
        <v>37</v>
      </c>
      <c r="X1281">
        <v>-1</v>
      </c>
      <c r="Y1281">
        <v>0</v>
      </c>
      <c r="Z1281">
        <f t="shared" si="114"/>
        <v>92</v>
      </c>
      <c r="AA1281">
        <f t="shared" si="115"/>
        <v>1.5416666666666667</v>
      </c>
      <c r="AB1281">
        <f t="shared" si="116"/>
        <v>25</v>
      </c>
      <c r="AC1281" t="str">
        <f t="shared" si="117"/>
        <v>Low</v>
      </c>
      <c r="AD1281" t="str">
        <f t="shared" si="118"/>
        <v>Upsell premium bundle</v>
      </c>
      <c r="AE1281">
        <f t="shared" si="119"/>
        <v>8</v>
      </c>
    </row>
    <row r="1282" spans="1:31" x14ac:dyDescent="0.35">
      <c r="A1282" t="s">
        <v>1340</v>
      </c>
      <c r="B1282" s="4">
        <v>45237</v>
      </c>
      <c r="C1282" s="4">
        <v>46143</v>
      </c>
      <c r="D1282" t="s">
        <v>39</v>
      </c>
      <c r="E1282">
        <v>61</v>
      </c>
      <c r="F1282" t="s">
        <v>61</v>
      </c>
      <c r="G1282" t="s">
        <v>40</v>
      </c>
      <c r="H1282" t="s">
        <v>41</v>
      </c>
      <c r="I1282" t="s">
        <v>36</v>
      </c>
      <c r="J1282">
        <v>30</v>
      </c>
      <c r="K1282" s="5">
        <v>4257.91</v>
      </c>
      <c r="L1282" s="5">
        <v>1909.75</v>
      </c>
      <c r="M1282">
        <v>27</v>
      </c>
      <c r="N1282">
        <v>14</v>
      </c>
      <c r="O1282">
        <v>1</v>
      </c>
      <c r="P1282">
        <v>0</v>
      </c>
      <c r="Q1282">
        <v>29</v>
      </c>
      <c r="R1282">
        <v>0</v>
      </c>
      <c r="S1282">
        <v>0</v>
      </c>
      <c r="T1282">
        <v>1</v>
      </c>
      <c r="U1282">
        <v>1</v>
      </c>
      <c r="V1282">
        <v>0</v>
      </c>
      <c r="W1282" t="s">
        <v>55</v>
      </c>
      <c r="X1282">
        <v>33</v>
      </c>
      <c r="Y1282">
        <v>0</v>
      </c>
      <c r="Z1282">
        <f t="shared" ref="Z1282:Z1345" si="120">MIN(100,ROUND((M1282*1.1+N1282*0.7+O1282*1.2+P1282*1.4+Q1282*0.9+U1282*8+V1282*7),0))</f>
        <v>75</v>
      </c>
      <c r="AA1282">
        <f t="shared" ref="AA1282:AA1345" si="121">IFERROR((M1282+Q1282)/(30+J1282),0)</f>
        <v>0.93333333333333335</v>
      </c>
      <c r="AB1282">
        <f t="shared" ref="AB1282:AB1345" si="122">ROUND(MIN(100,MAX(0,60-Z1282*0.4-R1282*1.5+S1282*8-IF(L1282&gt;1500,10,0)-X1282*0.5+IF(I1282="Completed",-8,8)+IF(H1282="Free",6,-4))),0)</f>
        <v>2</v>
      </c>
      <c r="AC1282" t="str">
        <f t="shared" ref="AC1282:AC1345" si="123">IF(AB1282&gt;=70,"High",IF(AB1282&gt;=40,"Medium","Low"))</f>
        <v>Low</v>
      </c>
      <c r="AD1282" t="str">
        <f t="shared" ref="AD1282:AD1345" si="124">IF(AC1282="High",IF(Q1282&lt;5,"Re-engage with app usage offer",IF(K1282&lt;100,"Deposit incentive","Retention call")),IF(AC1282="Medium","Nudge core feature adoption","Upsell premium bundle"))</f>
        <v>Upsell premium bundle</v>
      </c>
      <c r="AE1282">
        <f t="shared" ref="AE1282:AE1345" si="125">100-Z1282</f>
        <v>25</v>
      </c>
    </row>
    <row r="1283" spans="1:31" x14ac:dyDescent="0.35">
      <c r="A1283" t="s">
        <v>1341</v>
      </c>
      <c r="B1283" s="4">
        <v>45427</v>
      </c>
      <c r="C1283" s="4">
        <v>46143</v>
      </c>
      <c r="D1283" t="s">
        <v>66</v>
      </c>
      <c r="E1283">
        <v>29</v>
      </c>
      <c r="F1283" t="s">
        <v>77</v>
      </c>
      <c r="G1283" t="s">
        <v>67</v>
      </c>
      <c r="H1283" t="s">
        <v>41</v>
      </c>
      <c r="I1283" t="s">
        <v>36</v>
      </c>
      <c r="J1283">
        <v>23</v>
      </c>
      <c r="K1283" s="5">
        <v>5449.27</v>
      </c>
      <c r="L1283" s="5">
        <v>8434.52</v>
      </c>
      <c r="M1283">
        <v>9</v>
      </c>
      <c r="N1283">
        <v>5</v>
      </c>
      <c r="O1283">
        <v>0</v>
      </c>
      <c r="P1283">
        <v>1</v>
      </c>
      <c r="Q1283">
        <v>6</v>
      </c>
      <c r="R1283">
        <v>3</v>
      </c>
      <c r="S1283">
        <v>1</v>
      </c>
      <c r="T1283">
        <v>1</v>
      </c>
      <c r="U1283">
        <v>0</v>
      </c>
      <c r="V1283">
        <v>1</v>
      </c>
      <c r="W1283" t="s">
        <v>37</v>
      </c>
      <c r="X1283">
        <v>3</v>
      </c>
      <c r="Y1283">
        <v>1</v>
      </c>
      <c r="Z1283">
        <f t="shared" si="120"/>
        <v>27</v>
      </c>
      <c r="AA1283">
        <f t="shared" si="121"/>
        <v>0.28301886792452829</v>
      </c>
      <c r="AB1283">
        <f t="shared" si="122"/>
        <v>39</v>
      </c>
      <c r="AC1283" t="str">
        <f t="shared" si="123"/>
        <v>Low</v>
      </c>
      <c r="AD1283" t="str">
        <f t="shared" si="124"/>
        <v>Upsell premium bundle</v>
      </c>
      <c r="AE1283">
        <f t="shared" si="125"/>
        <v>73</v>
      </c>
    </row>
    <row r="1284" spans="1:31" x14ac:dyDescent="0.35">
      <c r="A1284" t="s">
        <v>1342</v>
      </c>
      <c r="B1284" s="4">
        <v>45207</v>
      </c>
      <c r="C1284" s="4">
        <v>46143</v>
      </c>
      <c r="D1284" t="s">
        <v>47</v>
      </c>
      <c r="E1284">
        <v>46</v>
      </c>
      <c r="F1284" t="s">
        <v>33</v>
      </c>
      <c r="G1284" t="s">
        <v>48</v>
      </c>
      <c r="H1284" t="s">
        <v>58</v>
      </c>
      <c r="I1284" t="s">
        <v>36</v>
      </c>
      <c r="J1284">
        <v>31</v>
      </c>
      <c r="K1284" s="5">
        <v>22.96</v>
      </c>
      <c r="L1284" s="5">
        <v>229.04</v>
      </c>
      <c r="M1284">
        <v>7</v>
      </c>
      <c r="N1284">
        <v>4</v>
      </c>
      <c r="O1284">
        <v>1</v>
      </c>
      <c r="P1284">
        <v>0</v>
      </c>
      <c r="Q1284">
        <v>11</v>
      </c>
      <c r="R1284">
        <v>7</v>
      </c>
      <c r="S1284">
        <v>2</v>
      </c>
      <c r="T1284">
        <v>1</v>
      </c>
      <c r="U1284">
        <v>0</v>
      </c>
      <c r="V1284">
        <v>0</v>
      </c>
      <c r="W1284" t="s">
        <v>55</v>
      </c>
      <c r="X1284">
        <v>-50</v>
      </c>
      <c r="Y1284">
        <v>1</v>
      </c>
      <c r="Z1284">
        <f t="shared" si="120"/>
        <v>22</v>
      </c>
      <c r="AA1284">
        <f t="shared" si="121"/>
        <v>0.29508196721311475</v>
      </c>
      <c r="AB1284">
        <f t="shared" si="122"/>
        <v>70</v>
      </c>
      <c r="AC1284" t="str">
        <f t="shared" si="123"/>
        <v>High</v>
      </c>
      <c r="AD1284" t="str">
        <f t="shared" si="124"/>
        <v>Deposit incentive</v>
      </c>
      <c r="AE1284">
        <f t="shared" si="125"/>
        <v>78</v>
      </c>
    </row>
    <row r="1285" spans="1:31" x14ac:dyDescent="0.35">
      <c r="A1285" t="s">
        <v>1343</v>
      </c>
      <c r="B1285" s="4">
        <v>45548</v>
      </c>
      <c r="C1285" s="4">
        <v>46143</v>
      </c>
      <c r="D1285" t="s">
        <v>60</v>
      </c>
      <c r="E1285">
        <v>59</v>
      </c>
      <c r="F1285" t="s">
        <v>61</v>
      </c>
      <c r="G1285" t="s">
        <v>40</v>
      </c>
      <c r="H1285" t="s">
        <v>41</v>
      </c>
      <c r="I1285" t="s">
        <v>54</v>
      </c>
      <c r="J1285">
        <v>19</v>
      </c>
      <c r="K1285" s="5">
        <v>4216.4399999999996</v>
      </c>
      <c r="L1285" s="5">
        <v>3944.81</v>
      </c>
      <c r="M1285">
        <v>8</v>
      </c>
      <c r="N1285">
        <v>3</v>
      </c>
      <c r="O1285">
        <v>1</v>
      </c>
      <c r="P1285">
        <v>1</v>
      </c>
      <c r="Q1285">
        <v>20</v>
      </c>
      <c r="R1285">
        <v>0</v>
      </c>
      <c r="S1285">
        <v>0</v>
      </c>
      <c r="T1285">
        <v>1</v>
      </c>
      <c r="U1285">
        <v>1</v>
      </c>
      <c r="V1285">
        <v>0</v>
      </c>
      <c r="W1285" t="s">
        <v>50</v>
      </c>
      <c r="X1285">
        <v>42</v>
      </c>
      <c r="Y1285">
        <v>0</v>
      </c>
      <c r="Z1285">
        <f t="shared" si="120"/>
        <v>40</v>
      </c>
      <c r="AA1285">
        <f t="shared" si="121"/>
        <v>0.5714285714285714</v>
      </c>
      <c r="AB1285">
        <f t="shared" si="122"/>
        <v>27</v>
      </c>
      <c r="AC1285" t="str">
        <f t="shared" si="123"/>
        <v>Low</v>
      </c>
      <c r="AD1285" t="str">
        <f t="shared" si="124"/>
        <v>Upsell premium bundle</v>
      </c>
      <c r="AE1285">
        <f t="shared" si="125"/>
        <v>60</v>
      </c>
    </row>
    <row r="1286" spans="1:31" x14ac:dyDescent="0.35">
      <c r="A1286" t="s">
        <v>1344</v>
      </c>
      <c r="B1286" s="4">
        <v>44971</v>
      </c>
      <c r="C1286" s="4">
        <v>46143</v>
      </c>
      <c r="D1286" t="s">
        <v>39</v>
      </c>
      <c r="E1286">
        <v>39</v>
      </c>
      <c r="F1286" t="s">
        <v>57</v>
      </c>
      <c r="G1286" t="s">
        <v>34</v>
      </c>
      <c r="H1286" t="s">
        <v>41</v>
      </c>
      <c r="I1286" t="s">
        <v>36</v>
      </c>
      <c r="J1286">
        <v>39</v>
      </c>
      <c r="K1286" s="5">
        <v>0</v>
      </c>
      <c r="L1286" s="5">
        <v>512.13</v>
      </c>
      <c r="M1286">
        <v>28</v>
      </c>
      <c r="N1286">
        <v>13</v>
      </c>
      <c r="O1286">
        <v>4</v>
      </c>
      <c r="P1286">
        <v>5</v>
      </c>
      <c r="Q1286">
        <v>26</v>
      </c>
      <c r="R1286">
        <v>0</v>
      </c>
      <c r="S1286">
        <v>0</v>
      </c>
      <c r="T1286">
        <v>0</v>
      </c>
      <c r="U1286">
        <v>0</v>
      </c>
      <c r="V1286">
        <v>1</v>
      </c>
      <c r="W1286" t="s">
        <v>55</v>
      </c>
      <c r="X1286">
        <v>26</v>
      </c>
      <c r="Y1286">
        <v>0</v>
      </c>
      <c r="Z1286">
        <f t="shared" si="120"/>
        <v>82</v>
      </c>
      <c r="AA1286">
        <f t="shared" si="121"/>
        <v>0.78260869565217395</v>
      </c>
      <c r="AB1286">
        <f t="shared" si="122"/>
        <v>12</v>
      </c>
      <c r="AC1286" t="str">
        <f t="shared" si="123"/>
        <v>Low</v>
      </c>
      <c r="AD1286" t="str">
        <f t="shared" si="124"/>
        <v>Upsell premium bundle</v>
      </c>
      <c r="AE1286">
        <f t="shared" si="125"/>
        <v>18</v>
      </c>
    </row>
    <row r="1287" spans="1:31" x14ac:dyDescent="0.35">
      <c r="A1287" t="s">
        <v>1345</v>
      </c>
      <c r="B1287" s="4">
        <v>45379</v>
      </c>
      <c r="C1287" s="4">
        <v>46143</v>
      </c>
      <c r="D1287" t="s">
        <v>66</v>
      </c>
      <c r="E1287">
        <v>37</v>
      </c>
      <c r="F1287" t="s">
        <v>33</v>
      </c>
      <c r="G1287" t="s">
        <v>40</v>
      </c>
      <c r="H1287" t="s">
        <v>41</v>
      </c>
      <c r="I1287" t="s">
        <v>36</v>
      </c>
      <c r="J1287">
        <v>25</v>
      </c>
      <c r="K1287" s="5">
        <v>386.91</v>
      </c>
      <c r="L1287" s="5">
        <v>0</v>
      </c>
      <c r="M1287">
        <v>32</v>
      </c>
      <c r="N1287">
        <v>14</v>
      </c>
      <c r="O1287">
        <v>6</v>
      </c>
      <c r="P1287">
        <v>0</v>
      </c>
      <c r="Q1287">
        <v>21</v>
      </c>
      <c r="R1287">
        <v>3</v>
      </c>
      <c r="S1287">
        <v>0</v>
      </c>
      <c r="T1287">
        <v>1</v>
      </c>
      <c r="U1287">
        <v>1</v>
      </c>
      <c r="V1287">
        <v>1</v>
      </c>
      <c r="W1287" t="s">
        <v>45</v>
      </c>
      <c r="X1287">
        <v>36</v>
      </c>
      <c r="Y1287">
        <v>1</v>
      </c>
      <c r="Z1287">
        <f t="shared" si="120"/>
        <v>86</v>
      </c>
      <c r="AA1287">
        <f t="shared" si="121"/>
        <v>0.96363636363636362</v>
      </c>
      <c r="AB1287">
        <f t="shared" si="122"/>
        <v>1</v>
      </c>
      <c r="AC1287" t="str">
        <f t="shared" si="123"/>
        <v>Low</v>
      </c>
      <c r="AD1287" t="str">
        <f t="shared" si="124"/>
        <v>Upsell premium bundle</v>
      </c>
      <c r="AE1287">
        <f t="shared" si="125"/>
        <v>14</v>
      </c>
    </row>
    <row r="1288" spans="1:31" x14ac:dyDescent="0.35">
      <c r="A1288" t="s">
        <v>1346</v>
      </c>
      <c r="B1288" s="4">
        <v>44996</v>
      </c>
      <c r="C1288" s="4">
        <v>46143</v>
      </c>
      <c r="D1288" t="s">
        <v>47</v>
      </c>
      <c r="E1288">
        <v>61</v>
      </c>
      <c r="F1288" t="s">
        <v>43</v>
      </c>
      <c r="G1288" t="s">
        <v>40</v>
      </c>
      <c r="H1288" t="s">
        <v>41</v>
      </c>
      <c r="I1288" t="s">
        <v>36</v>
      </c>
      <c r="J1288">
        <v>38</v>
      </c>
      <c r="K1288" s="5">
        <v>85.12</v>
      </c>
      <c r="L1288" s="5">
        <v>79.010000000000005</v>
      </c>
      <c r="M1288">
        <v>23</v>
      </c>
      <c r="N1288">
        <v>10</v>
      </c>
      <c r="O1288">
        <v>3</v>
      </c>
      <c r="P1288">
        <v>0</v>
      </c>
      <c r="Q1288">
        <v>9</v>
      </c>
      <c r="R1288">
        <v>0</v>
      </c>
      <c r="S1288">
        <v>1</v>
      </c>
      <c r="T1288">
        <v>1</v>
      </c>
      <c r="U1288">
        <v>0</v>
      </c>
      <c r="V1288">
        <v>0</v>
      </c>
      <c r="W1288" t="s">
        <v>55</v>
      </c>
      <c r="X1288">
        <v>-15</v>
      </c>
      <c r="Y1288">
        <v>1</v>
      </c>
      <c r="Z1288">
        <f t="shared" si="120"/>
        <v>44</v>
      </c>
      <c r="AA1288">
        <f t="shared" si="121"/>
        <v>0.47058823529411764</v>
      </c>
      <c r="AB1288">
        <f t="shared" si="122"/>
        <v>56</v>
      </c>
      <c r="AC1288" t="str">
        <f t="shared" si="123"/>
        <v>Medium</v>
      </c>
      <c r="AD1288" t="str">
        <f t="shared" si="124"/>
        <v>Nudge core feature adoption</v>
      </c>
      <c r="AE1288">
        <f t="shared" si="125"/>
        <v>56</v>
      </c>
    </row>
    <row r="1289" spans="1:31" x14ac:dyDescent="0.35">
      <c r="A1289" t="s">
        <v>1347</v>
      </c>
      <c r="B1289" s="4">
        <v>44961</v>
      </c>
      <c r="C1289" s="4">
        <v>46143</v>
      </c>
      <c r="D1289" t="s">
        <v>66</v>
      </c>
      <c r="E1289">
        <v>19</v>
      </c>
      <c r="F1289" t="s">
        <v>43</v>
      </c>
      <c r="G1289" t="s">
        <v>67</v>
      </c>
      <c r="H1289" t="s">
        <v>35</v>
      </c>
      <c r="I1289" t="s">
        <v>49</v>
      </c>
      <c r="J1289">
        <v>39</v>
      </c>
      <c r="K1289" s="5">
        <v>51.49</v>
      </c>
      <c r="L1289" s="5">
        <v>21.23</v>
      </c>
      <c r="M1289">
        <v>15</v>
      </c>
      <c r="N1289">
        <v>10</v>
      </c>
      <c r="O1289">
        <v>3</v>
      </c>
      <c r="P1289">
        <v>0</v>
      </c>
      <c r="Q1289">
        <v>19</v>
      </c>
      <c r="R1289">
        <v>4</v>
      </c>
      <c r="S1289">
        <v>0</v>
      </c>
      <c r="T1289">
        <v>1</v>
      </c>
      <c r="U1289">
        <v>1</v>
      </c>
      <c r="V1289">
        <v>0</v>
      </c>
      <c r="W1289" t="s">
        <v>52</v>
      </c>
      <c r="X1289">
        <v>-4</v>
      </c>
      <c r="Y1289">
        <v>0</v>
      </c>
      <c r="Z1289">
        <f t="shared" si="120"/>
        <v>52</v>
      </c>
      <c r="AA1289">
        <f t="shared" si="121"/>
        <v>0.49275362318840582</v>
      </c>
      <c r="AB1289">
        <f t="shared" si="122"/>
        <v>39</v>
      </c>
      <c r="AC1289" t="str">
        <f t="shared" si="123"/>
        <v>Low</v>
      </c>
      <c r="AD1289" t="str">
        <f t="shared" si="124"/>
        <v>Upsell premium bundle</v>
      </c>
      <c r="AE1289">
        <f t="shared" si="125"/>
        <v>48</v>
      </c>
    </row>
    <row r="1290" spans="1:31" x14ac:dyDescent="0.35">
      <c r="A1290" t="s">
        <v>1348</v>
      </c>
      <c r="B1290" s="4">
        <v>45206</v>
      </c>
      <c r="C1290" s="4">
        <v>46143</v>
      </c>
      <c r="D1290" t="s">
        <v>72</v>
      </c>
      <c r="E1290">
        <v>56</v>
      </c>
      <c r="F1290" t="s">
        <v>33</v>
      </c>
      <c r="G1290" t="s">
        <v>48</v>
      </c>
      <c r="H1290" t="s">
        <v>58</v>
      </c>
      <c r="I1290" t="s">
        <v>36</v>
      </c>
      <c r="J1290">
        <v>31</v>
      </c>
      <c r="K1290" s="5">
        <v>631.66999999999996</v>
      </c>
      <c r="L1290" s="5">
        <v>0</v>
      </c>
      <c r="M1290">
        <v>45</v>
      </c>
      <c r="N1290">
        <v>27</v>
      </c>
      <c r="O1290">
        <v>5</v>
      </c>
      <c r="P1290">
        <v>4</v>
      </c>
      <c r="Q1290">
        <v>35</v>
      </c>
      <c r="R1290">
        <v>0</v>
      </c>
      <c r="S1290">
        <v>1</v>
      </c>
      <c r="T1290">
        <v>1</v>
      </c>
      <c r="U1290">
        <v>0</v>
      </c>
      <c r="V1290">
        <v>0</v>
      </c>
      <c r="W1290" t="s">
        <v>52</v>
      </c>
      <c r="X1290">
        <v>3</v>
      </c>
      <c r="Y1290">
        <v>0</v>
      </c>
      <c r="Z1290">
        <f t="shared" si="120"/>
        <v>100</v>
      </c>
      <c r="AA1290">
        <f t="shared" si="121"/>
        <v>1.3114754098360655</v>
      </c>
      <c r="AB1290">
        <f t="shared" si="122"/>
        <v>15</v>
      </c>
      <c r="AC1290" t="str">
        <f t="shared" si="123"/>
        <v>Low</v>
      </c>
      <c r="AD1290" t="str">
        <f t="shared" si="124"/>
        <v>Upsell premium bundle</v>
      </c>
      <c r="AE1290">
        <f t="shared" si="125"/>
        <v>0</v>
      </c>
    </row>
    <row r="1291" spans="1:31" x14ac:dyDescent="0.35">
      <c r="A1291" t="s">
        <v>1349</v>
      </c>
      <c r="B1291" s="4">
        <v>45571</v>
      </c>
      <c r="C1291" s="4">
        <v>46143</v>
      </c>
      <c r="D1291" t="s">
        <v>32</v>
      </c>
      <c r="E1291">
        <v>54</v>
      </c>
      <c r="F1291" t="s">
        <v>57</v>
      </c>
      <c r="G1291" t="s">
        <v>63</v>
      </c>
      <c r="H1291" t="s">
        <v>58</v>
      </c>
      <c r="I1291" t="s">
        <v>36</v>
      </c>
      <c r="J1291">
        <v>19</v>
      </c>
      <c r="K1291" s="5">
        <v>1019.44</v>
      </c>
      <c r="L1291" s="5">
        <v>1202.1300000000001</v>
      </c>
      <c r="M1291">
        <v>16</v>
      </c>
      <c r="N1291">
        <v>9</v>
      </c>
      <c r="O1291">
        <v>3</v>
      </c>
      <c r="P1291">
        <v>2</v>
      </c>
      <c r="Q1291">
        <v>14</v>
      </c>
      <c r="R1291">
        <v>0</v>
      </c>
      <c r="S1291">
        <v>0</v>
      </c>
      <c r="T1291">
        <v>1</v>
      </c>
      <c r="U1291">
        <v>0</v>
      </c>
      <c r="V1291">
        <v>1</v>
      </c>
      <c r="W1291" t="s">
        <v>37</v>
      </c>
      <c r="X1291">
        <v>11</v>
      </c>
      <c r="Y1291">
        <v>0</v>
      </c>
      <c r="Z1291">
        <f t="shared" si="120"/>
        <v>50</v>
      </c>
      <c r="AA1291">
        <f t="shared" si="121"/>
        <v>0.61224489795918369</v>
      </c>
      <c r="AB1291">
        <f t="shared" si="122"/>
        <v>23</v>
      </c>
      <c r="AC1291" t="str">
        <f t="shared" si="123"/>
        <v>Low</v>
      </c>
      <c r="AD1291" t="str">
        <f t="shared" si="124"/>
        <v>Upsell premium bundle</v>
      </c>
      <c r="AE1291">
        <f t="shared" si="125"/>
        <v>50</v>
      </c>
    </row>
    <row r="1292" spans="1:31" x14ac:dyDescent="0.35">
      <c r="A1292" t="s">
        <v>1350</v>
      </c>
      <c r="B1292" s="4">
        <v>45146</v>
      </c>
      <c r="C1292" s="4">
        <v>46143</v>
      </c>
      <c r="D1292" t="s">
        <v>39</v>
      </c>
      <c r="E1292">
        <v>70</v>
      </c>
      <c r="F1292" t="s">
        <v>57</v>
      </c>
      <c r="G1292" t="s">
        <v>63</v>
      </c>
      <c r="H1292" t="s">
        <v>44</v>
      </c>
      <c r="I1292" t="s">
        <v>36</v>
      </c>
      <c r="J1292">
        <v>33</v>
      </c>
      <c r="K1292" s="5">
        <v>1251.82</v>
      </c>
      <c r="L1292" s="5">
        <v>290.41000000000003</v>
      </c>
      <c r="M1292">
        <v>15</v>
      </c>
      <c r="N1292">
        <v>9</v>
      </c>
      <c r="O1292">
        <v>3</v>
      </c>
      <c r="P1292">
        <v>2</v>
      </c>
      <c r="Q1292">
        <v>13</v>
      </c>
      <c r="R1292">
        <v>0</v>
      </c>
      <c r="S1292">
        <v>0</v>
      </c>
      <c r="T1292">
        <v>1</v>
      </c>
      <c r="U1292">
        <v>1</v>
      </c>
      <c r="V1292">
        <v>1</v>
      </c>
      <c r="W1292" t="s">
        <v>50</v>
      </c>
      <c r="X1292">
        <v>58</v>
      </c>
      <c r="Y1292">
        <v>0</v>
      </c>
      <c r="Z1292">
        <f t="shared" si="120"/>
        <v>56</v>
      </c>
      <c r="AA1292">
        <f t="shared" si="121"/>
        <v>0.44444444444444442</v>
      </c>
      <c r="AB1292">
        <f t="shared" si="122"/>
        <v>0</v>
      </c>
      <c r="AC1292" t="str">
        <f t="shared" si="123"/>
        <v>Low</v>
      </c>
      <c r="AD1292" t="str">
        <f t="shared" si="124"/>
        <v>Upsell premium bundle</v>
      </c>
      <c r="AE1292">
        <f t="shared" si="125"/>
        <v>44</v>
      </c>
    </row>
    <row r="1293" spans="1:31" x14ac:dyDescent="0.35">
      <c r="A1293" t="s">
        <v>1351</v>
      </c>
      <c r="B1293" s="4">
        <v>45155</v>
      </c>
      <c r="C1293" s="4">
        <v>46143</v>
      </c>
      <c r="D1293" t="s">
        <v>60</v>
      </c>
      <c r="E1293">
        <v>48</v>
      </c>
      <c r="F1293" t="s">
        <v>77</v>
      </c>
      <c r="G1293" t="s">
        <v>40</v>
      </c>
      <c r="H1293" t="s">
        <v>41</v>
      </c>
      <c r="I1293" t="s">
        <v>36</v>
      </c>
      <c r="J1293">
        <v>32</v>
      </c>
      <c r="K1293" s="5">
        <v>4117.37</v>
      </c>
      <c r="L1293" s="5">
        <v>3624.24</v>
      </c>
      <c r="M1293">
        <v>27</v>
      </c>
      <c r="N1293">
        <v>8</v>
      </c>
      <c r="O1293">
        <v>2</v>
      </c>
      <c r="P1293">
        <v>1</v>
      </c>
      <c r="Q1293">
        <v>15</v>
      </c>
      <c r="R1293">
        <v>1</v>
      </c>
      <c r="S1293">
        <v>0</v>
      </c>
      <c r="T1293">
        <v>0</v>
      </c>
      <c r="U1293">
        <v>1</v>
      </c>
      <c r="V1293">
        <v>0</v>
      </c>
      <c r="W1293" t="s">
        <v>55</v>
      </c>
      <c r="X1293">
        <v>18</v>
      </c>
      <c r="Y1293">
        <v>0</v>
      </c>
      <c r="Z1293">
        <f t="shared" si="120"/>
        <v>61</v>
      </c>
      <c r="AA1293">
        <f t="shared" si="121"/>
        <v>0.67741935483870963</v>
      </c>
      <c r="AB1293">
        <f t="shared" si="122"/>
        <v>13</v>
      </c>
      <c r="AC1293" t="str">
        <f t="shared" si="123"/>
        <v>Low</v>
      </c>
      <c r="AD1293" t="str">
        <f t="shared" si="124"/>
        <v>Upsell premium bundle</v>
      </c>
      <c r="AE1293">
        <f t="shared" si="125"/>
        <v>39</v>
      </c>
    </row>
    <row r="1294" spans="1:31" x14ac:dyDescent="0.35">
      <c r="A1294" t="s">
        <v>1352</v>
      </c>
      <c r="B1294" s="4">
        <v>46067</v>
      </c>
      <c r="C1294" s="4">
        <v>46143</v>
      </c>
      <c r="D1294" t="s">
        <v>47</v>
      </c>
      <c r="E1294">
        <v>67</v>
      </c>
      <c r="F1294" t="s">
        <v>57</v>
      </c>
      <c r="G1294" t="s">
        <v>40</v>
      </c>
      <c r="H1294" t="s">
        <v>58</v>
      </c>
      <c r="I1294" t="s">
        <v>54</v>
      </c>
      <c r="J1294">
        <v>2</v>
      </c>
      <c r="K1294" s="5">
        <v>443.65</v>
      </c>
      <c r="L1294" s="5">
        <v>526.01</v>
      </c>
      <c r="M1294">
        <v>39</v>
      </c>
      <c r="N1294">
        <v>23</v>
      </c>
      <c r="O1294">
        <v>10</v>
      </c>
      <c r="P1294">
        <v>8</v>
      </c>
      <c r="Q1294">
        <v>31</v>
      </c>
      <c r="R1294">
        <v>0</v>
      </c>
      <c r="S1294">
        <v>0</v>
      </c>
      <c r="T1294">
        <v>1</v>
      </c>
      <c r="U1294">
        <v>0</v>
      </c>
      <c r="V1294">
        <v>0</v>
      </c>
      <c r="W1294" t="s">
        <v>55</v>
      </c>
      <c r="X1294">
        <v>23</v>
      </c>
      <c r="Y1294">
        <v>0</v>
      </c>
      <c r="Z1294">
        <f t="shared" si="120"/>
        <v>100</v>
      </c>
      <c r="AA1294">
        <f t="shared" si="121"/>
        <v>2.1875</v>
      </c>
      <c r="AB1294">
        <f t="shared" si="122"/>
        <v>13</v>
      </c>
      <c r="AC1294" t="str">
        <f t="shared" si="123"/>
        <v>Low</v>
      </c>
      <c r="AD1294" t="str">
        <f t="shared" si="124"/>
        <v>Upsell premium bundle</v>
      </c>
      <c r="AE1294">
        <f t="shared" si="125"/>
        <v>0</v>
      </c>
    </row>
    <row r="1295" spans="1:31" x14ac:dyDescent="0.35">
      <c r="A1295" t="s">
        <v>1353</v>
      </c>
      <c r="B1295" s="4">
        <v>45030</v>
      </c>
      <c r="C1295" s="4">
        <v>46143</v>
      </c>
      <c r="D1295" t="s">
        <v>60</v>
      </c>
      <c r="E1295">
        <v>66</v>
      </c>
      <c r="F1295" t="s">
        <v>43</v>
      </c>
      <c r="G1295" t="s">
        <v>63</v>
      </c>
      <c r="H1295" t="s">
        <v>41</v>
      </c>
      <c r="I1295" t="s">
        <v>36</v>
      </c>
      <c r="J1295">
        <v>37</v>
      </c>
      <c r="K1295" s="5">
        <v>94.72</v>
      </c>
      <c r="L1295" s="5">
        <v>52.89</v>
      </c>
      <c r="M1295">
        <v>27</v>
      </c>
      <c r="N1295">
        <v>17</v>
      </c>
      <c r="O1295">
        <v>5</v>
      </c>
      <c r="P1295">
        <v>4</v>
      </c>
      <c r="Q1295">
        <v>27</v>
      </c>
      <c r="R1295">
        <v>2</v>
      </c>
      <c r="S1295">
        <v>1</v>
      </c>
      <c r="T1295">
        <v>0</v>
      </c>
      <c r="U1295">
        <v>0</v>
      </c>
      <c r="V1295">
        <v>1</v>
      </c>
      <c r="W1295" t="s">
        <v>45</v>
      </c>
      <c r="X1295">
        <v>39</v>
      </c>
      <c r="Y1295">
        <v>1</v>
      </c>
      <c r="Z1295">
        <f t="shared" si="120"/>
        <v>85</v>
      </c>
      <c r="AA1295">
        <f t="shared" si="121"/>
        <v>0.80597014925373134</v>
      </c>
      <c r="AB1295">
        <f t="shared" si="122"/>
        <v>10</v>
      </c>
      <c r="AC1295" t="str">
        <f t="shared" si="123"/>
        <v>Low</v>
      </c>
      <c r="AD1295" t="str">
        <f t="shared" si="124"/>
        <v>Upsell premium bundle</v>
      </c>
      <c r="AE1295">
        <f t="shared" si="125"/>
        <v>15</v>
      </c>
    </row>
    <row r="1296" spans="1:31" x14ac:dyDescent="0.35">
      <c r="A1296" t="s">
        <v>1354</v>
      </c>
      <c r="B1296" s="4">
        <v>45123</v>
      </c>
      <c r="C1296" s="4">
        <v>46143</v>
      </c>
      <c r="D1296" t="s">
        <v>39</v>
      </c>
      <c r="E1296">
        <v>69</v>
      </c>
      <c r="F1296" t="s">
        <v>43</v>
      </c>
      <c r="G1296" t="s">
        <v>63</v>
      </c>
      <c r="H1296" t="s">
        <v>41</v>
      </c>
      <c r="I1296" t="s">
        <v>36</v>
      </c>
      <c r="J1296">
        <v>34</v>
      </c>
      <c r="K1296" s="5">
        <v>162.61000000000001</v>
      </c>
      <c r="L1296" s="5">
        <v>58.23</v>
      </c>
      <c r="M1296">
        <v>11</v>
      </c>
      <c r="N1296">
        <v>7</v>
      </c>
      <c r="O1296">
        <v>3</v>
      </c>
      <c r="P1296">
        <v>0</v>
      </c>
      <c r="Q1296">
        <v>15</v>
      </c>
      <c r="R1296">
        <v>1</v>
      </c>
      <c r="S1296">
        <v>1</v>
      </c>
      <c r="T1296">
        <v>1</v>
      </c>
      <c r="U1296">
        <v>0</v>
      </c>
      <c r="V1296">
        <v>1</v>
      </c>
      <c r="W1296" t="s">
        <v>52</v>
      </c>
      <c r="X1296">
        <v>22</v>
      </c>
      <c r="Y1296">
        <v>1</v>
      </c>
      <c r="Z1296">
        <f t="shared" si="120"/>
        <v>41</v>
      </c>
      <c r="AA1296">
        <f t="shared" si="121"/>
        <v>0.40625</v>
      </c>
      <c r="AB1296">
        <f t="shared" si="122"/>
        <v>37</v>
      </c>
      <c r="AC1296" t="str">
        <f t="shared" si="123"/>
        <v>Low</v>
      </c>
      <c r="AD1296" t="str">
        <f t="shared" si="124"/>
        <v>Upsell premium bundle</v>
      </c>
      <c r="AE1296">
        <f t="shared" si="125"/>
        <v>59</v>
      </c>
    </row>
    <row r="1297" spans="1:31" x14ac:dyDescent="0.35">
      <c r="A1297" t="s">
        <v>1355</v>
      </c>
      <c r="B1297" s="4">
        <v>45115</v>
      </c>
      <c r="C1297" s="4">
        <v>46143</v>
      </c>
      <c r="D1297" t="s">
        <v>32</v>
      </c>
      <c r="E1297">
        <v>46</v>
      </c>
      <c r="F1297" t="s">
        <v>33</v>
      </c>
      <c r="G1297" t="s">
        <v>63</v>
      </c>
      <c r="H1297" t="s">
        <v>41</v>
      </c>
      <c r="I1297" t="s">
        <v>36</v>
      </c>
      <c r="J1297">
        <v>34</v>
      </c>
      <c r="K1297" s="5">
        <v>437.03</v>
      </c>
      <c r="L1297" s="5">
        <v>90.87</v>
      </c>
      <c r="M1297">
        <v>1</v>
      </c>
      <c r="N1297">
        <v>0</v>
      </c>
      <c r="O1297">
        <v>0</v>
      </c>
      <c r="P1297">
        <v>0</v>
      </c>
      <c r="Q1297">
        <v>5</v>
      </c>
      <c r="R1297">
        <v>1</v>
      </c>
      <c r="S1297">
        <v>0</v>
      </c>
      <c r="T1297">
        <v>1</v>
      </c>
      <c r="U1297">
        <v>0</v>
      </c>
      <c r="V1297">
        <v>1</v>
      </c>
      <c r="W1297" t="s">
        <v>50</v>
      </c>
      <c r="X1297">
        <v>34</v>
      </c>
      <c r="Y1297">
        <v>0</v>
      </c>
      <c r="Z1297">
        <f t="shared" si="120"/>
        <v>13</v>
      </c>
      <c r="AA1297">
        <f t="shared" si="121"/>
        <v>9.375E-2</v>
      </c>
      <c r="AB1297">
        <f t="shared" si="122"/>
        <v>34</v>
      </c>
      <c r="AC1297" t="str">
        <f t="shared" si="123"/>
        <v>Low</v>
      </c>
      <c r="AD1297" t="str">
        <f t="shared" si="124"/>
        <v>Upsell premium bundle</v>
      </c>
      <c r="AE1297">
        <f t="shared" si="125"/>
        <v>87</v>
      </c>
    </row>
    <row r="1298" spans="1:31" x14ac:dyDescent="0.35">
      <c r="A1298" t="s">
        <v>1356</v>
      </c>
      <c r="B1298" s="4">
        <v>45714</v>
      </c>
      <c r="C1298" s="4">
        <v>46143</v>
      </c>
      <c r="D1298" t="s">
        <v>60</v>
      </c>
      <c r="E1298">
        <v>53</v>
      </c>
      <c r="F1298" t="s">
        <v>43</v>
      </c>
      <c r="G1298" t="s">
        <v>85</v>
      </c>
      <c r="H1298" t="s">
        <v>41</v>
      </c>
      <c r="I1298" t="s">
        <v>36</v>
      </c>
      <c r="J1298">
        <v>14</v>
      </c>
      <c r="K1298" s="5">
        <v>138.01</v>
      </c>
      <c r="L1298" s="5">
        <v>72.19</v>
      </c>
      <c r="M1298">
        <v>28</v>
      </c>
      <c r="N1298">
        <v>18</v>
      </c>
      <c r="O1298">
        <v>7</v>
      </c>
      <c r="P1298">
        <v>3</v>
      </c>
      <c r="Q1298">
        <v>11</v>
      </c>
      <c r="R1298">
        <v>1</v>
      </c>
      <c r="S1298">
        <v>1</v>
      </c>
      <c r="T1298">
        <v>0</v>
      </c>
      <c r="U1298">
        <v>0</v>
      </c>
      <c r="V1298">
        <v>0</v>
      </c>
      <c r="W1298" t="s">
        <v>50</v>
      </c>
      <c r="X1298">
        <v>34</v>
      </c>
      <c r="Y1298">
        <v>0</v>
      </c>
      <c r="Z1298">
        <f t="shared" si="120"/>
        <v>66</v>
      </c>
      <c r="AA1298">
        <f t="shared" si="121"/>
        <v>0.88636363636363635</v>
      </c>
      <c r="AB1298">
        <f t="shared" si="122"/>
        <v>21</v>
      </c>
      <c r="AC1298" t="str">
        <f t="shared" si="123"/>
        <v>Low</v>
      </c>
      <c r="AD1298" t="str">
        <f t="shared" si="124"/>
        <v>Upsell premium bundle</v>
      </c>
      <c r="AE1298">
        <f t="shared" si="125"/>
        <v>34</v>
      </c>
    </row>
    <row r="1299" spans="1:31" x14ac:dyDescent="0.35">
      <c r="A1299" t="s">
        <v>1357</v>
      </c>
      <c r="B1299" s="4">
        <v>45287</v>
      </c>
      <c r="C1299" s="4">
        <v>46143</v>
      </c>
      <c r="D1299" t="s">
        <v>60</v>
      </c>
      <c r="E1299">
        <v>68</v>
      </c>
      <c r="F1299" t="s">
        <v>61</v>
      </c>
      <c r="G1299" t="s">
        <v>48</v>
      </c>
      <c r="H1299" t="s">
        <v>41</v>
      </c>
      <c r="I1299" t="s">
        <v>36</v>
      </c>
      <c r="J1299">
        <v>28</v>
      </c>
      <c r="K1299" s="5">
        <v>6093.78</v>
      </c>
      <c r="L1299" s="5">
        <v>3780.51</v>
      </c>
      <c r="M1299">
        <v>9</v>
      </c>
      <c r="N1299">
        <v>3</v>
      </c>
      <c r="O1299">
        <v>0</v>
      </c>
      <c r="P1299">
        <v>0</v>
      </c>
      <c r="Q1299">
        <v>15</v>
      </c>
      <c r="R1299">
        <v>1</v>
      </c>
      <c r="S1299">
        <v>1</v>
      </c>
      <c r="T1299">
        <v>0</v>
      </c>
      <c r="U1299">
        <v>0</v>
      </c>
      <c r="V1299">
        <v>0</v>
      </c>
      <c r="W1299" t="s">
        <v>52</v>
      </c>
      <c r="X1299">
        <v>49</v>
      </c>
      <c r="Y1299">
        <v>1</v>
      </c>
      <c r="Z1299">
        <f t="shared" si="120"/>
        <v>26</v>
      </c>
      <c r="AA1299">
        <f t="shared" si="121"/>
        <v>0.41379310344827586</v>
      </c>
      <c r="AB1299">
        <f t="shared" si="122"/>
        <v>20</v>
      </c>
      <c r="AC1299" t="str">
        <f t="shared" si="123"/>
        <v>Low</v>
      </c>
      <c r="AD1299" t="str">
        <f t="shared" si="124"/>
        <v>Upsell premium bundle</v>
      </c>
      <c r="AE1299">
        <f t="shared" si="125"/>
        <v>74</v>
      </c>
    </row>
    <row r="1300" spans="1:31" x14ac:dyDescent="0.35">
      <c r="A1300" t="s">
        <v>1358</v>
      </c>
      <c r="B1300" s="4">
        <v>46064</v>
      </c>
      <c r="C1300" s="4">
        <v>46143</v>
      </c>
      <c r="D1300" t="s">
        <v>72</v>
      </c>
      <c r="E1300">
        <v>35</v>
      </c>
      <c r="F1300" t="s">
        <v>43</v>
      </c>
      <c r="G1300" t="s">
        <v>63</v>
      </c>
      <c r="H1300" t="s">
        <v>41</v>
      </c>
      <c r="I1300" t="s">
        <v>36</v>
      </c>
      <c r="J1300">
        <v>2</v>
      </c>
      <c r="K1300" s="5">
        <v>60.15</v>
      </c>
      <c r="L1300" s="5">
        <v>88.95</v>
      </c>
      <c r="M1300">
        <v>16</v>
      </c>
      <c r="N1300">
        <v>10</v>
      </c>
      <c r="O1300">
        <v>3</v>
      </c>
      <c r="P1300">
        <v>3</v>
      </c>
      <c r="Q1300">
        <v>3</v>
      </c>
      <c r="R1300">
        <v>0</v>
      </c>
      <c r="S1300">
        <v>1</v>
      </c>
      <c r="T1300">
        <v>1</v>
      </c>
      <c r="U1300">
        <v>0</v>
      </c>
      <c r="V1300">
        <v>0</v>
      </c>
      <c r="W1300" t="s">
        <v>37</v>
      </c>
      <c r="X1300">
        <v>49</v>
      </c>
      <c r="Y1300">
        <v>0</v>
      </c>
      <c r="Z1300">
        <f t="shared" si="120"/>
        <v>35</v>
      </c>
      <c r="AA1300">
        <f t="shared" si="121"/>
        <v>0.59375</v>
      </c>
      <c r="AB1300">
        <f t="shared" si="122"/>
        <v>28</v>
      </c>
      <c r="AC1300" t="str">
        <f t="shared" si="123"/>
        <v>Low</v>
      </c>
      <c r="AD1300" t="str">
        <f t="shared" si="124"/>
        <v>Upsell premium bundle</v>
      </c>
      <c r="AE1300">
        <f t="shared" si="125"/>
        <v>65</v>
      </c>
    </row>
    <row r="1301" spans="1:31" x14ac:dyDescent="0.35">
      <c r="A1301" t="s">
        <v>1359</v>
      </c>
      <c r="B1301" s="4">
        <v>45283</v>
      </c>
      <c r="C1301" s="4">
        <v>46143</v>
      </c>
      <c r="D1301" t="s">
        <v>47</v>
      </c>
      <c r="E1301">
        <v>64</v>
      </c>
      <c r="F1301" t="s">
        <v>43</v>
      </c>
      <c r="G1301" t="s">
        <v>34</v>
      </c>
      <c r="H1301" t="s">
        <v>41</v>
      </c>
      <c r="I1301" t="s">
        <v>36</v>
      </c>
      <c r="J1301">
        <v>28</v>
      </c>
      <c r="K1301" s="5">
        <v>94.15</v>
      </c>
      <c r="L1301" s="5">
        <v>52.63</v>
      </c>
      <c r="M1301">
        <v>7</v>
      </c>
      <c r="N1301">
        <v>2</v>
      </c>
      <c r="O1301">
        <v>1</v>
      </c>
      <c r="P1301">
        <v>1</v>
      </c>
      <c r="Q1301">
        <v>0</v>
      </c>
      <c r="R1301">
        <v>0</v>
      </c>
      <c r="S1301">
        <v>2</v>
      </c>
      <c r="T1301">
        <v>0</v>
      </c>
      <c r="U1301">
        <v>1</v>
      </c>
      <c r="V1301">
        <v>0</v>
      </c>
      <c r="W1301" t="s">
        <v>55</v>
      </c>
      <c r="X1301">
        <v>-21</v>
      </c>
      <c r="Y1301">
        <v>1</v>
      </c>
      <c r="Z1301">
        <f t="shared" si="120"/>
        <v>20</v>
      </c>
      <c r="AA1301">
        <f t="shared" si="121"/>
        <v>0.1206896551724138</v>
      </c>
      <c r="AB1301">
        <f t="shared" si="122"/>
        <v>77</v>
      </c>
      <c r="AC1301" t="str">
        <f t="shared" si="123"/>
        <v>High</v>
      </c>
      <c r="AD1301" t="str">
        <f t="shared" si="124"/>
        <v>Re-engage with app usage offer</v>
      </c>
      <c r="AE1301">
        <f t="shared" si="125"/>
        <v>80</v>
      </c>
    </row>
    <row r="1302" spans="1:31" x14ac:dyDescent="0.35">
      <c r="A1302" t="s">
        <v>1360</v>
      </c>
      <c r="B1302" s="4">
        <v>44863</v>
      </c>
      <c r="C1302" s="4">
        <v>46143</v>
      </c>
      <c r="D1302" t="s">
        <v>66</v>
      </c>
      <c r="E1302">
        <v>51</v>
      </c>
      <c r="F1302" t="s">
        <v>57</v>
      </c>
      <c r="G1302" t="s">
        <v>40</v>
      </c>
      <c r="H1302" t="s">
        <v>35</v>
      </c>
      <c r="I1302" t="s">
        <v>36</v>
      </c>
      <c r="J1302">
        <v>42</v>
      </c>
      <c r="K1302" s="5">
        <v>307.99</v>
      </c>
      <c r="L1302" s="5">
        <v>775.77</v>
      </c>
      <c r="M1302">
        <v>24</v>
      </c>
      <c r="N1302">
        <v>10</v>
      </c>
      <c r="O1302">
        <v>1</v>
      </c>
      <c r="P1302">
        <v>1</v>
      </c>
      <c r="Q1302">
        <v>27</v>
      </c>
      <c r="R1302">
        <v>2</v>
      </c>
      <c r="S1302">
        <v>3</v>
      </c>
      <c r="T1302">
        <v>1</v>
      </c>
      <c r="U1302">
        <v>1</v>
      </c>
      <c r="V1302">
        <v>1</v>
      </c>
      <c r="W1302" t="s">
        <v>55</v>
      </c>
      <c r="X1302">
        <v>29</v>
      </c>
      <c r="Y1302">
        <v>1</v>
      </c>
      <c r="Z1302">
        <f t="shared" si="120"/>
        <v>75</v>
      </c>
      <c r="AA1302">
        <f t="shared" si="121"/>
        <v>0.70833333333333337</v>
      </c>
      <c r="AB1302">
        <f t="shared" si="122"/>
        <v>25</v>
      </c>
      <c r="AC1302" t="str">
        <f t="shared" si="123"/>
        <v>Low</v>
      </c>
      <c r="AD1302" t="str">
        <f t="shared" si="124"/>
        <v>Upsell premium bundle</v>
      </c>
      <c r="AE1302">
        <f t="shared" si="125"/>
        <v>25</v>
      </c>
    </row>
    <row r="1303" spans="1:31" x14ac:dyDescent="0.35">
      <c r="A1303" t="s">
        <v>1361</v>
      </c>
      <c r="B1303" s="4">
        <v>45247</v>
      </c>
      <c r="C1303" s="4">
        <v>46143</v>
      </c>
      <c r="D1303" t="s">
        <v>47</v>
      </c>
      <c r="E1303">
        <v>20</v>
      </c>
      <c r="F1303" t="s">
        <v>33</v>
      </c>
      <c r="G1303" t="s">
        <v>67</v>
      </c>
      <c r="H1303" t="s">
        <v>41</v>
      </c>
      <c r="I1303" t="s">
        <v>36</v>
      </c>
      <c r="J1303">
        <v>29</v>
      </c>
      <c r="K1303" s="5">
        <v>28.9</v>
      </c>
      <c r="L1303" s="5">
        <v>116.38</v>
      </c>
      <c r="M1303">
        <v>28</v>
      </c>
      <c r="N1303">
        <v>13</v>
      </c>
      <c r="O1303">
        <v>4</v>
      </c>
      <c r="P1303">
        <v>4</v>
      </c>
      <c r="Q1303">
        <v>31</v>
      </c>
      <c r="R1303">
        <v>0</v>
      </c>
      <c r="S1303">
        <v>1</v>
      </c>
      <c r="T1303">
        <v>0</v>
      </c>
      <c r="U1303">
        <v>1</v>
      </c>
      <c r="V1303">
        <v>1</v>
      </c>
      <c r="W1303" t="s">
        <v>52</v>
      </c>
      <c r="X1303">
        <v>37</v>
      </c>
      <c r="Y1303">
        <v>0</v>
      </c>
      <c r="Z1303">
        <f t="shared" si="120"/>
        <v>93</v>
      </c>
      <c r="AA1303">
        <f t="shared" si="121"/>
        <v>1</v>
      </c>
      <c r="AB1303">
        <f t="shared" si="122"/>
        <v>10</v>
      </c>
      <c r="AC1303" t="str">
        <f t="shared" si="123"/>
        <v>Low</v>
      </c>
      <c r="AD1303" t="str">
        <f t="shared" si="124"/>
        <v>Upsell premium bundle</v>
      </c>
      <c r="AE1303">
        <f t="shared" si="125"/>
        <v>7</v>
      </c>
    </row>
    <row r="1304" spans="1:31" x14ac:dyDescent="0.35">
      <c r="A1304" t="s">
        <v>1362</v>
      </c>
      <c r="B1304" s="4">
        <v>44790</v>
      </c>
      <c r="C1304" s="4">
        <v>46143</v>
      </c>
      <c r="D1304" t="s">
        <v>39</v>
      </c>
      <c r="E1304">
        <v>62</v>
      </c>
      <c r="F1304" t="s">
        <v>57</v>
      </c>
      <c r="G1304" t="s">
        <v>34</v>
      </c>
      <c r="H1304" t="s">
        <v>41</v>
      </c>
      <c r="I1304" t="s">
        <v>49</v>
      </c>
      <c r="J1304">
        <v>45</v>
      </c>
      <c r="K1304" s="5">
        <v>115.82</v>
      </c>
      <c r="L1304" s="5">
        <v>1612.72</v>
      </c>
      <c r="M1304">
        <v>28</v>
      </c>
      <c r="N1304">
        <v>18</v>
      </c>
      <c r="O1304">
        <v>2</v>
      </c>
      <c r="P1304">
        <v>0</v>
      </c>
      <c r="Q1304">
        <v>7</v>
      </c>
      <c r="R1304">
        <v>0</v>
      </c>
      <c r="S1304">
        <v>0</v>
      </c>
      <c r="T1304">
        <v>0</v>
      </c>
      <c r="U1304">
        <v>0</v>
      </c>
      <c r="V1304">
        <v>1</v>
      </c>
      <c r="W1304" t="s">
        <v>45</v>
      </c>
      <c r="X1304">
        <v>39</v>
      </c>
      <c r="Y1304">
        <v>0</v>
      </c>
      <c r="Z1304">
        <f t="shared" si="120"/>
        <v>59</v>
      </c>
      <c r="AA1304">
        <f t="shared" si="121"/>
        <v>0.46666666666666667</v>
      </c>
      <c r="AB1304">
        <f t="shared" si="122"/>
        <v>21</v>
      </c>
      <c r="AC1304" t="str">
        <f t="shared" si="123"/>
        <v>Low</v>
      </c>
      <c r="AD1304" t="str">
        <f t="shared" si="124"/>
        <v>Upsell premium bundle</v>
      </c>
      <c r="AE1304">
        <f t="shared" si="125"/>
        <v>41</v>
      </c>
    </row>
    <row r="1305" spans="1:31" x14ac:dyDescent="0.35">
      <c r="A1305" t="s">
        <v>1363</v>
      </c>
      <c r="B1305" s="4">
        <v>44725</v>
      </c>
      <c r="C1305" s="4">
        <v>46143</v>
      </c>
      <c r="D1305" t="s">
        <v>32</v>
      </c>
      <c r="E1305">
        <v>54</v>
      </c>
      <c r="F1305" t="s">
        <v>33</v>
      </c>
      <c r="G1305" t="s">
        <v>40</v>
      </c>
      <c r="H1305" t="s">
        <v>41</v>
      </c>
      <c r="I1305" t="s">
        <v>36</v>
      </c>
      <c r="J1305">
        <v>47</v>
      </c>
      <c r="K1305" s="5">
        <v>0</v>
      </c>
      <c r="L1305" s="5">
        <v>610.09</v>
      </c>
      <c r="M1305">
        <v>23</v>
      </c>
      <c r="N1305">
        <v>14</v>
      </c>
      <c r="O1305">
        <v>2</v>
      </c>
      <c r="P1305">
        <v>1</v>
      </c>
      <c r="Q1305">
        <v>13</v>
      </c>
      <c r="R1305">
        <v>1</v>
      </c>
      <c r="S1305">
        <v>0</v>
      </c>
      <c r="T1305">
        <v>1</v>
      </c>
      <c r="U1305">
        <v>1</v>
      </c>
      <c r="V1305">
        <v>0</v>
      </c>
      <c r="W1305" t="s">
        <v>55</v>
      </c>
      <c r="X1305">
        <v>22</v>
      </c>
      <c r="Y1305">
        <v>0</v>
      </c>
      <c r="Z1305">
        <f t="shared" si="120"/>
        <v>59</v>
      </c>
      <c r="AA1305">
        <f t="shared" si="121"/>
        <v>0.46753246753246752</v>
      </c>
      <c r="AB1305">
        <f t="shared" si="122"/>
        <v>22</v>
      </c>
      <c r="AC1305" t="str">
        <f t="shared" si="123"/>
        <v>Low</v>
      </c>
      <c r="AD1305" t="str">
        <f t="shared" si="124"/>
        <v>Upsell premium bundle</v>
      </c>
      <c r="AE1305">
        <f t="shared" si="125"/>
        <v>41</v>
      </c>
    </row>
    <row r="1306" spans="1:31" x14ac:dyDescent="0.35">
      <c r="A1306" t="s">
        <v>1364</v>
      </c>
      <c r="B1306" s="4">
        <v>45765</v>
      </c>
      <c r="C1306" s="4">
        <v>46143</v>
      </c>
      <c r="D1306" t="s">
        <v>72</v>
      </c>
      <c r="E1306">
        <v>18</v>
      </c>
      <c r="F1306" t="s">
        <v>33</v>
      </c>
      <c r="G1306" t="s">
        <v>85</v>
      </c>
      <c r="H1306" t="s">
        <v>41</v>
      </c>
      <c r="I1306" t="s">
        <v>36</v>
      </c>
      <c r="J1306">
        <v>12</v>
      </c>
      <c r="K1306" s="5">
        <v>355.21</v>
      </c>
      <c r="L1306" s="5">
        <v>380.34</v>
      </c>
      <c r="M1306">
        <v>17</v>
      </c>
      <c r="N1306">
        <v>7</v>
      </c>
      <c r="O1306">
        <v>1</v>
      </c>
      <c r="P1306">
        <v>0</v>
      </c>
      <c r="Q1306">
        <v>6</v>
      </c>
      <c r="R1306">
        <v>0</v>
      </c>
      <c r="S1306">
        <v>1</v>
      </c>
      <c r="T1306">
        <v>0</v>
      </c>
      <c r="U1306">
        <v>1</v>
      </c>
      <c r="V1306">
        <v>0</v>
      </c>
      <c r="W1306" t="s">
        <v>37</v>
      </c>
      <c r="X1306">
        <v>22</v>
      </c>
      <c r="Y1306">
        <v>0</v>
      </c>
      <c r="Z1306">
        <f t="shared" si="120"/>
        <v>38</v>
      </c>
      <c r="AA1306">
        <f t="shared" si="121"/>
        <v>0.54761904761904767</v>
      </c>
      <c r="AB1306">
        <f t="shared" si="122"/>
        <v>40</v>
      </c>
      <c r="AC1306" t="str">
        <f t="shared" si="123"/>
        <v>Medium</v>
      </c>
      <c r="AD1306" t="str">
        <f t="shared" si="124"/>
        <v>Nudge core feature adoption</v>
      </c>
      <c r="AE1306">
        <f t="shared" si="125"/>
        <v>62</v>
      </c>
    </row>
    <row r="1307" spans="1:31" x14ac:dyDescent="0.35">
      <c r="A1307" t="s">
        <v>1365</v>
      </c>
      <c r="B1307" s="4">
        <v>45198</v>
      </c>
      <c r="C1307" s="4">
        <v>46143</v>
      </c>
      <c r="D1307" t="s">
        <v>47</v>
      </c>
      <c r="E1307">
        <v>66</v>
      </c>
      <c r="F1307" t="s">
        <v>61</v>
      </c>
      <c r="G1307" t="s">
        <v>85</v>
      </c>
      <c r="H1307" t="s">
        <v>41</v>
      </c>
      <c r="I1307" t="s">
        <v>36</v>
      </c>
      <c r="J1307">
        <v>31</v>
      </c>
      <c r="K1307" s="5">
        <v>405.86</v>
      </c>
      <c r="L1307" s="5">
        <v>4293.3999999999996</v>
      </c>
      <c r="M1307">
        <v>15</v>
      </c>
      <c r="N1307">
        <v>6</v>
      </c>
      <c r="O1307">
        <v>2</v>
      </c>
      <c r="P1307">
        <v>1</v>
      </c>
      <c r="Q1307">
        <v>14</v>
      </c>
      <c r="R1307">
        <v>1</v>
      </c>
      <c r="S1307">
        <v>3</v>
      </c>
      <c r="T1307">
        <v>0</v>
      </c>
      <c r="U1307">
        <v>0</v>
      </c>
      <c r="V1307">
        <v>0</v>
      </c>
      <c r="W1307" t="s">
        <v>52</v>
      </c>
      <c r="X1307">
        <v>3</v>
      </c>
      <c r="Y1307">
        <v>1</v>
      </c>
      <c r="Z1307">
        <f t="shared" si="120"/>
        <v>37</v>
      </c>
      <c r="AA1307">
        <f t="shared" si="121"/>
        <v>0.47540983606557374</v>
      </c>
      <c r="AB1307">
        <f t="shared" si="122"/>
        <v>54</v>
      </c>
      <c r="AC1307" t="str">
        <f t="shared" si="123"/>
        <v>Medium</v>
      </c>
      <c r="AD1307" t="str">
        <f t="shared" si="124"/>
        <v>Nudge core feature adoption</v>
      </c>
      <c r="AE1307">
        <f t="shared" si="125"/>
        <v>63</v>
      </c>
    </row>
    <row r="1308" spans="1:31" x14ac:dyDescent="0.35">
      <c r="A1308" t="s">
        <v>1366</v>
      </c>
      <c r="B1308" s="4">
        <v>44803</v>
      </c>
      <c r="C1308" s="4">
        <v>46143</v>
      </c>
      <c r="D1308" t="s">
        <v>47</v>
      </c>
      <c r="E1308">
        <v>47</v>
      </c>
      <c r="F1308" t="s">
        <v>57</v>
      </c>
      <c r="G1308" t="s">
        <v>67</v>
      </c>
      <c r="H1308" t="s">
        <v>58</v>
      </c>
      <c r="I1308" t="s">
        <v>36</v>
      </c>
      <c r="J1308">
        <v>44</v>
      </c>
      <c r="K1308" s="5">
        <v>1150.0899999999999</v>
      </c>
      <c r="L1308" s="5">
        <v>0</v>
      </c>
      <c r="M1308">
        <v>21</v>
      </c>
      <c r="N1308">
        <v>12</v>
      </c>
      <c r="O1308">
        <v>2</v>
      </c>
      <c r="P1308">
        <v>3</v>
      </c>
      <c r="Q1308">
        <v>19</v>
      </c>
      <c r="R1308">
        <v>2</v>
      </c>
      <c r="S1308">
        <v>0</v>
      </c>
      <c r="T1308">
        <v>0</v>
      </c>
      <c r="U1308">
        <v>1</v>
      </c>
      <c r="V1308">
        <v>0</v>
      </c>
      <c r="W1308" t="s">
        <v>37</v>
      </c>
      <c r="X1308">
        <v>34</v>
      </c>
      <c r="Y1308">
        <v>0</v>
      </c>
      <c r="Z1308">
        <f t="shared" si="120"/>
        <v>63</v>
      </c>
      <c r="AA1308">
        <f t="shared" si="121"/>
        <v>0.54054054054054057</v>
      </c>
      <c r="AB1308">
        <f t="shared" si="122"/>
        <v>3</v>
      </c>
      <c r="AC1308" t="str">
        <f t="shared" si="123"/>
        <v>Low</v>
      </c>
      <c r="AD1308" t="str">
        <f t="shared" si="124"/>
        <v>Upsell premium bundle</v>
      </c>
      <c r="AE1308">
        <f t="shared" si="125"/>
        <v>37</v>
      </c>
    </row>
    <row r="1309" spans="1:31" x14ac:dyDescent="0.35">
      <c r="A1309" t="s">
        <v>1367</v>
      </c>
      <c r="B1309" s="4">
        <v>45073</v>
      </c>
      <c r="C1309" s="4">
        <v>46143</v>
      </c>
      <c r="D1309" t="s">
        <v>47</v>
      </c>
      <c r="E1309">
        <v>36</v>
      </c>
      <c r="F1309" t="s">
        <v>61</v>
      </c>
      <c r="G1309" t="s">
        <v>63</v>
      </c>
      <c r="H1309" t="s">
        <v>58</v>
      </c>
      <c r="I1309" t="s">
        <v>36</v>
      </c>
      <c r="J1309">
        <v>35</v>
      </c>
      <c r="K1309" s="5">
        <v>2643.1</v>
      </c>
      <c r="L1309" s="5">
        <v>3930.75</v>
      </c>
      <c r="M1309">
        <v>4</v>
      </c>
      <c r="N1309">
        <v>1</v>
      </c>
      <c r="O1309">
        <v>0</v>
      </c>
      <c r="P1309">
        <v>0</v>
      </c>
      <c r="Q1309">
        <v>2</v>
      </c>
      <c r="R1309">
        <v>1</v>
      </c>
      <c r="S1309">
        <v>2</v>
      </c>
      <c r="T1309">
        <v>0</v>
      </c>
      <c r="U1309">
        <v>0</v>
      </c>
      <c r="V1309">
        <v>0</v>
      </c>
      <c r="W1309" t="s">
        <v>52</v>
      </c>
      <c r="X1309">
        <v>46</v>
      </c>
      <c r="Y1309">
        <v>1</v>
      </c>
      <c r="Z1309">
        <f t="shared" si="120"/>
        <v>7</v>
      </c>
      <c r="AA1309">
        <f t="shared" si="121"/>
        <v>9.2307692307692313E-2</v>
      </c>
      <c r="AB1309">
        <f t="shared" si="122"/>
        <v>27</v>
      </c>
      <c r="AC1309" t="str">
        <f t="shared" si="123"/>
        <v>Low</v>
      </c>
      <c r="AD1309" t="str">
        <f t="shared" si="124"/>
        <v>Upsell premium bundle</v>
      </c>
      <c r="AE1309">
        <f t="shared" si="125"/>
        <v>93</v>
      </c>
    </row>
    <row r="1310" spans="1:31" x14ac:dyDescent="0.35">
      <c r="A1310" t="s">
        <v>1368</v>
      </c>
      <c r="B1310" s="4">
        <v>45679</v>
      </c>
      <c r="C1310" s="4">
        <v>46143</v>
      </c>
      <c r="D1310" t="s">
        <v>72</v>
      </c>
      <c r="E1310">
        <v>22</v>
      </c>
      <c r="F1310" t="s">
        <v>33</v>
      </c>
      <c r="G1310" t="s">
        <v>40</v>
      </c>
      <c r="H1310" t="s">
        <v>44</v>
      </c>
      <c r="I1310" t="s">
        <v>36</v>
      </c>
      <c r="J1310">
        <v>15</v>
      </c>
      <c r="K1310" s="5">
        <v>412.87</v>
      </c>
      <c r="L1310" s="5">
        <v>131.63</v>
      </c>
      <c r="M1310">
        <v>24</v>
      </c>
      <c r="N1310">
        <v>9</v>
      </c>
      <c r="O1310">
        <v>6</v>
      </c>
      <c r="P1310">
        <v>3</v>
      </c>
      <c r="Q1310">
        <v>11</v>
      </c>
      <c r="R1310">
        <v>3</v>
      </c>
      <c r="S1310">
        <v>0</v>
      </c>
      <c r="T1310">
        <v>1</v>
      </c>
      <c r="U1310">
        <v>1</v>
      </c>
      <c r="V1310">
        <v>1</v>
      </c>
      <c r="W1310" t="s">
        <v>52</v>
      </c>
      <c r="X1310">
        <v>1</v>
      </c>
      <c r="Y1310">
        <v>1</v>
      </c>
      <c r="Z1310">
        <f t="shared" si="120"/>
        <v>69</v>
      </c>
      <c r="AA1310">
        <f t="shared" si="121"/>
        <v>0.77777777777777779</v>
      </c>
      <c r="AB1310">
        <f t="shared" si="122"/>
        <v>15</v>
      </c>
      <c r="AC1310" t="str">
        <f t="shared" si="123"/>
        <v>Low</v>
      </c>
      <c r="AD1310" t="str">
        <f t="shared" si="124"/>
        <v>Upsell premium bundle</v>
      </c>
      <c r="AE1310">
        <f t="shared" si="125"/>
        <v>31</v>
      </c>
    </row>
    <row r="1311" spans="1:31" x14ac:dyDescent="0.35">
      <c r="A1311" t="s">
        <v>1369</v>
      </c>
      <c r="B1311" s="4">
        <v>45010</v>
      </c>
      <c r="C1311" s="4">
        <v>46143</v>
      </c>
      <c r="D1311" t="s">
        <v>66</v>
      </c>
      <c r="E1311">
        <v>52</v>
      </c>
      <c r="F1311" t="s">
        <v>33</v>
      </c>
      <c r="G1311" t="s">
        <v>67</v>
      </c>
      <c r="H1311" t="s">
        <v>41</v>
      </c>
      <c r="I1311" t="s">
        <v>36</v>
      </c>
      <c r="J1311">
        <v>37</v>
      </c>
      <c r="K1311" s="5">
        <v>398.36</v>
      </c>
      <c r="L1311" s="5">
        <v>219.32</v>
      </c>
      <c r="M1311">
        <v>36</v>
      </c>
      <c r="N1311">
        <v>17</v>
      </c>
      <c r="O1311">
        <v>2</v>
      </c>
      <c r="P1311">
        <v>4</v>
      </c>
      <c r="Q1311">
        <v>34</v>
      </c>
      <c r="R1311">
        <v>0</v>
      </c>
      <c r="S1311">
        <v>0</v>
      </c>
      <c r="T1311">
        <v>0</v>
      </c>
      <c r="U1311">
        <v>0</v>
      </c>
      <c r="V1311">
        <v>0</v>
      </c>
      <c r="W1311" t="s">
        <v>50</v>
      </c>
      <c r="X1311">
        <v>19</v>
      </c>
      <c r="Y1311">
        <v>0</v>
      </c>
      <c r="Z1311">
        <f t="shared" si="120"/>
        <v>90</v>
      </c>
      <c r="AA1311">
        <f t="shared" si="121"/>
        <v>1.044776119402985</v>
      </c>
      <c r="AB1311">
        <f t="shared" si="122"/>
        <v>13</v>
      </c>
      <c r="AC1311" t="str">
        <f t="shared" si="123"/>
        <v>Low</v>
      </c>
      <c r="AD1311" t="str">
        <f t="shared" si="124"/>
        <v>Upsell premium bundle</v>
      </c>
      <c r="AE1311">
        <f t="shared" si="125"/>
        <v>10</v>
      </c>
    </row>
    <row r="1312" spans="1:31" x14ac:dyDescent="0.35">
      <c r="A1312" t="s">
        <v>1370</v>
      </c>
      <c r="B1312" s="4">
        <v>45025</v>
      </c>
      <c r="C1312" s="4">
        <v>46143</v>
      </c>
      <c r="D1312" t="s">
        <v>39</v>
      </c>
      <c r="E1312">
        <v>30</v>
      </c>
      <c r="F1312" t="s">
        <v>33</v>
      </c>
      <c r="G1312" t="s">
        <v>67</v>
      </c>
      <c r="H1312" t="s">
        <v>41</v>
      </c>
      <c r="I1312" t="s">
        <v>36</v>
      </c>
      <c r="J1312">
        <v>37</v>
      </c>
      <c r="K1312" s="5">
        <v>721.67</v>
      </c>
      <c r="L1312" s="5">
        <v>494.07</v>
      </c>
      <c r="M1312">
        <v>17</v>
      </c>
      <c r="N1312">
        <v>8</v>
      </c>
      <c r="O1312">
        <v>1</v>
      </c>
      <c r="P1312">
        <v>3</v>
      </c>
      <c r="Q1312">
        <v>1</v>
      </c>
      <c r="R1312">
        <v>2</v>
      </c>
      <c r="S1312">
        <v>0</v>
      </c>
      <c r="T1312">
        <v>1</v>
      </c>
      <c r="U1312">
        <v>1</v>
      </c>
      <c r="V1312">
        <v>0</v>
      </c>
      <c r="W1312" t="s">
        <v>50</v>
      </c>
      <c r="X1312">
        <v>3</v>
      </c>
      <c r="Y1312">
        <v>1</v>
      </c>
      <c r="Z1312">
        <f t="shared" si="120"/>
        <v>39</v>
      </c>
      <c r="AA1312">
        <f t="shared" si="121"/>
        <v>0.26865671641791045</v>
      </c>
      <c r="AB1312">
        <f t="shared" si="122"/>
        <v>38</v>
      </c>
      <c r="AC1312" t="str">
        <f t="shared" si="123"/>
        <v>Low</v>
      </c>
      <c r="AD1312" t="str">
        <f t="shared" si="124"/>
        <v>Upsell premium bundle</v>
      </c>
      <c r="AE1312">
        <f t="shared" si="125"/>
        <v>61</v>
      </c>
    </row>
    <row r="1313" spans="1:31" x14ac:dyDescent="0.35">
      <c r="A1313" t="s">
        <v>1371</v>
      </c>
      <c r="B1313" s="4">
        <v>45839</v>
      </c>
      <c r="C1313" s="4">
        <v>46143</v>
      </c>
      <c r="D1313" t="s">
        <v>39</v>
      </c>
      <c r="E1313">
        <v>44</v>
      </c>
      <c r="F1313" t="s">
        <v>57</v>
      </c>
      <c r="G1313" t="s">
        <v>85</v>
      </c>
      <c r="H1313" t="s">
        <v>44</v>
      </c>
      <c r="I1313" t="s">
        <v>49</v>
      </c>
      <c r="J1313">
        <v>10</v>
      </c>
      <c r="K1313" s="5">
        <v>1463.26</v>
      </c>
      <c r="L1313" s="5">
        <v>649.09</v>
      </c>
      <c r="M1313">
        <v>21</v>
      </c>
      <c r="N1313">
        <v>15</v>
      </c>
      <c r="O1313">
        <v>5</v>
      </c>
      <c r="P1313">
        <v>1</v>
      </c>
      <c r="Q1313">
        <v>26</v>
      </c>
      <c r="R1313">
        <v>1</v>
      </c>
      <c r="S1313">
        <v>0</v>
      </c>
      <c r="T1313">
        <v>1</v>
      </c>
      <c r="U1313">
        <v>1</v>
      </c>
      <c r="V1313">
        <v>0</v>
      </c>
      <c r="W1313" t="s">
        <v>55</v>
      </c>
      <c r="X1313">
        <v>60</v>
      </c>
      <c r="Y1313">
        <v>0</v>
      </c>
      <c r="Z1313">
        <f t="shared" si="120"/>
        <v>72</v>
      </c>
      <c r="AA1313">
        <f t="shared" si="121"/>
        <v>1.175</v>
      </c>
      <c r="AB1313">
        <f t="shared" si="122"/>
        <v>4</v>
      </c>
      <c r="AC1313" t="str">
        <f t="shared" si="123"/>
        <v>Low</v>
      </c>
      <c r="AD1313" t="str">
        <f t="shared" si="124"/>
        <v>Upsell premium bundle</v>
      </c>
      <c r="AE1313">
        <f t="shared" si="125"/>
        <v>28</v>
      </c>
    </row>
    <row r="1314" spans="1:31" x14ac:dyDescent="0.35">
      <c r="A1314" t="s">
        <v>1372</v>
      </c>
      <c r="B1314" s="4">
        <v>45037</v>
      </c>
      <c r="C1314" s="4">
        <v>46143</v>
      </c>
      <c r="D1314" t="s">
        <v>66</v>
      </c>
      <c r="E1314">
        <v>27</v>
      </c>
      <c r="F1314" t="s">
        <v>57</v>
      </c>
      <c r="G1314" t="s">
        <v>34</v>
      </c>
      <c r="H1314" t="s">
        <v>44</v>
      </c>
      <c r="I1314" t="s">
        <v>36</v>
      </c>
      <c r="J1314">
        <v>36</v>
      </c>
      <c r="K1314" s="5">
        <v>1985.71</v>
      </c>
      <c r="L1314" s="5">
        <v>1143.67</v>
      </c>
      <c r="M1314">
        <v>37</v>
      </c>
      <c r="N1314">
        <v>21</v>
      </c>
      <c r="O1314">
        <v>8</v>
      </c>
      <c r="P1314">
        <v>0</v>
      </c>
      <c r="Q1314">
        <v>11</v>
      </c>
      <c r="R1314">
        <v>0</v>
      </c>
      <c r="S1314">
        <v>1</v>
      </c>
      <c r="T1314">
        <v>1</v>
      </c>
      <c r="U1314">
        <v>1</v>
      </c>
      <c r="V1314">
        <v>0</v>
      </c>
      <c r="W1314" t="s">
        <v>37</v>
      </c>
      <c r="X1314">
        <v>-4</v>
      </c>
      <c r="Y1314">
        <v>0</v>
      </c>
      <c r="Z1314">
        <f t="shared" si="120"/>
        <v>83</v>
      </c>
      <c r="AA1314">
        <f t="shared" si="121"/>
        <v>0.72727272727272729</v>
      </c>
      <c r="AB1314">
        <f t="shared" si="122"/>
        <v>25</v>
      </c>
      <c r="AC1314" t="str">
        <f t="shared" si="123"/>
        <v>Low</v>
      </c>
      <c r="AD1314" t="str">
        <f t="shared" si="124"/>
        <v>Upsell premium bundle</v>
      </c>
      <c r="AE1314">
        <f t="shared" si="125"/>
        <v>17</v>
      </c>
    </row>
    <row r="1315" spans="1:31" x14ac:dyDescent="0.35">
      <c r="A1315" t="s">
        <v>1373</v>
      </c>
      <c r="B1315" s="4">
        <v>45737</v>
      </c>
      <c r="C1315" s="4">
        <v>46143</v>
      </c>
      <c r="D1315" t="s">
        <v>66</v>
      </c>
      <c r="E1315">
        <v>25</v>
      </c>
      <c r="F1315" t="s">
        <v>57</v>
      </c>
      <c r="G1315" t="s">
        <v>67</v>
      </c>
      <c r="H1315" t="s">
        <v>41</v>
      </c>
      <c r="I1315" t="s">
        <v>36</v>
      </c>
      <c r="J1315">
        <v>13</v>
      </c>
      <c r="K1315" s="5">
        <v>483.33</v>
      </c>
      <c r="L1315" s="5">
        <v>922.85</v>
      </c>
      <c r="M1315">
        <v>23</v>
      </c>
      <c r="N1315">
        <v>7</v>
      </c>
      <c r="O1315">
        <v>5</v>
      </c>
      <c r="P1315">
        <v>2</v>
      </c>
      <c r="Q1315">
        <v>12</v>
      </c>
      <c r="R1315">
        <v>0</v>
      </c>
      <c r="S1315">
        <v>1</v>
      </c>
      <c r="T1315">
        <v>1</v>
      </c>
      <c r="U1315">
        <v>0</v>
      </c>
      <c r="V1315">
        <v>0</v>
      </c>
      <c r="W1315" t="s">
        <v>45</v>
      </c>
      <c r="X1315">
        <v>11</v>
      </c>
      <c r="Y1315">
        <v>0</v>
      </c>
      <c r="Z1315">
        <f t="shared" si="120"/>
        <v>50</v>
      </c>
      <c r="AA1315">
        <f t="shared" si="121"/>
        <v>0.81395348837209303</v>
      </c>
      <c r="AB1315">
        <f t="shared" si="122"/>
        <v>41</v>
      </c>
      <c r="AC1315" t="str">
        <f t="shared" si="123"/>
        <v>Medium</v>
      </c>
      <c r="AD1315" t="str">
        <f t="shared" si="124"/>
        <v>Nudge core feature adoption</v>
      </c>
      <c r="AE1315">
        <f t="shared" si="125"/>
        <v>50</v>
      </c>
    </row>
    <row r="1316" spans="1:31" x14ac:dyDescent="0.35">
      <c r="A1316" t="s">
        <v>1374</v>
      </c>
      <c r="B1316" s="4">
        <v>45276</v>
      </c>
      <c r="C1316" s="4">
        <v>46143</v>
      </c>
      <c r="D1316" t="s">
        <v>39</v>
      </c>
      <c r="E1316">
        <v>63</v>
      </c>
      <c r="F1316" t="s">
        <v>33</v>
      </c>
      <c r="G1316" t="s">
        <v>63</v>
      </c>
      <c r="H1316" t="s">
        <v>41</v>
      </c>
      <c r="I1316" t="s">
        <v>36</v>
      </c>
      <c r="J1316">
        <v>28</v>
      </c>
      <c r="K1316" s="5">
        <v>22.66</v>
      </c>
      <c r="L1316" s="5">
        <v>437.12</v>
      </c>
      <c r="M1316">
        <v>18</v>
      </c>
      <c r="N1316">
        <v>6</v>
      </c>
      <c r="O1316">
        <v>2</v>
      </c>
      <c r="P1316">
        <v>2</v>
      </c>
      <c r="Q1316">
        <v>32</v>
      </c>
      <c r="R1316">
        <v>0</v>
      </c>
      <c r="S1316">
        <v>0</v>
      </c>
      <c r="T1316">
        <v>0</v>
      </c>
      <c r="U1316">
        <v>1</v>
      </c>
      <c r="V1316">
        <v>1</v>
      </c>
      <c r="W1316" t="s">
        <v>37</v>
      </c>
      <c r="X1316">
        <v>30</v>
      </c>
      <c r="Y1316">
        <v>0</v>
      </c>
      <c r="Z1316">
        <f t="shared" si="120"/>
        <v>73</v>
      </c>
      <c r="AA1316">
        <f t="shared" si="121"/>
        <v>0.86206896551724133</v>
      </c>
      <c r="AB1316">
        <f t="shared" si="122"/>
        <v>14</v>
      </c>
      <c r="AC1316" t="str">
        <f t="shared" si="123"/>
        <v>Low</v>
      </c>
      <c r="AD1316" t="str">
        <f t="shared" si="124"/>
        <v>Upsell premium bundle</v>
      </c>
      <c r="AE1316">
        <f t="shared" si="125"/>
        <v>27</v>
      </c>
    </row>
    <row r="1317" spans="1:31" x14ac:dyDescent="0.35">
      <c r="A1317" t="s">
        <v>1375</v>
      </c>
      <c r="B1317" s="4">
        <v>45782</v>
      </c>
      <c r="C1317" s="4">
        <v>46143</v>
      </c>
      <c r="D1317" t="s">
        <v>66</v>
      </c>
      <c r="E1317">
        <v>45</v>
      </c>
      <c r="F1317" t="s">
        <v>33</v>
      </c>
      <c r="G1317" t="s">
        <v>48</v>
      </c>
      <c r="H1317" t="s">
        <v>41</v>
      </c>
      <c r="I1317" t="s">
        <v>36</v>
      </c>
      <c r="J1317">
        <v>12</v>
      </c>
      <c r="K1317" s="5">
        <v>832.71</v>
      </c>
      <c r="L1317" s="5">
        <v>555.12</v>
      </c>
      <c r="M1317">
        <v>33</v>
      </c>
      <c r="N1317">
        <v>20</v>
      </c>
      <c r="O1317">
        <v>9</v>
      </c>
      <c r="P1317">
        <v>2</v>
      </c>
      <c r="Q1317">
        <v>24</v>
      </c>
      <c r="R1317">
        <v>0</v>
      </c>
      <c r="S1317">
        <v>0</v>
      </c>
      <c r="T1317">
        <v>1</v>
      </c>
      <c r="U1317">
        <v>0</v>
      </c>
      <c r="V1317">
        <v>1</v>
      </c>
      <c r="W1317" t="s">
        <v>50</v>
      </c>
      <c r="X1317">
        <v>-28</v>
      </c>
      <c r="Y1317">
        <v>1</v>
      </c>
      <c r="Z1317">
        <f t="shared" si="120"/>
        <v>93</v>
      </c>
      <c r="AA1317">
        <f t="shared" si="121"/>
        <v>1.3571428571428572</v>
      </c>
      <c r="AB1317">
        <f t="shared" si="122"/>
        <v>35</v>
      </c>
      <c r="AC1317" t="str">
        <f t="shared" si="123"/>
        <v>Low</v>
      </c>
      <c r="AD1317" t="str">
        <f t="shared" si="124"/>
        <v>Upsell premium bundle</v>
      </c>
      <c r="AE1317">
        <f t="shared" si="125"/>
        <v>7</v>
      </c>
    </row>
    <row r="1318" spans="1:31" x14ac:dyDescent="0.35">
      <c r="A1318" t="s">
        <v>1376</v>
      </c>
      <c r="B1318" s="4">
        <v>45539</v>
      </c>
      <c r="C1318" s="4">
        <v>46143</v>
      </c>
      <c r="D1318" t="s">
        <v>72</v>
      </c>
      <c r="E1318">
        <v>34</v>
      </c>
      <c r="F1318" t="s">
        <v>61</v>
      </c>
      <c r="G1318" t="s">
        <v>40</v>
      </c>
      <c r="H1318" t="s">
        <v>58</v>
      </c>
      <c r="I1318" t="s">
        <v>36</v>
      </c>
      <c r="J1318">
        <v>20</v>
      </c>
      <c r="K1318" s="5">
        <v>5250.42</v>
      </c>
      <c r="L1318" s="5">
        <v>1243.71</v>
      </c>
      <c r="M1318">
        <v>38</v>
      </c>
      <c r="N1318">
        <v>23</v>
      </c>
      <c r="O1318">
        <v>6</v>
      </c>
      <c r="P1318">
        <v>5</v>
      </c>
      <c r="Q1318">
        <v>28</v>
      </c>
      <c r="R1318">
        <v>0</v>
      </c>
      <c r="S1318">
        <v>0</v>
      </c>
      <c r="T1318">
        <v>1</v>
      </c>
      <c r="U1318">
        <v>0</v>
      </c>
      <c r="V1318">
        <v>0</v>
      </c>
      <c r="W1318" t="s">
        <v>45</v>
      </c>
      <c r="X1318">
        <v>35</v>
      </c>
      <c r="Y1318">
        <v>0</v>
      </c>
      <c r="Z1318">
        <f t="shared" si="120"/>
        <v>97</v>
      </c>
      <c r="AA1318">
        <f t="shared" si="121"/>
        <v>1.32</v>
      </c>
      <c r="AB1318">
        <f t="shared" si="122"/>
        <v>0</v>
      </c>
      <c r="AC1318" t="str">
        <f t="shared" si="123"/>
        <v>Low</v>
      </c>
      <c r="AD1318" t="str">
        <f t="shared" si="124"/>
        <v>Upsell premium bundle</v>
      </c>
      <c r="AE1318">
        <f t="shared" si="125"/>
        <v>3</v>
      </c>
    </row>
    <row r="1319" spans="1:31" x14ac:dyDescent="0.35">
      <c r="A1319" t="s">
        <v>1377</v>
      </c>
      <c r="B1319" s="4">
        <v>45467</v>
      </c>
      <c r="C1319" s="4">
        <v>46143</v>
      </c>
      <c r="D1319" t="s">
        <v>72</v>
      </c>
      <c r="E1319">
        <v>67</v>
      </c>
      <c r="F1319" t="s">
        <v>43</v>
      </c>
      <c r="G1319" t="s">
        <v>85</v>
      </c>
      <c r="H1319" t="s">
        <v>58</v>
      </c>
      <c r="I1319" t="s">
        <v>36</v>
      </c>
      <c r="J1319">
        <v>22</v>
      </c>
      <c r="K1319" s="5">
        <v>104.15</v>
      </c>
      <c r="L1319" s="5">
        <v>66.03</v>
      </c>
      <c r="M1319">
        <v>20</v>
      </c>
      <c r="N1319">
        <v>10</v>
      </c>
      <c r="O1319">
        <v>3</v>
      </c>
      <c r="P1319">
        <v>2</v>
      </c>
      <c r="Q1319">
        <v>19</v>
      </c>
      <c r="R1319">
        <v>3</v>
      </c>
      <c r="S1319">
        <v>2</v>
      </c>
      <c r="T1319">
        <v>1</v>
      </c>
      <c r="U1319">
        <v>0</v>
      </c>
      <c r="V1319">
        <v>1</v>
      </c>
      <c r="W1319" t="s">
        <v>52</v>
      </c>
      <c r="X1319">
        <v>4</v>
      </c>
      <c r="Y1319">
        <v>0</v>
      </c>
      <c r="Z1319">
        <f t="shared" si="120"/>
        <v>60</v>
      </c>
      <c r="AA1319">
        <f t="shared" si="121"/>
        <v>0.75</v>
      </c>
      <c r="AB1319">
        <f t="shared" si="122"/>
        <v>34</v>
      </c>
      <c r="AC1319" t="str">
        <f t="shared" si="123"/>
        <v>Low</v>
      </c>
      <c r="AD1319" t="str">
        <f t="shared" si="124"/>
        <v>Upsell premium bundle</v>
      </c>
      <c r="AE1319">
        <f t="shared" si="125"/>
        <v>40</v>
      </c>
    </row>
    <row r="1320" spans="1:31" x14ac:dyDescent="0.35">
      <c r="A1320" t="s">
        <v>1378</v>
      </c>
      <c r="B1320" s="4">
        <v>45079</v>
      </c>
      <c r="C1320" s="4">
        <v>46143</v>
      </c>
      <c r="D1320" t="s">
        <v>66</v>
      </c>
      <c r="E1320">
        <v>18</v>
      </c>
      <c r="F1320" t="s">
        <v>33</v>
      </c>
      <c r="G1320" t="s">
        <v>67</v>
      </c>
      <c r="H1320" t="s">
        <v>41</v>
      </c>
      <c r="I1320" t="s">
        <v>36</v>
      </c>
      <c r="J1320">
        <v>35</v>
      </c>
      <c r="K1320" s="5">
        <v>47.38</v>
      </c>
      <c r="L1320" s="5">
        <v>74.69</v>
      </c>
      <c r="M1320">
        <v>24</v>
      </c>
      <c r="N1320">
        <v>15</v>
      </c>
      <c r="O1320">
        <v>3</v>
      </c>
      <c r="P1320">
        <v>3</v>
      </c>
      <c r="Q1320">
        <v>15</v>
      </c>
      <c r="R1320">
        <v>0</v>
      </c>
      <c r="S1320">
        <v>1</v>
      </c>
      <c r="T1320">
        <v>1</v>
      </c>
      <c r="U1320">
        <v>1</v>
      </c>
      <c r="V1320">
        <v>1</v>
      </c>
      <c r="W1320" t="s">
        <v>45</v>
      </c>
      <c r="X1320">
        <v>-9</v>
      </c>
      <c r="Y1320">
        <v>1</v>
      </c>
      <c r="Z1320">
        <f t="shared" si="120"/>
        <v>73</v>
      </c>
      <c r="AA1320">
        <f t="shared" si="121"/>
        <v>0.6</v>
      </c>
      <c r="AB1320">
        <f t="shared" si="122"/>
        <v>41</v>
      </c>
      <c r="AC1320" t="str">
        <f t="shared" si="123"/>
        <v>Medium</v>
      </c>
      <c r="AD1320" t="str">
        <f t="shared" si="124"/>
        <v>Nudge core feature adoption</v>
      </c>
      <c r="AE1320">
        <f t="shared" si="125"/>
        <v>27</v>
      </c>
    </row>
    <row r="1321" spans="1:31" x14ac:dyDescent="0.35">
      <c r="A1321" t="s">
        <v>1379</v>
      </c>
      <c r="B1321" s="4">
        <v>45177</v>
      </c>
      <c r="C1321" s="4">
        <v>46143</v>
      </c>
      <c r="D1321" t="s">
        <v>39</v>
      </c>
      <c r="E1321">
        <v>71</v>
      </c>
      <c r="F1321" t="s">
        <v>57</v>
      </c>
      <c r="G1321" t="s">
        <v>48</v>
      </c>
      <c r="H1321" t="s">
        <v>41</v>
      </c>
      <c r="I1321" t="s">
        <v>36</v>
      </c>
      <c r="J1321">
        <v>32</v>
      </c>
      <c r="K1321" s="5">
        <v>1384.65</v>
      </c>
      <c r="L1321" s="5">
        <v>1207.79</v>
      </c>
      <c r="M1321">
        <v>13</v>
      </c>
      <c r="N1321">
        <v>7</v>
      </c>
      <c r="O1321">
        <v>2</v>
      </c>
      <c r="P1321">
        <v>0</v>
      </c>
      <c r="Q1321">
        <v>15</v>
      </c>
      <c r="R1321">
        <v>0</v>
      </c>
      <c r="S1321">
        <v>0</v>
      </c>
      <c r="T1321">
        <v>1</v>
      </c>
      <c r="U1321">
        <v>0</v>
      </c>
      <c r="V1321">
        <v>1</v>
      </c>
      <c r="W1321" t="s">
        <v>37</v>
      </c>
      <c r="X1321">
        <v>31</v>
      </c>
      <c r="Y1321">
        <v>0</v>
      </c>
      <c r="Z1321">
        <f t="shared" si="120"/>
        <v>42</v>
      </c>
      <c r="AA1321">
        <f t="shared" si="121"/>
        <v>0.45161290322580644</v>
      </c>
      <c r="AB1321">
        <f t="shared" si="122"/>
        <v>26</v>
      </c>
      <c r="AC1321" t="str">
        <f t="shared" si="123"/>
        <v>Low</v>
      </c>
      <c r="AD1321" t="str">
        <f t="shared" si="124"/>
        <v>Upsell premium bundle</v>
      </c>
      <c r="AE1321">
        <f t="shared" si="125"/>
        <v>58</v>
      </c>
    </row>
    <row r="1322" spans="1:31" x14ac:dyDescent="0.35">
      <c r="A1322" t="s">
        <v>1380</v>
      </c>
      <c r="B1322" s="4">
        <v>46001</v>
      </c>
      <c r="C1322" s="4">
        <v>46143</v>
      </c>
      <c r="D1322" t="s">
        <v>60</v>
      </c>
      <c r="E1322">
        <v>69</v>
      </c>
      <c r="F1322" t="s">
        <v>57</v>
      </c>
      <c r="G1322" t="s">
        <v>67</v>
      </c>
      <c r="H1322" t="s">
        <v>58</v>
      </c>
      <c r="I1322" t="s">
        <v>36</v>
      </c>
      <c r="J1322">
        <v>4</v>
      </c>
      <c r="K1322" s="5">
        <v>1141.52</v>
      </c>
      <c r="L1322" s="5">
        <v>320.64999999999998</v>
      </c>
      <c r="M1322">
        <v>20</v>
      </c>
      <c r="N1322">
        <v>8</v>
      </c>
      <c r="O1322">
        <v>3</v>
      </c>
      <c r="P1322">
        <v>2</v>
      </c>
      <c r="Q1322">
        <v>14</v>
      </c>
      <c r="R1322">
        <v>0</v>
      </c>
      <c r="S1322">
        <v>0</v>
      </c>
      <c r="T1322">
        <v>1</v>
      </c>
      <c r="U1322">
        <v>0</v>
      </c>
      <c r="V1322">
        <v>0</v>
      </c>
      <c r="W1322" t="s">
        <v>50</v>
      </c>
      <c r="X1322">
        <v>10</v>
      </c>
      <c r="Y1322">
        <v>0</v>
      </c>
      <c r="Z1322">
        <f t="shared" si="120"/>
        <v>47</v>
      </c>
      <c r="AA1322">
        <f t="shared" si="121"/>
        <v>1</v>
      </c>
      <c r="AB1322">
        <f t="shared" si="122"/>
        <v>24</v>
      </c>
      <c r="AC1322" t="str">
        <f t="shared" si="123"/>
        <v>Low</v>
      </c>
      <c r="AD1322" t="str">
        <f t="shared" si="124"/>
        <v>Upsell premium bundle</v>
      </c>
      <c r="AE1322">
        <f t="shared" si="125"/>
        <v>53</v>
      </c>
    </row>
    <row r="1323" spans="1:31" x14ac:dyDescent="0.35">
      <c r="A1323" t="s">
        <v>1381</v>
      </c>
      <c r="B1323" s="4">
        <v>45792</v>
      </c>
      <c r="C1323" s="4">
        <v>46143</v>
      </c>
      <c r="D1323" t="s">
        <v>60</v>
      </c>
      <c r="E1323">
        <v>54</v>
      </c>
      <c r="F1323" t="s">
        <v>43</v>
      </c>
      <c r="G1323" t="s">
        <v>48</v>
      </c>
      <c r="H1323" t="s">
        <v>58</v>
      </c>
      <c r="I1323" t="s">
        <v>36</v>
      </c>
      <c r="J1323">
        <v>11</v>
      </c>
      <c r="K1323" s="5">
        <v>21.08</v>
      </c>
      <c r="L1323" s="5">
        <v>97.68</v>
      </c>
      <c r="M1323">
        <v>15</v>
      </c>
      <c r="N1323">
        <v>7</v>
      </c>
      <c r="O1323">
        <v>1</v>
      </c>
      <c r="P1323">
        <v>0</v>
      </c>
      <c r="Q1323">
        <v>3</v>
      </c>
      <c r="R1323">
        <v>3</v>
      </c>
      <c r="S1323">
        <v>0</v>
      </c>
      <c r="T1323">
        <v>0</v>
      </c>
      <c r="U1323">
        <v>0</v>
      </c>
      <c r="V1323">
        <v>0</v>
      </c>
      <c r="W1323" t="s">
        <v>50</v>
      </c>
      <c r="X1323">
        <v>7</v>
      </c>
      <c r="Y1323">
        <v>1</v>
      </c>
      <c r="Z1323">
        <f t="shared" si="120"/>
        <v>25</v>
      </c>
      <c r="AA1323">
        <f t="shared" si="121"/>
        <v>0.43902439024390244</v>
      </c>
      <c r="AB1323">
        <f t="shared" si="122"/>
        <v>30</v>
      </c>
      <c r="AC1323" t="str">
        <f t="shared" si="123"/>
        <v>Low</v>
      </c>
      <c r="AD1323" t="str">
        <f t="shared" si="124"/>
        <v>Upsell premium bundle</v>
      </c>
      <c r="AE1323">
        <f t="shared" si="125"/>
        <v>75</v>
      </c>
    </row>
    <row r="1324" spans="1:31" x14ac:dyDescent="0.35">
      <c r="A1324" t="s">
        <v>1382</v>
      </c>
      <c r="B1324" s="4">
        <v>44753</v>
      </c>
      <c r="C1324" s="4">
        <v>46143</v>
      </c>
      <c r="D1324" t="s">
        <v>60</v>
      </c>
      <c r="E1324">
        <v>60</v>
      </c>
      <c r="F1324" t="s">
        <v>33</v>
      </c>
      <c r="G1324" t="s">
        <v>34</v>
      </c>
      <c r="H1324" t="s">
        <v>41</v>
      </c>
      <c r="I1324" t="s">
        <v>36</v>
      </c>
      <c r="J1324">
        <v>46</v>
      </c>
      <c r="K1324" s="5">
        <v>82.51</v>
      </c>
      <c r="L1324" s="5">
        <v>322.64</v>
      </c>
      <c r="M1324">
        <v>22</v>
      </c>
      <c r="N1324">
        <v>16</v>
      </c>
      <c r="O1324">
        <v>2</v>
      </c>
      <c r="P1324">
        <v>1</v>
      </c>
      <c r="Q1324">
        <v>19</v>
      </c>
      <c r="R1324">
        <v>0</v>
      </c>
      <c r="S1324">
        <v>1</v>
      </c>
      <c r="T1324">
        <v>1</v>
      </c>
      <c r="U1324">
        <v>0</v>
      </c>
      <c r="V1324">
        <v>1</v>
      </c>
      <c r="W1324" t="s">
        <v>55</v>
      </c>
      <c r="X1324">
        <v>24</v>
      </c>
      <c r="Y1324">
        <v>0</v>
      </c>
      <c r="Z1324">
        <f t="shared" si="120"/>
        <v>63</v>
      </c>
      <c r="AA1324">
        <f t="shared" si="121"/>
        <v>0.53947368421052633</v>
      </c>
      <c r="AB1324">
        <f t="shared" si="122"/>
        <v>29</v>
      </c>
      <c r="AC1324" t="str">
        <f t="shared" si="123"/>
        <v>Low</v>
      </c>
      <c r="AD1324" t="str">
        <f t="shared" si="124"/>
        <v>Upsell premium bundle</v>
      </c>
      <c r="AE1324">
        <f t="shared" si="125"/>
        <v>37</v>
      </c>
    </row>
    <row r="1325" spans="1:31" x14ac:dyDescent="0.35">
      <c r="A1325" t="s">
        <v>1383</v>
      </c>
      <c r="B1325" s="4">
        <v>45553</v>
      </c>
      <c r="C1325" s="4">
        <v>46143</v>
      </c>
      <c r="D1325" t="s">
        <v>60</v>
      </c>
      <c r="E1325">
        <v>25</v>
      </c>
      <c r="F1325" t="s">
        <v>43</v>
      </c>
      <c r="G1325" t="s">
        <v>67</v>
      </c>
      <c r="H1325" t="s">
        <v>41</v>
      </c>
      <c r="I1325" t="s">
        <v>36</v>
      </c>
      <c r="J1325">
        <v>19</v>
      </c>
      <c r="K1325" s="5">
        <v>92.11</v>
      </c>
      <c r="L1325" s="5">
        <v>20.22</v>
      </c>
      <c r="M1325">
        <v>22</v>
      </c>
      <c r="N1325">
        <v>9</v>
      </c>
      <c r="O1325">
        <v>2</v>
      </c>
      <c r="P1325">
        <v>3</v>
      </c>
      <c r="Q1325">
        <v>19</v>
      </c>
      <c r="R1325">
        <v>0</v>
      </c>
      <c r="S1325">
        <v>1</v>
      </c>
      <c r="T1325">
        <v>1</v>
      </c>
      <c r="U1325">
        <v>0</v>
      </c>
      <c r="V1325">
        <v>0</v>
      </c>
      <c r="W1325" t="s">
        <v>52</v>
      </c>
      <c r="X1325">
        <v>-21</v>
      </c>
      <c r="Y1325">
        <v>1</v>
      </c>
      <c r="Z1325">
        <f t="shared" si="120"/>
        <v>54</v>
      </c>
      <c r="AA1325">
        <f t="shared" si="121"/>
        <v>0.83673469387755106</v>
      </c>
      <c r="AB1325">
        <f t="shared" si="122"/>
        <v>55</v>
      </c>
      <c r="AC1325" t="str">
        <f t="shared" si="123"/>
        <v>Medium</v>
      </c>
      <c r="AD1325" t="str">
        <f t="shared" si="124"/>
        <v>Nudge core feature adoption</v>
      </c>
      <c r="AE1325">
        <f t="shared" si="125"/>
        <v>46</v>
      </c>
    </row>
    <row r="1326" spans="1:31" x14ac:dyDescent="0.35">
      <c r="A1326" t="s">
        <v>1384</v>
      </c>
      <c r="B1326" s="4">
        <v>45463</v>
      </c>
      <c r="C1326" s="4">
        <v>46143</v>
      </c>
      <c r="D1326" t="s">
        <v>60</v>
      </c>
      <c r="E1326">
        <v>51</v>
      </c>
      <c r="F1326" t="s">
        <v>33</v>
      </c>
      <c r="G1326" t="s">
        <v>34</v>
      </c>
      <c r="H1326" t="s">
        <v>41</v>
      </c>
      <c r="I1326" t="s">
        <v>36</v>
      </c>
      <c r="J1326">
        <v>22</v>
      </c>
      <c r="K1326" s="5">
        <v>235.88</v>
      </c>
      <c r="L1326" s="5">
        <v>313.63</v>
      </c>
      <c r="M1326">
        <v>15</v>
      </c>
      <c r="N1326">
        <v>7</v>
      </c>
      <c r="O1326">
        <v>3</v>
      </c>
      <c r="P1326">
        <v>0</v>
      </c>
      <c r="Q1326">
        <v>11</v>
      </c>
      <c r="R1326">
        <v>0</v>
      </c>
      <c r="S1326">
        <v>1</v>
      </c>
      <c r="T1326">
        <v>1</v>
      </c>
      <c r="U1326">
        <v>0</v>
      </c>
      <c r="V1326">
        <v>0</v>
      </c>
      <c r="W1326" t="s">
        <v>50</v>
      </c>
      <c r="X1326">
        <v>4</v>
      </c>
      <c r="Y1326">
        <v>0</v>
      </c>
      <c r="Z1326">
        <f t="shared" si="120"/>
        <v>35</v>
      </c>
      <c r="AA1326">
        <f t="shared" si="121"/>
        <v>0.5</v>
      </c>
      <c r="AB1326">
        <f t="shared" si="122"/>
        <v>50</v>
      </c>
      <c r="AC1326" t="str">
        <f t="shared" si="123"/>
        <v>Medium</v>
      </c>
      <c r="AD1326" t="str">
        <f t="shared" si="124"/>
        <v>Nudge core feature adoption</v>
      </c>
      <c r="AE1326">
        <f t="shared" si="125"/>
        <v>65</v>
      </c>
    </row>
    <row r="1327" spans="1:31" x14ac:dyDescent="0.35">
      <c r="A1327" t="s">
        <v>1385</v>
      </c>
      <c r="B1327" s="4">
        <v>45591</v>
      </c>
      <c r="C1327" s="4">
        <v>46143</v>
      </c>
      <c r="D1327" t="s">
        <v>72</v>
      </c>
      <c r="E1327">
        <v>40</v>
      </c>
      <c r="F1327" t="s">
        <v>57</v>
      </c>
      <c r="G1327" t="s">
        <v>63</v>
      </c>
      <c r="H1327" t="s">
        <v>41</v>
      </c>
      <c r="I1327" t="s">
        <v>36</v>
      </c>
      <c r="J1327">
        <v>18</v>
      </c>
      <c r="K1327" s="5">
        <v>1695.51</v>
      </c>
      <c r="L1327" s="5">
        <v>1693.76</v>
      </c>
      <c r="M1327">
        <v>27</v>
      </c>
      <c r="N1327">
        <v>7</v>
      </c>
      <c r="O1327">
        <v>7</v>
      </c>
      <c r="P1327">
        <v>1</v>
      </c>
      <c r="Q1327">
        <v>26</v>
      </c>
      <c r="R1327">
        <v>1</v>
      </c>
      <c r="S1327">
        <v>0</v>
      </c>
      <c r="T1327">
        <v>0</v>
      </c>
      <c r="U1327">
        <v>0</v>
      </c>
      <c r="V1327">
        <v>0</v>
      </c>
      <c r="W1327" t="s">
        <v>37</v>
      </c>
      <c r="X1327">
        <v>33</v>
      </c>
      <c r="Y1327">
        <v>0</v>
      </c>
      <c r="Z1327">
        <f t="shared" si="120"/>
        <v>68</v>
      </c>
      <c r="AA1327">
        <f t="shared" si="121"/>
        <v>1.1041666666666667</v>
      </c>
      <c r="AB1327">
        <f t="shared" si="122"/>
        <v>3</v>
      </c>
      <c r="AC1327" t="str">
        <f t="shared" si="123"/>
        <v>Low</v>
      </c>
      <c r="AD1327" t="str">
        <f t="shared" si="124"/>
        <v>Upsell premium bundle</v>
      </c>
      <c r="AE1327">
        <f t="shared" si="125"/>
        <v>32</v>
      </c>
    </row>
    <row r="1328" spans="1:31" x14ac:dyDescent="0.35">
      <c r="A1328" t="s">
        <v>1386</v>
      </c>
      <c r="B1328" s="4">
        <v>45389</v>
      </c>
      <c r="C1328" s="4">
        <v>46143</v>
      </c>
      <c r="D1328" t="s">
        <v>39</v>
      </c>
      <c r="E1328">
        <v>59</v>
      </c>
      <c r="F1328" t="s">
        <v>61</v>
      </c>
      <c r="G1328" t="s">
        <v>34</v>
      </c>
      <c r="H1328" t="s">
        <v>41</v>
      </c>
      <c r="I1328" t="s">
        <v>36</v>
      </c>
      <c r="J1328">
        <v>25</v>
      </c>
      <c r="K1328" s="5">
        <v>1291.21</v>
      </c>
      <c r="L1328" s="5">
        <v>106.42</v>
      </c>
      <c r="M1328">
        <v>7</v>
      </c>
      <c r="N1328">
        <v>4</v>
      </c>
      <c r="O1328">
        <v>0</v>
      </c>
      <c r="P1328">
        <v>0</v>
      </c>
      <c r="Q1328">
        <v>16</v>
      </c>
      <c r="R1328">
        <v>0</v>
      </c>
      <c r="S1328">
        <v>1</v>
      </c>
      <c r="T1328">
        <v>0</v>
      </c>
      <c r="U1328">
        <v>0</v>
      </c>
      <c r="V1328">
        <v>1</v>
      </c>
      <c r="W1328" t="s">
        <v>50</v>
      </c>
      <c r="X1328">
        <v>-16</v>
      </c>
      <c r="Y1328">
        <v>0</v>
      </c>
      <c r="Z1328">
        <f t="shared" si="120"/>
        <v>32</v>
      </c>
      <c r="AA1328">
        <f t="shared" si="121"/>
        <v>0.41818181818181815</v>
      </c>
      <c r="AB1328">
        <f t="shared" si="122"/>
        <v>61</v>
      </c>
      <c r="AC1328" t="str">
        <f t="shared" si="123"/>
        <v>Medium</v>
      </c>
      <c r="AD1328" t="str">
        <f t="shared" si="124"/>
        <v>Nudge core feature adoption</v>
      </c>
      <c r="AE1328">
        <f t="shared" si="125"/>
        <v>68</v>
      </c>
    </row>
    <row r="1329" spans="1:31" x14ac:dyDescent="0.35">
      <c r="A1329" t="s">
        <v>1387</v>
      </c>
      <c r="B1329" s="4">
        <v>45686</v>
      </c>
      <c r="C1329" s="4">
        <v>46143</v>
      </c>
      <c r="D1329" t="s">
        <v>72</v>
      </c>
      <c r="E1329">
        <v>36</v>
      </c>
      <c r="F1329" t="s">
        <v>57</v>
      </c>
      <c r="G1329" t="s">
        <v>34</v>
      </c>
      <c r="H1329" t="s">
        <v>41</v>
      </c>
      <c r="I1329" t="s">
        <v>36</v>
      </c>
      <c r="J1329">
        <v>15</v>
      </c>
      <c r="K1329" s="5">
        <v>1156.31</v>
      </c>
      <c r="L1329" s="5">
        <v>517.73</v>
      </c>
      <c r="M1329">
        <v>21</v>
      </c>
      <c r="N1329">
        <v>11</v>
      </c>
      <c r="O1329">
        <v>3</v>
      </c>
      <c r="P1329">
        <v>4</v>
      </c>
      <c r="Q1329">
        <v>8</v>
      </c>
      <c r="R1329">
        <v>1</v>
      </c>
      <c r="S1329">
        <v>0</v>
      </c>
      <c r="T1329">
        <v>0</v>
      </c>
      <c r="U1329">
        <v>0</v>
      </c>
      <c r="V1329">
        <v>0</v>
      </c>
      <c r="W1329" t="s">
        <v>50</v>
      </c>
      <c r="X1329">
        <v>9</v>
      </c>
      <c r="Y1329">
        <v>0</v>
      </c>
      <c r="Z1329">
        <f t="shared" si="120"/>
        <v>47</v>
      </c>
      <c r="AA1329">
        <f t="shared" si="121"/>
        <v>0.64444444444444449</v>
      </c>
      <c r="AB1329">
        <f t="shared" si="122"/>
        <v>33</v>
      </c>
      <c r="AC1329" t="str">
        <f t="shared" si="123"/>
        <v>Low</v>
      </c>
      <c r="AD1329" t="str">
        <f t="shared" si="124"/>
        <v>Upsell premium bundle</v>
      </c>
      <c r="AE1329">
        <f t="shared" si="125"/>
        <v>53</v>
      </c>
    </row>
    <row r="1330" spans="1:31" x14ac:dyDescent="0.35">
      <c r="A1330" t="s">
        <v>1388</v>
      </c>
      <c r="B1330" s="4">
        <v>45949</v>
      </c>
      <c r="C1330" s="4">
        <v>46143</v>
      </c>
      <c r="D1330" t="s">
        <v>72</v>
      </c>
      <c r="E1330">
        <v>60</v>
      </c>
      <c r="F1330" t="s">
        <v>33</v>
      </c>
      <c r="G1330" t="s">
        <v>85</v>
      </c>
      <c r="H1330" t="s">
        <v>44</v>
      </c>
      <c r="I1330" t="s">
        <v>49</v>
      </c>
      <c r="J1330">
        <v>6</v>
      </c>
      <c r="K1330" s="5">
        <v>118.7</v>
      </c>
      <c r="L1330" s="5">
        <v>411.04</v>
      </c>
      <c r="M1330">
        <v>52</v>
      </c>
      <c r="N1330">
        <v>29</v>
      </c>
      <c r="O1330">
        <v>12</v>
      </c>
      <c r="P1330">
        <v>5</v>
      </c>
      <c r="Q1330">
        <v>41</v>
      </c>
      <c r="R1330">
        <v>5</v>
      </c>
      <c r="S1330">
        <v>2</v>
      </c>
      <c r="T1330">
        <v>1</v>
      </c>
      <c r="U1330">
        <v>1</v>
      </c>
      <c r="V1330">
        <v>1</v>
      </c>
      <c r="W1330" t="s">
        <v>50</v>
      </c>
      <c r="X1330">
        <v>43</v>
      </c>
      <c r="Y1330">
        <v>0</v>
      </c>
      <c r="Z1330">
        <f t="shared" si="120"/>
        <v>100</v>
      </c>
      <c r="AA1330">
        <f t="shared" si="121"/>
        <v>2.5833333333333335</v>
      </c>
      <c r="AB1330">
        <f t="shared" si="122"/>
        <v>11</v>
      </c>
      <c r="AC1330" t="str">
        <f t="shared" si="123"/>
        <v>Low</v>
      </c>
      <c r="AD1330" t="str">
        <f t="shared" si="124"/>
        <v>Upsell premium bundle</v>
      </c>
      <c r="AE1330">
        <f t="shared" si="125"/>
        <v>0</v>
      </c>
    </row>
    <row r="1331" spans="1:31" x14ac:dyDescent="0.35">
      <c r="A1331" t="s">
        <v>1389</v>
      </c>
      <c r="B1331" s="4">
        <v>44939</v>
      </c>
      <c r="C1331" s="4">
        <v>46143</v>
      </c>
      <c r="D1331" t="s">
        <v>32</v>
      </c>
      <c r="E1331">
        <v>68</v>
      </c>
      <c r="F1331" t="s">
        <v>33</v>
      </c>
      <c r="G1331" t="s">
        <v>63</v>
      </c>
      <c r="H1331" t="s">
        <v>58</v>
      </c>
      <c r="I1331" t="s">
        <v>36</v>
      </c>
      <c r="J1331">
        <v>40</v>
      </c>
      <c r="K1331" s="5">
        <v>631.33000000000004</v>
      </c>
      <c r="L1331" s="5">
        <v>350.38</v>
      </c>
      <c r="M1331">
        <v>34</v>
      </c>
      <c r="N1331">
        <v>15</v>
      </c>
      <c r="O1331">
        <v>7</v>
      </c>
      <c r="P1331">
        <v>3</v>
      </c>
      <c r="Q1331">
        <v>19</v>
      </c>
      <c r="R1331">
        <v>2</v>
      </c>
      <c r="S1331">
        <v>0</v>
      </c>
      <c r="T1331">
        <v>0</v>
      </c>
      <c r="U1331">
        <v>1</v>
      </c>
      <c r="V1331">
        <v>0</v>
      </c>
      <c r="W1331" t="s">
        <v>37</v>
      </c>
      <c r="X1331">
        <v>-10</v>
      </c>
      <c r="Y1331">
        <v>0</v>
      </c>
      <c r="Z1331">
        <f t="shared" si="120"/>
        <v>86</v>
      </c>
      <c r="AA1331">
        <f t="shared" si="121"/>
        <v>0.75714285714285712</v>
      </c>
      <c r="AB1331">
        <f t="shared" si="122"/>
        <v>16</v>
      </c>
      <c r="AC1331" t="str">
        <f t="shared" si="123"/>
        <v>Low</v>
      </c>
      <c r="AD1331" t="str">
        <f t="shared" si="124"/>
        <v>Upsell premium bundle</v>
      </c>
      <c r="AE1331">
        <f t="shared" si="125"/>
        <v>14</v>
      </c>
    </row>
    <row r="1332" spans="1:31" x14ac:dyDescent="0.35">
      <c r="A1332" t="s">
        <v>1390</v>
      </c>
      <c r="B1332" s="4">
        <v>44909</v>
      </c>
      <c r="C1332" s="4">
        <v>46143</v>
      </c>
      <c r="D1332" t="s">
        <v>39</v>
      </c>
      <c r="E1332">
        <v>19</v>
      </c>
      <c r="F1332" t="s">
        <v>33</v>
      </c>
      <c r="G1332" t="s">
        <v>34</v>
      </c>
      <c r="H1332" t="s">
        <v>41</v>
      </c>
      <c r="I1332" t="s">
        <v>36</v>
      </c>
      <c r="J1332">
        <v>41</v>
      </c>
      <c r="K1332" s="5">
        <v>538.49</v>
      </c>
      <c r="L1332" s="5">
        <v>61.97</v>
      </c>
      <c r="M1332">
        <v>28</v>
      </c>
      <c r="N1332">
        <v>11</v>
      </c>
      <c r="O1332">
        <v>5</v>
      </c>
      <c r="P1332">
        <v>1</v>
      </c>
      <c r="Q1332">
        <v>25</v>
      </c>
      <c r="R1332">
        <v>1</v>
      </c>
      <c r="S1332">
        <v>0</v>
      </c>
      <c r="T1332">
        <v>1</v>
      </c>
      <c r="U1332">
        <v>0</v>
      </c>
      <c r="V1332">
        <v>0</v>
      </c>
      <c r="W1332" t="s">
        <v>52</v>
      </c>
      <c r="X1332">
        <v>-10</v>
      </c>
      <c r="Y1332">
        <v>0</v>
      </c>
      <c r="Z1332">
        <f t="shared" si="120"/>
        <v>68</v>
      </c>
      <c r="AA1332">
        <f t="shared" si="121"/>
        <v>0.74647887323943662</v>
      </c>
      <c r="AB1332">
        <f t="shared" si="122"/>
        <v>34</v>
      </c>
      <c r="AC1332" t="str">
        <f t="shared" si="123"/>
        <v>Low</v>
      </c>
      <c r="AD1332" t="str">
        <f t="shared" si="124"/>
        <v>Upsell premium bundle</v>
      </c>
      <c r="AE1332">
        <f t="shared" si="125"/>
        <v>32</v>
      </c>
    </row>
    <row r="1333" spans="1:31" x14ac:dyDescent="0.35">
      <c r="A1333" t="s">
        <v>1391</v>
      </c>
      <c r="B1333" s="4">
        <v>46103</v>
      </c>
      <c r="C1333" s="4">
        <v>46143</v>
      </c>
      <c r="D1333" t="s">
        <v>32</v>
      </c>
      <c r="E1333">
        <v>50</v>
      </c>
      <c r="F1333" t="s">
        <v>33</v>
      </c>
      <c r="G1333" t="s">
        <v>40</v>
      </c>
      <c r="H1333" t="s">
        <v>41</v>
      </c>
      <c r="I1333" t="s">
        <v>36</v>
      </c>
      <c r="J1333">
        <v>1</v>
      </c>
      <c r="K1333" s="5">
        <v>735.28</v>
      </c>
      <c r="L1333" s="5">
        <v>563.75</v>
      </c>
      <c r="M1333">
        <v>9</v>
      </c>
      <c r="N1333">
        <v>4</v>
      </c>
      <c r="O1333">
        <v>1</v>
      </c>
      <c r="P1333">
        <v>1</v>
      </c>
      <c r="Q1333">
        <v>12</v>
      </c>
      <c r="R1333">
        <v>1</v>
      </c>
      <c r="S1333">
        <v>0</v>
      </c>
      <c r="T1333">
        <v>0</v>
      </c>
      <c r="U1333">
        <v>0</v>
      </c>
      <c r="V1333">
        <v>0</v>
      </c>
      <c r="W1333" t="s">
        <v>55</v>
      </c>
      <c r="X1333">
        <v>25</v>
      </c>
      <c r="Y1333">
        <v>0</v>
      </c>
      <c r="Z1333">
        <f t="shared" si="120"/>
        <v>26</v>
      </c>
      <c r="AA1333">
        <f t="shared" si="121"/>
        <v>0.67741935483870963</v>
      </c>
      <c r="AB1333">
        <f t="shared" si="122"/>
        <v>34</v>
      </c>
      <c r="AC1333" t="str">
        <f t="shared" si="123"/>
        <v>Low</v>
      </c>
      <c r="AD1333" t="str">
        <f t="shared" si="124"/>
        <v>Upsell premium bundle</v>
      </c>
      <c r="AE1333">
        <f t="shared" si="125"/>
        <v>74</v>
      </c>
    </row>
    <row r="1334" spans="1:31" x14ac:dyDescent="0.35">
      <c r="A1334" t="s">
        <v>1392</v>
      </c>
      <c r="B1334" s="4">
        <v>44920</v>
      </c>
      <c r="C1334" s="4">
        <v>46143</v>
      </c>
      <c r="D1334" t="s">
        <v>39</v>
      </c>
      <c r="E1334">
        <v>54</v>
      </c>
      <c r="F1334" t="s">
        <v>61</v>
      </c>
      <c r="G1334" t="s">
        <v>34</v>
      </c>
      <c r="H1334" t="s">
        <v>41</v>
      </c>
      <c r="I1334" t="s">
        <v>36</v>
      </c>
      <c r="J1334">
        <v>40</v>
      </c>
      <c r="K1334" s="5">
        <v>903.45</v>
      </c>
      <c r="L1334" s="5">
        <v>2473.16</v>
      </c>
      <c r="M1334">
        <v>20</v>
      </c>
      <c r="N1334">
        <v>12</v>
      </c>
      <c r="O1334">
        <v>2</v>
      </c>
      <c r="P1334">
        <v>3</v>
      </c>
      <c r="Q1334">
        <v>25</v>
      </c>
      <c r="R1334">
        <v>1</v>
      </c>
      <c r="S1334">
        <v>0</v>
      </c>
      <c r="T1334">
        <v>0</v>
      </c>
      <c r="U1334">
        <v>0</v>
      </c>
      <c r="V1334">
        <v>1</v>
      </c>
      <c r="W1334" t="s">
        <v>52</v>
      </c>
      <c r="X1334">
        <v>71</v>
      </c>
      <c r="Y1334">
        <v>0</v>
      </c>
      <c r="Z1334">
        <f t="shared" si="120"/>
        <v>67</v>
      </c>
      <c r="AA1334">
        <f t="shared" si="121"/>
        <v>0.6428571428571429</v>
      </c>
      <c r="AB1334">
        <f t="shared" si="122"/>
        <v>0</v>
      </c>
      <c r="AC1334" t="str">
        <f t="shared" si="123"/>
        <v>Low</v>
      </c>
      <c r="AD1334" t="str">
        <f t="shared" si="124"/>
        <v>Upsell premium bundle</v>
      </c>
      <c r="AE1334">
        <f t="shared" si="125"/>
        <v>33</v>
      </c>
    </row>
    <row r="1335" spans="1:31" x14ac:dyDescent="0.35">
      <c r="A1335" t="s">
        <v>1393</v>
      </c>
      <c r="B1335" s="4">
        <v>44707</v>
      </c>
      <c r="C1335" s="4">
        <v>46143</v>
      </c>
      <c r="D1335" t="s">
        <v>39</v>
      </c>
      <c r="E1335">
        <v>50</v>
      </c>
      <c r="F1335" t="s">
        <v>57</v>
      </c>
      <c r="G1335" t="s">
        <v>40</v>
      </c>
      <c r="H1335" t="s">
        <v>58</v>
      </c>
      <c r="I1335" t="s">
        <v>36</v>
      </c>
      <c r="J1335">
        <v>47</v>
      </c>
      <c r="K1335" s="5">
        <v>1472.18</v>
      </c>
      <c r="L1335" s="5">
        <v>246.17</v>
      </c>
      <c r="M1335">
        <v>24</v>
      </c>
      <c r="N1335">
        <v>16</v>
      </c>
      <c r="O1335">
        <v>5</v>
      </c>
      <c r="P1335">
        <v>4</v>
      </c>
      <c r="Q1335">
        <v>29</v>
      </c>
      <c r="R1335">
        <v>2</v>
      </c>
      <c r="S1335">
        <v>1</v>
      </c>
      <c r="T1335">
        <v>1</v>
      </c>
      <c r="U1335">
        <v>1</v>
      </c>
      <c r="V1335">
        <v>0</v>
      </c>
      <c r="W1335" t="s">
        <v>50</v>
      </c>
      <c r="X1335">
        <v>4</v>
      </c>
      <c r="Y1335">
        <v>0</v>
      </c>
      <c r="Z1335">
        <f t="shared" si="120"/>
        <v>83</v>
      </c>
      <c r="AA1335">
        <f t="shared" si="121"/>
        <v>0.68831168831168832</v>
      </c>
      <c r="AB1335">
        <f t="shared" si="122"/>
        <v>18</v>
      </c>
      <c r="AC1335" t="str">
        <f t="shared" si="123"/>
        <v>Low</v>
      </c>
      <c r="AD1335" t="str">
        <f t="shared" si="124"/>
        <v>Upsell premium bundle</v>
      </c>
      <c r="AE1335">
        <f t="shared" si="125"/>
        <v>17</v>
      </c>
    </row>
    <row r="1336" spans="1:31" x14ac:dyDescent="0.35">
      <c r="A1336" t="s">
        <v>1394</v>
      </c>
      <c r="B1336" s="4">
        <v>44895</v>
      </c>
      <c r="C1336" s="4">
        <v>46143</v>
      </c>
      <c r="D1336" t="s">
        <v>47</v>
      </c>
      <c r="E1336">
        <v>20</v>
      </c>
      <c r="F1336" t="s">
        <v>43</v>
      </c>
      <c r="G1336" t="s">
        <v>34</v>
      </c>
      <c r="H1336" t="s">
        <v>41</v>
      </c>
      <c r="I1336" t="s">
        <v>36</v>
      </c>
      <c r="J1336">
        <v>41</v>
      </c>
      <c r="K1336" s="5">
        <v>85.12</v>
      </c>
      <c r="L1336" s="5">
        <v>29.03</v>
      </c>
      <c r="M1336">
        <v>20</v>
      </c>
      <c r="N1336">
        <v>12</v>
      </c>
      <c r="O1336">
        <v>2</v>
      </c>
      <c r="P1336">
        <v>2</v>
      </c>
      <c r="Q1336">
        <v>24</v>
      </c>
      <c r="R1336">
        <v>3</v>
      </c>
      <c r="S1336">
        <v>2</v>
      </c>
      <c r="T1336">
        <v>1</v>
      </c>
      <c r="U1336">
        <v>0</v>
      </c>
      <c r="V1336">
        <v>0</v>
      </c>
      <c r="W1336" t="s">
        <v>45</v>
      </c>
      <c r="X1336">
        <v>22</v>
      </c>
      <c r="Y1336">
        <v>1</v>
      </c>
      <c r="Z1336">
        <f t="shared" si="120"/>
        <v>57</v>
      </c>
      <c r="AA1336">
        <f t="shared" si="121"/>
        <v>0.61971830985915488</v>
      </c>
      <c r="AB1336">
        <f t="shared" si="122"/>
        <v>36</v>
      </c>
      <c r="AC1336" t="str">
        <f t="shared" si="123"/>
        <v>Low</v>
      </c>
      <c r="AD1336" t="str">
        <f t="shared" si="124"/>
        <v>Upsell premium bundle</v>
      </c>
      <c r="AE1336">
        <f t="shared" si="125"/>
        <v>43</v>
      </c>
    </row>
    <row r="1337" spans="1:31" x14ac:dyDescent="0.35">
      <c r="A1337" t="s">
        <v>1395</v>
      </c>
      <c r="B1337" s="4">
        <v>45444</v>
      </c>
      <c r="C1337" s="4">
        <v>46143</v>
      </c>
      <c r="D1337" t="s">
        <v>47</v>
      </c>
      <c r="E1337">
        <v>26</v>
      </c>
      <c r="F1337" t="s">
        <v>33</v>
      </c>
      <c r="G1337" t="s">
        <v>85</v>
      </c>
      <c r="H1337" t="s">
        <v>41</v>
      </c>
      <c r="I1337" t="s">
        <v>36</v>
      </c>
      <c r="J1337">
        <v>23</v>
      </c>
      <c r="K1337" s="5">
        <v>265.06</v>
      </c>
      <c r="L1337" s="5">
        <v>322.2</v>
      </c>
      <c r="M1337">
        <v>33</v>
      </c>
      <c r="N1337">
        <v>17</v>
      </c>
      <c r="O1337">
        <v>8</v>
      </c>
      <c r="P1337">
        <v>5</v>
      </c>
      <c r="Q1337">
        <v>22</v>
      </c>
      <c r="R1337">
        <v>2</v>
      </c>
      <c r="S1337">
        <v>0</v>
      </c>
      <c r="T1337">
        <v>0</v>
      </c>
      <c r="U1337">
        <v>0</v>
      </c>
      <c r="V1337">
        <v>1</v>
      </c>
      <c r="W1337" t="s">
        <v>50</v>
      </c>
      <c r="X1337">
        <v>8</v>
      </c>
      <c r="Y1337">
        <v>1</v>
      </c>
      <c r="Z1337">
        <f t="shared" si="120"/>
        <v>92</v>
      </c>
      <c r="AA1337">
        <f t="shared" si="121"/>
        <v>1.0377358490566038</v>
      </c>
      <c r="AB1337">
        <f t="shared" si="122"/>
        <v>14</v>
      </c>
      <c r="AC1337" t="str">
        <f t="shared" si="123"/>
        <v>Low</v>
      </c>
      <c r="AD1337" t="str">
        <f t="shared" si="124"/>
        <v>Upsell premium bundle</v>
      </c>
      <c r="AE1337">
        <f t="shared" si="125"/>
        <v>8</v>
      </c>
    </row>
    <row r="1338" spans="1:31" x14ac:dyDescent="0.35">
      <c r="A1338" t="s">
        <v>1396</v>
      </c>
      <c r="B1338" s="4">
        <v>46082</v>
      </c>
      <c r="C1338" s="4">
        <v>46143</v>
      </c>
      <c r="D1338" t="s">
        <v>72</v>
      </c>
      <c r="E1338">
        <v>69</v>
      </c>
      <c r="F1338" t="s">
        <v>33</v>
      </c>
      <c r="G1338" t="s">
        <v>34</v>
      </c>
      <c r="H1338" t="s">
        <v>41</v>
      </c>
      <c r="I1338" t="s">
        <v>36</v>
      </c>
      <c r="J1338">
        <v>2</v>
      </c>
      <c r="K1338" s="5">
        <v>430.96</v>
      </c>
      <c r="L1338" s="5">
        <v>174.45</v>
      </c>
      <c r="M1338">
        <v>14</v>
      </c>
      <c r="N1338">
        <v>9</v>
      </c>
      <c r="O1338">
        <v>3</v>
      </c>
      <c r="P1338">
        <v>1</v>
      </c>
      <c r="Q1338">
        <v>2</v>
      </c>
      <c r="R1338">
        <v>1</v>
      </c>
      <c r="S1338">
        <v>0</v>
      </c>
      <c r="T1338">
        <v>1</v>
      </c>
      <c r="U1338">
        <v>1</v>
      </c>
      <c r="V1338">
        <v>0</v>
      </c>
      <c r="W1338" t="s">
        <v>37</v>
      </c>
      <c r="X1338">
        <v>48</v>
      </c>
      <c r="Y1338">
        <v>1</v>
      </c>
      <c r="Z1338">
        <f t="shared" si="120"/>
        <v>37</v>
      </c>
      <c r="AA1338">
        <f t="shared" si="121"/>
        <v>0.5</v>
      </c>
      <c r="AB1338">
        <f t="shared" si="122"/>
        <v>18</v>
      </c>
      <c r="AC1338" t="str">
        <f t="shared" si="123"/>
        <v>Low</v>
      </c>
      <c r="AD1338" t="str">
        <f t="shared" si="124"/>
        <v>Upsell premium bundle</v>
      </c>
      <c r="AE1338">
        <f t="shared" si="125"/>
        <v>63</v>
      </c>
    </row>
    <row r="1339" spans="1:31" x14ac:dyDescent="0.35">
      <c r="A1339" t="s">
        <v>1397</v>
      </c>
      <c r="B1339" s="4">
        <v>45383</v>
      </c>
      <c r="C1339" s="4">
        <v>46143</v>
      </c>
      <c r="D1339" t="s">
        <v>32</v>
      </c>
      <c r="E1339">
        <v>69</v>
      </c>
      <c r="F1339" t="s">
        <v>57</v>
      </c>
      <c r="G1339" t="s">
        <v>34</v>
      </c>
      <c r="H1339" t="s">
        <v>58</v>
      </c>
      <c r="I1339" t="s">
        <v>36</v>
      </c>
      <c r="J1339">
        <v>25</v>
      </c>
      <c r="K1339" s="5">
        <v>0</v>
      </c>
      <c r="L1339" s="5">
        <v>1169.4100000000001</v>
      </c>
      <c r="M1339">
        <v>24</v>
      </c>
      <c r="N1339">
        <v>16</v>
      </c>
      <c r="O1339">
        <v>5</v>
      </c>
      <c r="P1339">
        <v>1</v>
      </c>
      <c r="Q1339">
        <v>21</v>
      </c>
      <c r="R1339">
        <v>3</v>
      </c>
      <c r="S1339">
        <v>0</v>
      </c>
      <c r="T1339">
        <v>1</v>
      </c>
      <c r="U1339">
        <v>1</v>
      </c>
      <c r="V1339">
        <v>1</v>
      </c>
      <c r="W1339" t="s">
        <v>52</v>
      </c>
      <c r="X1339">
        <v>26</v>
      </c>
      <c r="Y1339">
        <v>0</v>
      </c>
      <c r="Z1339">
        <f t="shared" si="120"/>
        <v>79</v>
      </c>
      <c r="AA1339">
        <f t="shared" si="121"/>
        <v>0.81818181818181823</v>
      </c>
      <c r="AB1339">
        <f t="shared" si="122"/>
        <v>0</v>
      </c>
      <c r="AC1339" t="str">
        <f t="shared" si="123"/>
        <v>Low</v>
      </c>
      <c r="AD1339" t="str">
        <f t="shared" si="124"/>
        <v>Upsell premium bundle</v>
      </c>
      <c r="AE1339">
        <f t="shared" si="125"/>
        <v>21</v>
      </c>
    </row>
    <row r="1340" spans="1:31" x14ac:dyDescent="0.35">
      <c r="A1340" t="s">
        <v>1398</v>
      </c>
      <c r="B1340" s="4">
        <v>45780</v>
      </c>
      <c r="C1340" s="4">
        <v>46143</v>
      </c>
      <c r="D1340" t="s">
        <v>60</v>
      </c>
      <c r="E1340">
        <v>68</v>
      </c>
      <c r="F1340" t="s">
        <v>61</v>
      </c>
      <c r="G1340" t="s">
        <v>34</v>
      </c>
      <c r="H1340" t="s">
        <v>41</v>
      </c>
      <c r="I1340" t="s">
        <v>36</v>
      </c>
      <c r="J1340">
        <v>12</v>
      </c>
      <c r="K1340" s="5">
        <v>0</v>
      </c>
      <c r="L1340" s="5">
        <v>0</v>
      </c>
      <c r="M1340">
        <v>0</v>
      </c>
      <c r="N1340">
        <v>0</v>
      </c>
      <c r="O1340">
        <v>0</v>
      </c>
      <c r="P1340">
        <v>0</v>
      </c>
      <c r="Q1340">
        <v>9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52</v>
      </c>
      <c r="X1340">
        <v>74</v>
      </c>
      <c r="Y1340">
        <v>1</v>
      </c>
      <c r="Z1340">
        <f t="shared" si="120"/>
        <v>8</v>
      </c>
      <c r="AA1340">
        <f t="shared" si="121"/>
        <v>0.21428571428571427</v>
      </c>
      <c r="AB1340">
        <f t="shared" si="122"/>
        <v>18</v>
      </c>
      <c r="AC1340" t="str">
        <f t="shared" si="123"/>
        <v>Low</v>
      </c>
      <c r="AD1340" t="str">
        <f t="shared" si="124"/>
        <v>Upsell premium bundle</v>
      </c>
      <c r="AE1340">
        <f t="shared" si="125"/>
        <v>92</v>
      </c>
    </row>
    <row r="1341" spans="1:31" x14ac:dyDescent="0.35">
      <c r="A1341" t="s">
        <v>1399</v>
      </c>
      <c r="B1341" s="4">
        <v>45738</v>
      </c>
      <c r="C1341" s="4">
        <v>46143</v>
      </c>
      <c r="D1341" t="s">
        <v>32</v>
      </c>
      <c r="E1341">
        <v>25</v>
      </c>
      <c r="F1341" t="s">
        <v>43</v>
      </c>
      <c r="G1341" t="s">
        <v>40</v>
      </c>
      <c r="H1341" t="s">
        <v>41</v>
      </c>
      <c r="I1341" t="s">
        <v>49</v>
      </c>
      <c r="J1341">
        <v>13</v>
      </c>
      <c r="K1341" s="5">
        <v>80.17</v>
      </c>
      <c r="L1341" s="5">
        <v>12.97</v>
      </c>
      <c r="M1341">
        <v>20</v>
      </c>
      <c r="N1341">
        <v>7</v>
      </c>
      <c r="O1341">
        <v>3</v>
      </c>
      <c r="P1341">
        <v>2</v>
      </c>
      <c r="Q1341">
        <v>12</v>
      </c>
      <c r="R1341">
        <v>1</v>
      </c>
      <c r="S1341">
        <v>0</v>
      </c>
      <c r="T1341">
        <v>1</v>
      </c>
      <c r="U1341">
        <v>0</v>
      </c>
      <c r="V1341">
        <v>1</v>
      </c>
      <c r="W1341" t="s">
        <v>55</v>
      </c>
      <c r="X1341">
        <v>39</v>
      </c>
      <c r="Y1341">
        <v>0</v>
      </c>
      <c r="Z1341">
        <f t="shared" si="120"/>
        <v>51</v>
      </c>
      <c r="AA1341">
        <f t="shared" si="121"/>
        <v>0.7441860465116279</v>
      </c>
      <c r="AB1341">
        <f t="shared" si="122"/>
        <v>33</v>
      </c>
      <c r="AC1341" t="str">
        <f t="shared" si="123"/>
        <v>Low</v>
      </c>
      <c r="AD1341" t="str">
        <f t="shared" si="124"/>
        <v>Upsell premium bundle</v>
      </c>
      <c r="AE1341">
        <f t="shared" si="125"/>
        <v>49</v>
      </c>
    </row>
    <row r="1342" spans="1:31" x14ac:dyDescent="0.35">
      <c r="A1342" t="s">
        <v>1400</v>
      </c>
      <c r="B1342" s="4">
        <v>45304</v>
      </c>
      <c r="C1342" s="4">
        <v>46143</v>
      </c>
      <c r="D1342" t="s">
        <v>39</v>
      </c>
      <c r="E1342">
        <v>59</v>
      </c>
      <c r="F1342" t="s">
        <v>57</v>
      </c>
      <c r="G1342" t="s">
        <v>63</v>
      </c>
      <c r="H1342" t="s">
        <v>44</v>
      </c>
      <c r="I1342" t="s">
        <v>36</v>
      </c>
      <c r="J1342">
        <v>27</v>
      </c>
      <c r="K1342" s="5">
        <v>1922.88</v>
      </c>
      <c r="L1342" s="5">
        <v>866.66</v>
      </c>
      <c r="M1342">
        <v>36</v>
      </c>
      <c r="N1342">
        <v>10</v>
      </c>
      <c r="O1342">
        <v>2</v>
      </c>
      <c r="P1342">
        <v>0</v>
      </c>
      <c r="Q1342">
        <v>17</v>
      </c>
      <c r="R1342">
        <v>0</v>
      </c>
      <c r="S1342">
        <v>0</v>
      </c>
      <c r="T1342">
        <v>1</v>
      </c>
      <c r="U1342">
        <v>1</v>
      </c>
      <c r="V1342">
        <v>0</v>
      </c>
      <c r="W1342" t="s">
        <v>45</v>
      </c>
      <c r="X1342">
        <v>44</v>
      </c>
      <c r="Y1342">
        <v>0</v>
      </c>
      <c r="Z1342">
        <f t="shared" si="120"/>
        <v>72</v>
      </c>
      <c r="AA1342">
        <f t="shared" si="121"/>
        <v>0.92982456140350878</v>
      </c>
      <c r="AB1342">
        <f t="shared" si="122"/>
        <v>0</v>
      </c>
      <c r="AC1342" t="str">
        <f t="shared" si="123"/>
        <v>Low</v>
      </c>
      <c r="AD1342" t="str">
        <f t="shared" si="124"/>
        <v>Upsell premium bundle</v>
      </c>
      <c r="AE1342">
        <f t="shared" si="125"/>
        <v>28</v>
      </c>
    </row>
    <row r="1343" spans="1:31" x14ac:dyDescent="0.35">
      <c r="A1343" t="s">
        <v>1401</v>
      </c>
      <c r="B1343" s="4">
        <v>45610</v>
      </c>
      <c r="C1343" s="4">
        <v>46143</v>
      </c>
      <c r="D1343" t="s">
        <v>60</v>
      </c>
      <c r="E1343">
        <v>22</v>
      </c>
      <c r="F1343" t="s">
        <v>57</v>
      </c>
      <c r="G1343" t="s">
        <v>63</v>
      </c>
      <c r="H1343" t="s">
        <v>41</v>
      </c>
      <c r="I1343" t="s">
        <v>36</v>
      </c>
      <c r="J1343">
        <v>17</v>
      </c>
      <c r="K1343" s="5">
        <v>1535.26</v>
      </c>
      <c r="L1343" s="5">
        <v>0</v>
      </c>
      <c r="M1343">
        <v>28</v>
      </c>
      <c r="N1343">
        <v>9</v>
      </c>
      <c r="O1343">
        <v>6</v>
      </c>
      <c r="P1343">
        <v>1</v>
      </c>
      <c r="Q1343">
        <v>15</v>
      </c>
      <c r="R1343">
        <v>0</v>
      </c>
      <c r="S1343">
        <v>0</v>
      </c>
      <c r="T1343">
        <v>0</v>
      </c>
      <c r="U1343">
        <v>1</v>
      </c>
      <c r="V1343">
        <v>1</v>
      </c>
      <c r="W1343" t="s">
        <v>50</v>
      </c>
      <c r="X1343">
        <v>38</v>
      </c>
      <c r="Y1343">
        <v>0</v>
      </c>
      <c r="Z1343">
        <f t="shared" si="120"/>
        <v>74</v>
      </c>
      <c r="AA1343">
        <f t="shared" si="121"/>
        <v>0.91489361702127658</v>
      </c>
      <c r="AB1343">
        <f t="shared" si="122"/>
        <v>9</v>
      </c>
      <c r="AC1343" t="str">
        <f t="shared" si="123"/>
        <v>Low</v>
      </c>
      <c r="AD1343" t="str">
        <f t="shared" si="124"/>
        <v>Upsell premium bundle</v>
      </c>
      <c r="AE1343">
        <f t="shared" si="125"/>
        <v>26</v>
      </c>
    </row>
    <row r="1344" spans="1:31" x14ac:dyDescent="0.35">
      <c r="A1344" t="s">
        <v>1402</v>
      </c>
      <c r="B1344" s="4">
        <v>45556</v>
      </c>
      <c r="C1344" s="4">
        <v>46143</v>
      </c>
      <c r="D1344" t="s">
        <v>60</v>
      </c>
      <c r="E1344">
        <v>56</v>
      </c>
      <c r="F1344" t="s">
        <v>61</v>
      </c>
      <c r="G1344" t="s">
        <v>40</v>
      </c>
      <c r="H1344" t="s">
        <v>44</v>
      </c>
      <c r="I1344" t="s">
        <v>36</v>
      </c>
      <c r="J1344">
        <v>19</v>
      </c>
      <c r="K1344" s="5">
        <v>4803.05</v>
      </c>
      <c r="L1344" s="5">
        <v>1672.08</v>
      </c>
      <c r="M1344">
        <v>44</v>
      </c>
      <c r="N1344">
        <v>12</v>
      </c>
      <c r="O1344">
        <v>3</v>
      </c>
      <c r="P1344">
        <v>7</v>
      </c>
      <c r="Q1344">
        <v>42</v>
      </c>
      <c r="R1344">
        <v>0</v>
      </c>
      <c r="S1344">
        <v>0</v>
      </c>
      <c r="T1344">
        <v>1</v>
      </c>
      <c r="U1344">
        <v>0</v>
      </c>
      <c r="V1344">
        <v>1</v>
      </c>
      <c r="W1344" t="s">
        <v>37</v>
      </c>
      <c r="X1344">
        <v>51</v>
      </c>
      <c r="Y1344">
        <v>0</v>
      </c>
      <c r="Z1344">
        <f t="shared" si="120"/>
        <v>100</v>
      </c>
      <c r="AA1344">
        <f t="shared" si="121"/>
        <v>1.7551020408163265</v>
      </c>
      <c r="AB1344">
        <f t="shared" si="122"/>
        <v>0</v>
      </c>
      <c r="AC1344" t="str">
        <f t="shared" si="123"/>
        <v>Low</v>
      </c>
      <c r="AD1344" t="str">
        <f t="shared" si="124"/>
        <v>Upsell premium bundle</v>
      </c>
      <c r="AE1344">
        <f t="shared" si="125"/>
        <v>0</v>
      </c>
    </row>
    <row r="1345" spans="1:31" x14ac:dyDescent="0.35">
      <c r="A1345" t="s">
        <v>1403</v>
      </c>
      <c r="B1345" s="4">
        <v>45564</v>
      </c>
      <c r="C1345" s="4">
        <v>46143</v>
      </c>
      <c r="D1345" t="s">
        <v>66</v>
      </c>
      <c r="E1345">
        <v>22</v>
      </c>
      <c r="F1345" t="s">
        <v>61</v>
      </c>
      <c r="G1345" t="s">
        <v>48</v>
      </c>
      <c r="H1345" t="s">
        <v>41</v>
      </c>
      <c r="I1345" t="s">
        <v>36</v>
      </c>
      <c r="J1345">
        <v>19</v>
      </c>
      <c r="K1345" s="5">
        <v>0</v>
      </c>
      <c r="L1345" s="5">
        <v>3706.17</v>
      </c>
      <c r="M1345">
        <v>24</v>
      </c>
      <c r="N1345">
        <v>10</v>
      </c>
      <c r="O1345">
        <v>3</v>
      </c>
      <c r="P1345">
        <v>4</v>
      </c>
      <c r="Q1345">
        <v>19</v>
      </c>
      <c r="R1345">
        <v>2</v>
      </c>
      <c r="S1345">
        <v>0</v>
      </c>
      <c r="T1345">
        <v>1</v>
      </c>
      <c r="U1345">
        <v>0</v>
      </c>
      <c r="V1345">
        <v>0</v>
      </c>
      <c r="W1345" t="s">
        <v>45</v>
      </c>
      <c r="X1345">
        <v>20</v>
      </c>
      <c r="Y1345">
        <v>1</v>
      </c>
      <c r="Z1345">
        <f t="shared" si="120"/>
        <v>60</v>
      </c>
      <c r="AA1345">
        <f t="shared" si="121"/>
        <v>0.87755102040816324</v>
      </c>
      <c r="AB1345">
        <f t="shared" si="122"/>
        <v>11</v>
      </c>
      <c r="AC1345" t="str">
        <f t="shared" si="123"/>
        <v>Low</v>
      </c>
      <c r="AD1345" t="str">
        <f t="shared" si="124"/>
        <v>Upsell premium bundle</v>
      </c>
      <c r="AE1345">
        <f t="shared" si="125"/>
        <v>40</v>
      </c>
    </row>
    <row r="1346" spans="1:31" x14ac:dyDescent="0.35">
      <c r="A1346" t="s">
        <v>1404</v>
      </c>
      <c r="B1346" s="4">
        <v>45998</v>
      </c>
      <c r="C1346" s="4">
        <v>46143</v>
      </c>
      <c r="D1346" t="s">
        <v>39</v>
      </c>
      <c r="E1346">
        <v>42</v>
      </c>
      <c r="F1346" t="s">
        <v>57</v>
      </c>
      <c r="G1346" t="s">
        <v>63</v>
      </c>
      <c r="H1346" t="s">
        <v>41</v>
      </c>
      <c r="I1346" t="s">
        <v>36</v>
      </c>
      <c r="J1346">
        <v>4</v>
      </c>
      <c r="K1346" s="5">
        <v>670.94</v>
      </c>
      <c r="L1346" s="5">
        <v>0</v>
      </c>
      <c r="M1346">
        <v>35</v>
      </c>
      <c r="N1346">
        <v>10</v>
      </c>
      <c r="O1346">
        <v>4</v>
      </c>
      <c r="P1346">
        <v>4</v>
      </c>
      <c r="Q1346">
        <v>16</v>
      </c>
      <c r="R1346">
        <v>1</v>
      </c>
      <c r="S1346">
        <v>0</v>
      </c>
      <c r="T1346">
        <v>1</v>
      </c>
      <c r="U1346">
        <v>0</v>
      </c>
      <c r="V1346">
        <v>1</v>
      </c>
      <c r="W1346" t="s">
        <v>45</v>
      </c>
      <c r="X1346">
        <v>68</v>
      </c>
      <c r="Y1346">
        <v>0</v>
      </c>
      <c r="Z1346">
        <f t="shared" ref="Z1346:Z1409" si="126">MIN(100,ROUND((M1346*1.1+N1346*0.7+O1346*1.2+P1346*1.4+Q1346*0.9+U1346*8+V1346*7),0))</f>
        <v>77</v>
      </c>
      <c r="AA1346">
        <f t="shared" ref="AA1346:AA1409" si="127">IFERROR((M1346+Q1346)/(30+J1346),0)</f>
        <v>1.5</v>
      </c>
      <c r="AB1346">
        <f t="shared" ref="AB1346:AB1409" si="128">ROUND(MIN(100,MAX(0,60-Z1346*0.4-R1346*1.5+S1346*8-IF(L1346&gt;1500,10,0)-X1346*0.5+IF(I1346="Completed",-8,8)+IF(H1346="Free",6,-4))),0)</f>
        <v>0</v>
      </c>
      <c r="AC1346" t="str">
        <f t="shared" ref="AC1346:AC1409" si="129">IF(AB1346&gt;=70,"High",IF(AB1346&gt;=40,"Medium","Low"))</f>
        <v>Low</v>
      </c>
      <c r="AD1346" t="str">
        <f t="shared" ref="AD1346:AD1409" si="130">IF(AC1346="High",IF(Q1346&lt;5,"Re-engage with app usage offer",IF(K1346&lt;100,"Deposit incentive","Retention call")),IF(AC1346="Medium","Nudge core feature adoption","Upsell premium bundle"))</f>
        <v>Upsell premium bundle</v>
      </c>
      <c r="AE1346">
        <f t="shared" ref="AE1346:AE1409" si="131">100-Z1346</f>
        <v>23</v>
      </c>
    </row>
    <row r="1347" spans="1:31" x14ac:dyDescent="0.35">
      <c r="A1347" t="s">
        <v>1405</v>
      </c>
      <c r="B1347" s="4">
        <v>46097</v>
      </c>
      <c r="C1347" s="4">
        <v>46143</v>
      </c>
      <c r="D1347" t="s">
        <v>72</v>
      </c>
      <c r="E1347">
        <v>54</v>
      </c>
      <c r="F1347" t="s">
        <v>33</v>
      </c>
      <c r="G1347" t="s">
        <v>85</v>
      </c>
      <c r="H1347" t="s">
        <v>41</v>
      </c>
      <c r="I1347" t="s">
        <v>36</v>
      </c>
      <c r="J1347">
        <v>1</v>
      </c>
      <c r="K1347" s="5">
        <v>273.55</v>
      </c>
      <c r="L1347" s="5">
        <v>381.52</v>
      </c>
      <c r="M1347">
        <v>22</v>
      </c>
      <c r="N1347">
        <v>8</v>
      </c>
      <c r="O1347">
        <v>3</v>
      </c>
      <c r="P1347">
        <v>4</v>
      </c>
      <c r="Q1347">
        <v>2</v>
      </c>
      <c r="R1347">
        <v>2</v>
      </c>
      <c r="S1347">
        <v>0</v>
      </c>
      <c r="T1347">
        <v>1</v>
      </c>
      <c r="U1347">
        <v>0</v>
      </c>
      <c r="V1347">
        <v>0</v>
      </c>
      <c r="W1347" t="s">
        <v>37</v>
      </c>
      <c r="X1347">
        <v>8</v>
      </c>
      <c r="Y1347">
        <v>0</v>
      </c>
      <c r="Z1347">
        <f t="shared" si="126"/>
        <v>41</v>
      </c>
      <c r="AA1347">
        <f t="shared" si="127"/>
        <v>0.77419354838709675</v>
      </c>
      <c r="AB1347">
        <f t="shared" si="128"/>
        <v>35</v>
      </c>
      <c r="AC1347" t="str">
        <f t="shared" si="129"/>
        <v>Low</v>
      </c>
      <c r="AD1347" t="str">
        <f t="shared" si="130"/>
        <v>Upsell premium bundle</v>
      </c>
      <c r="AE1347">
        <f t="shared" si="131"/>
        <v>59</v>
      </c>
    </row>
    <row r="1348" spans="1:31" x14ac:dyDescent="0.35">
      <c r="A1348" t="s">
        <v>1406</v>
      </c>
      <c r="B1348" s="4">
        <v>45269</v>
      </c>
      <c r="C1348" s="4">
        <v>46143</v>
      </c>
      <c r="D1348" t="s">
        <v>32</v>
      </c>
      <c r="E1348">
        <v>27</v>
      </c>
      <c r="F1348" t="s">
        <v>57</v>
      </c>
      <c r="G1348" t="s">
        <v>40</v>
      </c>
      <c r="H1348" t="s">
        <v>41</v>
      </c>
      <c r="I1348" t="s">
        <v>36</v>
      </c>
      <c r="J1348">
        <v>29</v>
      </c>
      <c r="K1348" s="5">
        <v>0</v>
      </c>
      <c r="L1348" s="5">
        <v>219.36</v>
      </c>
      <c r="M1348">
        <v>0</v>
      </c>
      <c r="N1348">
        <v>0</v>
      </c>
      <c r="O1348">
        <v>0</v>
      </c>
      <c r="P1348">
        <v>0</v>
      </c>
      <c r="Q1348">
        <v>8</v>
      </c>
      <c r="R1348">
        <v>1</v>
      </c>
      <c r="S1348">
        <v>1</v>
      </c>
      <c r="T1348">
        <v>0</v>
      </c>
      <c r="U1348">
        <v>0</v>
      </c>
      <c r="V1348">
        <v>0</v>
      </c>
      <c r="W1348" t="s">
        <v>37</v>
      </c>
      <c r="X1348">
        <v>28</v>
      </c>
      <c r="Y1348">
        <v>1</v>
      </c>
      <c r="Z1348">
        <f t="shared" si="126"/>
        <v>7</v>
      </c>
      <c r="AA1348">
        <f t="shared" si="127"/>
        <v>0.13559322033898305</v>
      </c>
      <c r="AB1348">
        <f t="shared" si="128"/>
        <v>48</v>
      </c>
      <c r="AC1348" t="str">
        <f t="shared" si="129"/>
        <v>Medium</v>
      </c>
      <c r="AD1348" t="str">
        <f t="shared" si="130"/>
        <v>Nudge core feature adoption</v>
      </c>
      <c r="AE1348">
        <f t="shared" si="131"/>
        <v>93</v>
      </c>
    </row>
    <row r="1349" spans="1:31" x14ac:dyDescent="0.35">
      <c r="A1349" t="s">
        <v>1407</v>
      </c>
      <c r="B1349" s="4">
        <v>45396</v>
      </c>
      <c r="C1349" s="4">
        <v>46143</v>
      </c>
      <c r="D1349" t="s">
        <v>32</v>
      </c>
      <c r="E1349">
        <v>33</v>
      </c>
      <c r="F1349" t="s">
        <v>57</v>
      </c>
      <c r="G1349" t="s">
        <v>85</v>
      </c>
      <c r="H1349" t="s">
        <v>41</v>
      </c>
      <c r="I1349" t="s">
        <v>36</v>
      </c>
      <c r="J1349">
        <v>24</v>
      </c>
      <c r="K1349" s="5">
        <v>1088.2</v>
      </c>
      <c r="L1349" s="5">
        <v>45.01</v>
      </c>
      <c r="M1349">
        <v>23</v>
      </c>
      <c r="N1349">
        <v>7</v>
      </c>
      <c r="O1349">
        <v>3</v>
      </c>
      <c r="P1349">
        <v>0</v>
      </c>
      <c r="Q1349">
        <v>19</v>
      </c>
      <c r="R1349">
        <v>0</v>
      </c>
      <c r="S1349">
        <v>1</v>
      </c>
      <c r="T1349">
        <v>1</v>
      </c>
      <c r="U1349">
        <v>0</v>
      </c>
      <c r="V1349">
        <v>0</v>
      </c>
      <c r="W1349" t="s">
        <v>50</v>
      </c>
      <c r="X1349">
        <v>84</v>
      </c>
      <c r="Y1349">
        <v>0</v>
      </c>
      <c r="Z1349">
        <f t="shared" si="126"/>
        <v>51</v>
      </c>
      <c r="AA1349">
        <f t="shared" si="127"/>
        <v>0.77777777777777779</v>
      </c>
      <c r="AB1349">
        <f t="shared" si="128"/>
        <v>4</v>
      </c>
      <c r="AC1349" t="str">
        <f t="shared" si="129"/>
        <v>Low</v>
      </c>
      <c r="AD1349" t="str">
        <f t="shared" si="130"/>
        <v>Upsell premium bundle</v>
      </c>
      <c r="AE1349">
        <f t="shared" si="131"/>
        <v>49</v>
      </c>
    </row>
    <row r="1350" spans="1:31" x14ac:dyDescent="0.35">
      <c r="A1350" t="s">
        <v>1408</v>
      </c>
      <c r="B1350" s="4">
        <v>46113</v>
      </c>
      <c r="C1350" s="4">
        <v>46143</v>
      </c>
      <c r="D1350" t="s">
        <v>32</v>
      </c>
      <c r="E1350">
        <v>62</v>
      </c>
      <c r="F1350" t="s">
        <v>33</v>
      </c>
      <c r="G1350" t="s">
        <v>85</v>
      </c>
      <c r="H1350" t="s">
        <v>41</v>
      </c>
      <c r="I1350" t="s">
        <v>36</v>
      </c>
      <c r="J1350">
        <v>1</v>
      </c>
      <c r="K1350" s="5">
        <v>716.17</v>
      </c>
      <c r="L1350" s="5">
        <v>295.69</v>
      </c>
      <c r="M1350">
        <v>43</v>
      </c>
      <c r="N1350">
        <v>16</v>
      </c>
      <c r="O1350">
        <v>7</v>
      </c>
      <c r="P1350">
        <v>6</v>
      </c>
      <c r="Q1350">
        <v>29</v>
      </c>
      <c r="R1350">
        <v>2</v>
      </c>
      <c r="S1350">
        <v>1</v>
      </c>
      <c r="T1350">
        <v>0</v>
      </c>
      <c r="U1350">
        <v>0</v>
      </c>
      <c r="V1350">
        <v>1</v>
      </c>
      <c r="W1350" t="s">
        <v>50</v>
      </c>
      <c r="X1350">
        <v>32</v>
      </c>
      <c r="Y1350">
        <v>0</v>
      </c>
      <c r="Z1350">
        <f t="shared" si="126"/>
        <v>100</v>
      </c>
      <c r="AA1350">
        <f t="shared" si="127"/>
        <v>2.3225806451612905</v>
      </c>
      <c r="AB1350">
        <f t="shared" si="128"/>
        <v>7</v>
      </c>
      <c r="AC1350" t="str">
        <f t="shared" si="129"/>
        <v>Low</v>
      </c>
      <c r="AD1350" t="str">
        <f t="shared" si="130"/>
        <v>Upsell premium bundle</v>
      </c>
      <c r="AE1350">
        <f t="shared" si="131"/>
        <v>0</v>
      </c>
    </row>
    <row r="1351" spans="1:31" x14ac:dyDescent="0.35">
      <c r="A1351" t="s">
        <v>1409</v>
      </c>
      <c r="B1351" s="4">
        <v>45558</v>
      </c>
      <c r="C1351" s="4">
        <v>46143</v>
      </c>
      <c r="D1351" t="s">
        <v>47</v>
      </c>
      <c r="E1351">
        <v>34</v>
      </c>
      <c r="F1351" t="s">
        <v>57</v>
      </c>
      <c r="G1351" t="s">
        <v>63</v>
      </c>
      <c r="H1351" t="s">
        <v>44</v>
      </c>
      <c r="I1351" t="s">
        <v>36</v>
      </c>
      <c r="J1351">
        <v>19</v>
      </c>
      <c r="K1351" s="5">
        <v>393.45</v>
      </c>
      <c r="L1351" s="5">
        <v>511.64</v>
      </c>
      <c r="M1351">
        <v>42</v>
      </c>
      <c r="N1351">
        <v>20</v>
      </c>
      <c r="O1351">
        <v>8</v>
      </c>
      <c r="P1351">
        <v>8</v>
      </c>
      <c r="Q1351">
        <v>32</v>
      </c>
      <c r="R1351">
        <v>1</v>
      </c>
      <c r="S1351">
        <v>0</v>
      </c>
      <c r="T1351">
        <v>1</v>
      </c>
      <c r="U1351">
        <v>1</v>
      </c>
      <c r="V1351">
        <v>0</v>
      </c>
      <c r="W1351" t="s">
        <v>45</v>
      </c>
      <c r="X1351">
        <v>42</v>
      </c>
      <c r="Y1351">
        <v>0</v>
      </c>
      <c r="Z1351">
        <f t="shared" si="126"/>
        <v>100</v>
      </c>
      <c r="AA1351">
        <f t="shared" si="127"/>
        <v>1.510204081632653</v>
      </c>
      <c r="AB1351">
        <f t="shared" si="128"/>
        <v>0</v>
      </c>
      <c r="AC1351" t="str">
        <f t="shared" si="129"/>
        <v>Low</v>
      </c>
      <c r="AD1351" t="str">
        <f t="shared" si="130"/>
        <v>Upsell premium bundle</v>
      </c>
      <c r="AE1351">
        <f t="shared" si="131"/>
        <v>0</v>
      </c>
    </row>
    <row r="1352" spans="1:31" x14ac:dyDescent="0.35">
      <c r="A1352" t="s">
        <v>1410</v>
      </c>
      <c r="B1352" s="4">
        <v>45020</v>
      </c>
      <c r="C1352" s="4">
        <v>46143</v>
      </c>
      <c r="D1352" t="s">
        <v>72</v>
      </c>
      <c r="E1352">
        <v>32</v>
      </c>
      <c r="F1352" t="s">
        <v>33</v>
      </c>
      <c r="G1352" t="s">
        <v>63</v>
      </c>
      <c r="H1352" t="s">
        <v>41</v>
      </c>
      <c r="I1352" t="s">
        <v>36</v>
      </c>
      <c r="J1352">
        <v>37</v>
      </c>
      <c r="K1352" s="5">
        <v>324.54000000000002</v>
      </c>
      <c r="L1352" s="5">
        <v>67.52</v>
      </c>
      <c r="M1352">
        <v>9</v>
      </c>
      <c r="N1352">
        <v>3</v>
      </c>
      <c r="O1352">
        <v>1</v>
      </c>
      <c r="P1352">
        <v>0</v>
      </c>
      <c r="Q1352">
        <v>19</v>
      </c>
      <c r="R1352">
        <v>0</v>
      </c>
      <c r="S1352">
        <v>1</v>
      </c>
      <c r="T1352">
        <v>1</v>
      </c>
      <c r="U1352">
        <v>1</v>
      </c>
      <c r="V1352">
        <v>0</v>
      </c>
      <c r="W1352" t="s">
        <v>55</v>
      </c>
      <c r="X1352">
        <v>-4</v>
      </c>
      <c r="Y1352">
        <v>1</v>
      </c>
      <c r="Z1352">
        <f t="shared" si="126"/>
        <v>38</v>
      </c>
      <c r="AA1352">
        <f t="shared" si="127"/>
        <v>0.41791044776119401</v>
      </c>
      <c r="AB1352">
        <f t="shared" si="128"/>
        <v>53</v>
      </c>
      <c r="AC1352" t="str">
        <f t="shared" si="129"/>
        <v>Medium</v>
      </c>
      <c r="AD1352" t="str">
        <f t="shared" si="130"/>
        <v>Nudge core feature adoption</v>
      </c>
      <c r="AE1352">
        <f t="shared" si="131"/>
        <v>62</v>
      </c>
    </row>
    <row r="1353" spans="1:31" x14ac:dyDescent="0.35">
      <c r="A1353" t="s">
        <v>1411</v>
      </c>
      <c r="B1353" s="4">
        <v>45771</v>
      </c>
      <c r="C1353" s="4">
        <v>46143</v>
      </c>
      <c r="D1353" t="s">
        <v>72</v>
      </c>
      <c r="E1353">
        <v>56</v>
      </c>
      <c r="F1353" t="s">
        <v>57</v>
      </c>
      <c r="G1353" t="s">
        <v>67</v>
      </c>
      <c r="H1353" t="s">
        <v>41</v>
      </c>
      <c r="I1353" t="s">
        <v>54</v>
      </c>
      <c r="J1353">
        <v>12</v>
      </c>
      <c r="K1353" s="5">
        <v>1554.41</v>
      </c>
      <c r="L1353" s="5">
        <v>1036.02</v>
      </c>
      <c r="M1353">
        <v>39</v>
      </c>
      <c r="N1353">
        <v>14</v>
      </c>
      <c r="O1353">
        <v>5</v>
      </c>
      <c r="P1353">
        <v>6</v>
      </c>
      <c r="Q1353">
        <v>25</v>
      </c>
      <c r="R1353">
        <v>4</v>
      </c>
      <c r="S1353">
        <v>2</v>
      </c>
      <c r="T1353">
        <v>1</v>
      </c>
      <c r="U1353">
        <v>1</v>
      </c>
      <c r="V1353">
        <v>1</v>
      </c>
      <c r="W1353" t="s">
        <v>50</v>
      </c>
      <c r="X1353">
        <v>-3</v>
      </c>
      <c r="Y1353">
        <v>1</v>
      </c>
      <c r="Z1353">
        <f t="shared" si="126"/>
        <v>100</v>
      </c>
      <c r="AA1353">
        <f t="shared" si="127"/>
        <v>1.5238095238095237</v>
      </c>
      <c r="AB1353">
        <f t="shared" si="128"/>
        <v>46</v>
      </c>
      <c r="AC1353" t="str">
        <f t="shared" si="129"/>
        <v>Medium</v>
      </c>
      <c r="AD1353" t="str">
        <f t="shared" si="130"/>
        <v>Nudge core feature adoption</v>
      </c>
      <c r="AE1353">
        <f t="shared" si="131"/>
        <v>0</v>
      </c>
    </row>
    <row r="1354" spans="1:31" x14ac:dyDescent="0.35">
      <c r="A1354" t="s">
        <v>1412</v>
      </c>
      <c r="B1354" s="4">
        <v>45064</v>
      </c>
      <c r="C1354" s="4">
        <v>46143</v>
      </c>
      <c r="D1354" t="s">
        <v>72</v>
      </c>
      <c r="E1354">
        <v>27</v>
      </c>
      <c r="F1354" t="s">
        <v>57</v>
      </c>
      <c r="G1354" t="s">
        <v>63</v>
      </c>
      <c r="H1354" t="s">
        <v>41</v>
      </c>
      <c r="I1354" t="s">
        <v>36</v>
      </c>
      <c r="J1354">
        <v>35</v>
      </c>
      <c r="K1354" s="5">
        <v>1647.42</v>
      </c>
      <c r="L1354" s="5">
        <v>1093.18</v>
      </c>
      <c r="M1354">
        <v>23</v>
      </c>
      <c r="N1354">
        <v>12</v>
      </c>
      <c r="O1354">
        <v>4</v>
      </c>
      <c r="P1354">
        <v>2</v>
      </c>
      <c r="Q1354">
        <v>7</v>
      </c>
      <c r="R1354">
        <v>0</v>
      </c>
      <c r="S1354">
        <v>2</v>
      </c>
      <c r="T1354">
        <v>0</v>
      </c>
      <c r="U1354">
        <v>1</v>
      </c>
      <c r="V1354">
        <v>1</v>
      </c>
      <c r="W1354" t="s">
        <v>52</v>
      </c>
      <c r="X1354">
        <v>27</v>
      </c>
      <c r="Y1354">
        <v>1</v>
      </c>
      <c r="Z1354">
        <f t="shared" si="126"/>
        <v>63</v>
      </c>
      <c r="AA1354">
        <f t="shared" si="127"/>
        <v>0.46153846153846156</v>
      </c>
      <c r="AB1354">
        <f t="shared" si="128"/>
        <v>35</v>
      </c>
      <c r="AC1354" t="str">
        <f t="shared" si="129"/>
        <v>Low</v>
      </c>
      <c r="AD1354" t="str">
        <f t="shared" si="130"/>
        <v>Upsell premium bundle</v>
      </c>
      <c r="AE1354">
        <f t="shared" si="131"/>
        <v>37</v>
      </c>
    </row>
    <row r="1355" spans="1:31" x14ac:dyDescent="0.35">
      <c r="A1355" t="s">
        <v>1413</v>
      </c>
      <c r="B1355" s="4">
        <v>45430</v>
      </c>
      <c r="C1355" s="4">
        <v>46143</v>
      </c>
      <c r="D1355" t="s">
        <v>39</v>
      </c>
      <c r="E1355">
        <v>24</v>
      </c>
      <c r="F1355" t="s">
        <v>57</v>
      </c>
      <c r="G1355" t="s">
        <v>34</v>
      </c>
      <c r="H1355" t="s">
        <v>58</v>
      </c>
      <c r="I1355" t="s">
        <v>36</v>
      </c>
      <c r="J1355">
        <v>23</v>
      </c>
      <c r="K1355" s="5">
        <v>1696.14</v>
      </c>
      <c r="L1355" s="5">
        <v>730.35</v>
      </c>
      <c r="M1355">
        <v>20</v>
      </c>
      <c r="N1355">
        <v>13</v>
      </c>
      <c r="O1355">
        <v>5</v>
      </c>
      <c r="P1355">
        <v>1</v>
      </c>
      <c r="Q1355">
        <v>15</v>
      </c>
      <c r="R1355">
        <v>0</v>
      </c>
      <c r="S1355">
        <v>0</v>
      </c>
      <c r="T1355">
        <v>0</v>
      </c>
      <c r="U1355">
        <v>0</v>
      </c>
      <c r="V1355">
        <v>1</v>
      </c>
      <c r="W1355" t="s">
        <v>52</v>
      </c>
      <c r="X1355">
        <v>27</v>
      </c>
      <c r="Y1355">
        <v>0</v>
      </c>
      <c r="Z1355">
        <f t="shared" si="126"/>
        <v>59</v>
      </c>
      <c r="AA1355">
        <f t="shared" si="127"/>
        <v>0.660377358490566</v>
      </c>
      <c r="AB1355">
        <f t="shared" si="128"/>
        <v>11</v>
      </c>
      <c r="AC1355" t="str">
        <f t="shared" si="129"/>
        <v>Low</v>
      </c>
      <c r="AD1355" t="str">
        <f t="shared" si="130"/>
        <v>Upsell premium bundle</v>
      </c>
      <c r="AE1355">
        <f t="shared" si="131"/>
        <v>41</v>
      </c>
    </row>
    <row r="1356" spans="1:31" x14ac:dyDescent="0.35">
      <c r="A1356" t="s">
        <v>1414</v>
      </c>
      <c r="B1356" s="4">
        <v>45276</v>
      </c>
      <c r="C1356" s="4">
        <v>46143</v>
      </c>
      <c r="D1356" t="s">
        <v>39</v>
      </c>
      <c r="E1356">
        <v>65</v>
      </c>
      <c r="F1356" t="s">
        <v>57</v>
      </c>
      <c r="G1356" t="s">
        <v>34</v>
      </c>
      <c r="H1356" t="s">
        <v>41</v>
      </c>
      <c r="I1356" t="s">
        <v>36</v>
      </c>
      <c r="J1356">
        <v>28</v>
      </c>
      <c r="K1356" s="5">
        <v>858.35</v>
      </c>
      <c r="L1356" s="5">
        <v>45.9</v>
      </c>
      <c r="M1356">
        <v>36</v>
      </c>
      <c r="N1356">
        <v>25</v>
      </c>
      <c r="O1356">
        <v>5</v>
      </c>
      <c r="P1356">
        <v>2</v>
      </c>
      <c r="Q1356">
        <v>29</v>
      </c>
      <c r="R1356">
        <v>3</v>
      </c>
      <c r="S1356">
        <v>1</v>
      </c>
      <c r="T1356">
        <v>0</v>
      </c>
      <c r="U1356">
        <v>0</v>
      </c>
      <c r="V1356">
        <v>0</v>
      </c>
      <c r="W1356" t="s">
        <v>55</v>
      </c>
      <c r="X1356">
        <v>42</v>
      </c>
      <c r="Y1356">
        <v>1</v>
      </c>
      <c r="Z1356">
        <f t="shared" si="126"/>
        <v>92</v>
      </c>
      <c r="AA1356">
        <f t="shared" si="127"/>
        <v>1.1206896551724137</v>
      </c>
      <c r="AB1356">
        <f t="shared" si="128"/>
        <v>4</v>
      </c>
      <c r="AC1356" t="str">
        <f t="shared" si="129"/>
        <v>Low</v>
      </c>
      <c r="AD1356" t="str">
        <f t="shared" si="130"/>
        <v>Upsell premium bundle</v>
      </c>
      <c r="AE1356">
        <f t="shared" si="131"/>
        <v>8</v>
      </c>
    </row>
    <row r="1357" spans="1:31" x14ac:dyDescent="0.35">
      <c r="A1357" t="s">
        <v>1415</v>
      </c>
      <c r="B1357" s="4">
        <v>46122</v>
      </c>
      <c r="C1357" s="4">
        <v>46143</v>
      </c>
      <c r="D1357" t="s">
        <v>32</v>
      </c>
      <c r="E1357">
        <v>44</v>
      </c>
      <c r="F1357" t="s">
        <v>57</v>
      </c>
      <c r="G1357" t="s">
        <v>63</v>
      </c>
      <c r="H1357" t="s">
        <v>44</v>
      </c>
      <c r="I1357" t="s">
        <v>36</v>
      </c>
      <c r="J1357">
        <v>1</v>
      </c>
      <c r="K1357" s="5">
        <v>1998.86</v>
      </c>
      <c r="L1357" s="5">
        <v>1148.47</v>
      </c>
      <c r="M1357">
        <v>44</v>
      </c>
      <c r="N1357">
        <v>20</v>
      </c>
      <c r="O1357">
        <v>2</v>
      </c>
      <c r="P1357">
        <v>0</v>
      </c>
      <c r="Q1357">
        <v>27</v>
      </c>
      <c r="R1357">
        <v>4</v>
      </c>
      <c r="S1357">
        <v>2</v>
      </c>
      <c r="T1357">
        <v>0</v>
      </c>
      <c r="U1357">
        <v>1</v>
      </c>
      <c r="V1357">
        <v>1</v>
      </c>
      <c r="W1357" t="s">
        <v>52</v>
      </c>
      <c r="X1357">
        <v>7</v>
      </c>
      <c r="Y1357">
        <v>0</v>
      </c>
      <c r="Z1357">
        <f t="shared" si="126"/>
        <v>100</v>
      </c>
      <c r="AA1357">
        <f t="shared" si="127"/>
        <v>2.2903225806451615</v>
      </c>
      <c r="AB1357">
        <f t="shared" si="128"/>
        <v>15</v>
      </c>
      <c r="AC1357" t="str">
        <f t="shared" si="129"/>
        <v>Low</v>
      </c>
      <c r="AD1357" t="str">
        <f t="shared" si="130"/>
        <v>Upsell premium bundle</v>
      </c>
      <c r="AE1357">
        <f t="shared" si="131"/>
        <v>0</v>
      </c>
    </row>
    <row r="1358" spans="1:31" x14ac:dyDescent="0.35">
      <c r="A1358" t="s">
        <v>1416</v>
      </c>
      <c r="B1358" s="4">
        <v>44944</v>
      </c>
      <c r="C1358" s="4">
        <v>46143</v>
      </c>
      <c r="D1358" t="s">
        <v>47</v>
      </c>
      <c r="E1358">
        <v>39</v>
      </c>
      <c r="F1358" t="s">
        <v>33</v>
      </c>
      <c r="G1358" t="s">
        <v>40</v>
      </c>
      <c r="H1358" t="s">
        <v>41</v>
      </c>
      <c r="I1358" t="s">
        <v>36</v>
      </c>
      <c r="J1358">
        <v>39</v>
      </c>
      <c r="K1358" s="5">
        <v>197.98</v>
      </c>
      <c r="L1358" s="5">
        <v>258.69</v>
      </c>
      <c r="M1358">
        <v>11</v>
      </c>
      <c r="N1358">
        <v>2</v>
      </c>
      <c r="O1358">
        <v>0</v>
      </c>
      <c r="P1358">
        <v>0</v>
      </c>
      <c r="Q1358">
        <v>8</v>
      </c>
      <c r="R1358">
        <v>1</v>
      </c>
      <c r="S1358">
        <v>0</v>
      </c>
      <c r="T1358">
        <v>1</v>
      </c>
      <c r="U1358">
        <v>1</v>
      </c>
      <c r="V1358">
        <v>1</v>
      </c>
      <c r="W1358" t="s">
        <v>50</v>
      </c>
      <c r="X1358">
        <v>-11</v>
      </c>
      <c r="Y1358">
        <v>1</v>
      </c>
      <c r="Z1358">
        <f t="shared" si="126"/>
        <v>36</v>
      </c>
      <c r="AA1358">
        <f t="shared" si="127"/>
        <v>0.27536231884057971</v>
      </c>
      <c r="AB1358">
        <f t="shared" si="128"/>
        <v>48</v>
      </c>
      <c r="AC1358" t="str">
        <f t="shared" si="129"/>
        <v>Medium</v>
      </c>
      <c r="AD1358" t="str">
        <f t="shared" si="130"/>
        <v>Nudge core feature adoption</v>
      </c>
      <c r="AE1358">
        <f t="shared" si="131"/>
        <v>64</v>
      </c>
    </row>
    <row r="1359" spans="1:31" x14ac:dyDescent="0.35">
      <c r="A1359" t="s">
        <v>1417</v>
      </c>
      <c r="B1359" s="4">
        <v>44817</v>
      </c>
      <c r="C1359" s="4">
        <v>46143</v>
      </c>
      <c r="D1359" t="s">
        <v>72</v>
      </c>
      <c r="E1359">
        <v>70</v>
      </c>
      <c r="F1359" t="s">
        <v>57</v>
      </c>
      <c r="G1359" t="s">
        <v>48</v>
      </c>
      <c r="H1359" t="s">
        <v>35</v>
      </c>
      <c r="I1359" t="s">
        <v>36</v>
      </c>
      <c r="J1359">
        <v>44</v>
      </c>
      <c r="K1359" s="5">
        <v>0</v>
      </c>
      <c r="L1359" s="5">
        <v>935.51</v>
      </c>
      <c r="M1359">
        <v>38</v>
      </c>
      <c r="N1359">
        <v>10</v>
      </c>
      <c r="O1359">
        <v>5</v>
      </c>
      <c r="P1359">
        <v>7</v>
      </c>
      <c r="Q1359">
        <v>33</v>
      </c>
      <c r="R1359">
        <v>3</v>
      </c>
      <c r="S1359">
        <v>2</v>
      </c>
      <c r="T1359">
        <v>1</v>
      </c>
      <c r="U1359">
        <v>0</v>
      </c>
      <c r="V1359">
        <v>1</v>
      </c>
      <c r="W1359" t="s">
        <v>45</v>
      </c>
      <c r="X1359">
        <v>-21</v>
      </c>
      <c r="Y1359">
        <v>1</v>
      </c>
      <c r="Z1359">
        <f t="shared" si="126"/>
        <v>100</v>
      </c>
      <c r="AA1359">
        <f t="shared" si="127"/>
        <v>0.95945945945945943</v>
      </c>
      <c r="AB1359">
        <f t="shared" si="128"/>
        <v>30</v>
      </c>
      <c r="AC1359" t="str">
        <f t="shared" si="129"/>
        <v>Low</v>
      </c>
      <c r="AD1359" t="str">
        <f t="shared" si="130"/>
        <v>Upsell premium bundle</v>
      </c>
      <c r="AE1359">
        <f t="shared" si="131"/>
        <v>0</v>
      </c>
    </row>
    <row r="1360" spans="1:31" x14ac:dyDescent="0.35">
      <c r="A1360" t="s">
        <v>1418</v>
      </c>
      <c r="B1360" s="4">
        <v>45509</v>
      </c>
      <c r="C1360" s="4">
        <v>46143</v>
      </c>
      <c r="D1360" t="s">
        <v>60</v>
      </c>
      <c r="E1360">
        <v>61</v>
      </c>
      <c r="F1360" t="s">
        <v>57</v>
      </c>
      <c r="G1360" t="s">
        <v>34</v>
      </c>
      <c r="H1360" t="s">
        <v>41</v>
      </c>
      <c r="I1360" t="s">
        <v>36</v>
      </c>
      <c r="J1360">
        <v>21</v>
      </c>
      <c r="K1360" s="5">
        <v>2032.62</v>
      </c>
      <c r="L1360" s="5">
        <v>1183.3800000000001</v>
      </c>
      <c r="M1360">
        <v>27</v>
      </c>
      <c r="N1360">
        <v>17</v>
      </c>
      <c r="O1360">
        <v>6</v>
      </c>
      <c r="P1360">
        <v>0</v>
      </c>
      <c r="Q1360">
        <v>8</v>
      </c>
      <c r="R1360">
        <v>1</v>
      </c>
      <c r="S1360">
        <v>0</v>
      </c>
      <c r="T1360">
        <v>1</v>
      </c>
      <c r="U1360">
        <v>1</v>
      </c>
      <c r="V1360">
        <v>1</v>
      </c>
      <c r="W1360" t="s">
        <v>37</v>
      </c>
      <c r="X1360">
        <v>48</v>
      </c>
      <c r="Y1360">
        <v>1</v>
      </c>
      <c r="Z1360">
        <f t="shared" si="126"/>
        <v>71</v>
      </c>
      <c r="AA1360">
        <f t="shared" si="127"/>
        <v>0.68627450980392157</v>
      </c>
      <c r="AB1360">
        <f t="shared" si="128"/>
        <v>4</v>
      </c>
      <c r="AC1360" t="str">
        <f t="shared" si="129"/>
        <v>Low</v>
      </c>
      <c r="AD1360" t="str">
        <f t="shared" si="130"/>
        <v>Upsell premium bundle</v>
      </c>
      <c r="AE1360">
        <f t="shared" si="131"/>
        <v>29</v>
      </c>
    </row>
    <row r="1361" spans="1:31" x14ac:dyDescent="0.35">
      <c r="A1361" t="s">
        <v>1419</v>
      </c>
      <c r="B1361" s="4">
        <v>45386</v>
      </c>
      <c r="C1361" s="4">
        <v>46143</v>
      </c>
      <c r="D1361" t="s">
        <v>32</v>
      </c>
      <c r="E1361">
        <v>36</v>
      </c>
      <c r="F1361" t="s">
        <v>57</v>
      </c>
      <c r="G1361" t="s">
        <v>34</v>
      </c>
      <c r="H1361" t="s">
        <v>58</v>
      </c>
      <c r="I1361" t="s">
        <v>36</v>
      </c>
      <c r="J1361">
        <v>25</v>
      </c>
      <c r="K1361" s="5">
        <v>282.41000000000003</v>
      </c>
      <c r="L1361" s="5">
        <v>1164.25</v>
      </c>
      <c r="M1361">
        <v>29</v>
      </c>
      <c r="N1361">
        <v>20</v>
      </c>
      <c r="O1361">
        <v>7</v>
      </c>
      <c r="P1361">
        <v>1</v>
      </c>
      <c r="Q1361">
        <v>25</v>
      </c>
      <c r="R1361">
        <v>3</v>
      </c>
      <c r="S1361">
        <v>1</v>
      </c>
      <c r="T1361">
        <v>0</v>
      </c>
      <c r="U1361">
        <v>1</v>
      </c>
      <c r="V1361">
        <v>0</v>
      </c>
      <c r="W1361" t="s">
        <v>50</v>
      </c>
      <c r="X1361">
        <v>-33</v>
      </c>
      <c r="Y1361">
        <v>0</v>
      </c>
      <c r="Z1361">
        <f t="shared" si="126"/>
        <v>86</v>
      </c>
      <c r="AA1361">
        <f t="shared" si="127"/>
        <v>0.98181818181818181</v>
      </c>
      <c r="AB1361">
        <f t="shared" si="128"/>
        <v>34</v>
      </c>
      <c r="AC1361" t="str">
        <f t="shared" si="129"/>
        <v>Low</v>
      </c>
      <c r="AD1361" t="str">
        <f t="shared" si="130"/>
        <v>Upsell premium bundle</v>
      </c>
      <c r="AE1361">
        <f t="shared" si="131"/>
        <v>14</v>
      </c>
    </row>
    <row r="1362" spans="1:31" x14ac:dyDescent="0.35">
      <c r="A1362" t="s">
        <v>1420</v>
      </c>
      <c r="B1362" s="4">
        <v>45050</v>
      </c>
      <c r="C1362" s="4">
        <v>46143</v>
      </c>
      <c r="D1362" t="s">
        <v>60</v>
      </c>
      <c r="E1362">
        <v>72</v>
      </c>
      <c r="F1362" t="s">
        <v>33</v>
      </c>
      <c r="G1362" t="s">
        <v>67</v>
      </c>
      <c r="H1362" t="s">
        <v>41</v>
      </c>
      <c r="I1362" t="s">
        <v>36</v>
      </c>
      <c r="J1362">
        <v>36</v>
      </c>
      <c r="K1362" s="5">
        <v>331.59</v>
      </c>
      <c r="L1362" s="5">
        <v>0</v>
      </c>
      <c r="M1362">
        <v>25</v>
      </c>
      <c r="N1362">
        <v>17</v>
      </c>
      <c r="O1362">
        <v>6</v>
      </c>
      <c r="P1362">
        <v>4</v>
      </c>
      <c r="Q1362">
        <v>13</v>
      </c>
      <c r="R1362">
        <v>3</v>
      </c>
      <c r="S1362">
        <v>2</v>
      </c>
      <c r="T1362">
        <v>1</v>
      </c>
      <c r="U1362">
        <v>0</v>
      </c>
      <c r="V1362">
        <v>0</v>
      </c>
      <c r="W1362" t="s">
        <v>52</v>
      </c>
      <c r="X1362">
        <v>-47</v>
      </c>
      <c r="Y1362">
        <v>0</v>
      </c>
      <c r="Z1362">
        <f t="shared" si="126"/>
        <v>64</v>
      </c>
      <c r="AA1362">
        <f t="shared" si="127"/>
        <v>0.5757575757575758</v>
      </c>
      <c r="AB1362">
        <f t="shared" si="128"/>
        <v>67</v>
      </c>
      <c r="AC1362" t="str">
        <f t="shared" si="129"/>
        <v>Medium</v>
      </c>
      <c r="AD1362" t="str">
        <f t="shared" si="130"/>
        <v>Nudge core feature adoption</v>
      </c>
      <c r="AE1362">
        <f t="shared" si="131"/>
        <v>36</v>
      </c>
    </row>
    <row r="1363" spans="1:31" x14ac:dyDescent="0.35">
      <c r="A1363" t="s">
        <v>1421</v>
      </c>
      <c r="B1363" s="4">
        <v>45231</v>
      </c>
      <c r="C1363" s="4">
        <v>46143</v>
      </c>
      <c r="D1363" t="s">
        <v>39</v>
      </c>
      <c r="E1363">
        <v>38</v>
      </c>
      <c r="F1363" t="s">
        <v>61</v>
      </c>
      <c r="G1363" t="s">
        <v>67</v>
      </c>
      <c r="H1363" t="s">
        <v>41</v>
      </c>
      <c r="I1363" t="s">
        <v>36</v>
      </c>
      <c r="J1363">
        <v>30</v>
      </c>
      <c r="K1363" s="5">
        <v>2683.22</v>
      </c>
      <c r="L1363" s="5">
        <v>2384.16</v>
      </c>
      <c r="M1363">
        <v>27</v>
      </c>
      <c r="N1363">
        <v>11</v>
      </c>
      <c r="O1363">
        <v>6</v>
      </c>
      <c r="P1363">
        <v>4</v>
      </c>
      <c r="Q1363">
        <v>24</v>
      </c>
      <c r="R1363">
        <v>0</v>
      </c>
      <c r="S1363">
        <v>0</v>
      </c>
      <c r="T1363">
        <v>1</v>
      </c>
      <c r="U1363">
        <v>0</v>
      </c>
      <c r="V1363">
        <v>0</v>
      </c>
      <c r="W1363" t="s">
        <v>52</v>
      </c>
      <c r="X1363">
        <v>50</v>
      </c>
      <c r="Y1363">
        <v>0</v>
      </c>
      <c r="Z1363">
        <f t="shared" si="126"/>
        <v>72</v>
      </c>
      <c r="AA1363">
        <f t="shared" si="127"/>
        <v>0.85</v>
      </c>
      <c r="AB1363">
        <f t="shared" si="128"/>
        <v>0</v>
      </c>
      <c r="AC1363" t="str">
        <f t="shared" si="129"/>
        <v>Low</v>
      </c>
      <c r="AD1363" t="str">
        <f t="shared" si="130"/>
        <v>Upsell premium bundle</v>
      </c>
      <c r="AE1363">
        <f t="shared" si="131"/>
        <v>28</v>
      </c>
    </row>
    <row r="1364" spans="1:31" x14ac:dyDescent="0.35">
      <c r="A1364" t="s">
        <v>1422</v>
      </c>
      <c r="B1364" s="4">
        <v>45566</v>
      </c>
      <c r="C1364" s="4">
        <v>46143</v>
      </c>
      <c r="D1364" t="s">
        <v>47</v>
      </c>
      <c r="E1364">
        <v>44</v>
      </c>
      <c r="F1364" t="s">
        <v>77</v>
      </c>
      <c r="G1364" t="s">
        <v>63</v>
      </c>
      <c r="H1364" t="s">
        <v>41</v>
      </c>
      <c r="I1364" t="s">
        <v>36</v>
      </c>
      <c r="J1364">
        <v>19</v>
      </c>
      <c r="K1364" s="5">
        <v>9500.94</v>
      </c>
      <c r="L1364" s="5">
        <v>5169.37</v>
      </c>
      <c r="M1364">
        <v>39</v>
      </c>
      <c r="N1364">
        <v>12</v>
      </c>
      <c r="O1364">
        <v>7</v>
      </c>
      <c r="P1364">
        <v>2</v>
      </c>
      <c r="Q1364">
        <v>27</v>
      </c>
      <c r="R1364">
        <v>0</v>
      </c>
      <c r="S1364">
        <v>0</v>
      </c>
      <c r="T1364">
        <v>1</v>
      </c>
      <c r="U1364">
        <v>1</v>
      </c>
      <c r="V1364">
        <v>0</v>
      </c>
      <c r="W1364" t="s">
        <v>37</v>
      </c>
      <c r="X1364">
        <v>42</v>
      </c>
      <c r="Y1364">
        <v>0</v>
      </c>
      <c r="Z1364">
        <f t="shared" si="126"/>
        <v>95</v>
      </c>
      <c r="AA1364">
        <f t="shared" si="127"/>
        <v>1.346938775510204</v>
      </c>
      <c r="AB1364">
        <f t="shared" si="128"/>
        <v>0</v>
      </c>
      <c r="AC1364" t="str">
        <f t="shared" si="129"/>
        <v>Low</v>
      </c>
      <c r="AD1364" t="str">
        <f t="shared" si="130"/>
        <v>Upsell premium bundle</v>
      </c>
      <c r="AE1364">
        <f t="shared" si="131"/>
        <v>5</v>
      </c>
    </row>
    <row r="1365" spans="1:31" x14ac:dyDescent="0.35">
      <c r="A1365" t="s">
        <v>1423</v>
      </c>
      <c r="B1365" s="4">
        <v>45188</v>
      </c>
      <c r="C1365" s="4">
        <v>46143</v>
      </c>
      <c r="D1365" t="s">
        <v>39</v>
      </c>
      <c r="E1365">
        <v>59</v>
      </c>
      <c r="F1365" t="s">
        <v>57</v>
      </c>
      <c r="G1365" t="s">
        <v>67</v>
      </c>
      <c r="H1365" t="s">
        <v>58</v>
      </c>
      <c r="I1365" t="s">
        <v>49</v>
      </c>
      <c r="J1365">
        <v>31</v>
      </c>
      <c r="K1365" s="5">
        <v>1023.26</v>
      </c>
      <c r="L1365" s="5">
        <v>100.85</v>
      </c>
      <c r="M1365">
        <v>33</v>
      </c>
      <c r="N1365">
        <v>9</v>
      </c>
      <c r="O1365">
        <v>5</v>
      </c>
      <c r="P1365">
        <v>6</v>
      </c>
      <c r="Q1365">
        <v>28</v>
      </c>
      <c r="R1365">
        <v>1</v>
      </c>
      <c r="S1365">
        <v>0</v>
      </c>
      <c r="T1365">
        <v>1</v>
      </c>
      <c r="U1365">
        <v>0</v>
      </c>
      <c r="V1365">
        <v>1</v>
      </c>
      <c r="W1365" t="s">
        <v>50</v>
      </c>
      <c r="X1365">
        <v>100</v>
      </c>
      <c r="Y1365">
        <v>0</v>
      </c>
      <c r="Z1365">
        <f t="shared" si="126"/>
        <v>89</v>
      </c>
      <c r="AA1365">
        <f t="shared" si="127"/>
        <v>1</v>
      </c>
      <c r="AB1365">
        <f t="shared" si="128"/>
        <v>0</v>
      </c>
      <c r="AC1365" t="str">
        <f t="shared" si="129"/>
        <v>Low</v>
      </c>
      <c r="AD1365" t="str">
        <f t="shared" si="130"/>
        <v>Upsell premium bundle</v>
      </c>
      <c r="AE1365">
        <f t="shared" si="131"/>
        <v>11</v>
      </c>
    </row>
    <row r="1366" spans="1:31" x14ac:dyDescent="0.35">
      <c r="A1366" t="s">
        <v>1424</v>
      </c>
      <c r="B1366" s="4">
        <v>45215</v>
      </c>
      <c r="C1366" s="4">
        <v>46143</v>
      </c>
      <c r="D1366" t="s">
        <v>32</v>
      </c>
      <c r="E1366">
        <v>72</v>
      </c>
      <c r="F1366" t="s">
        <v>57</v>
      </c>
      <c r="G1366" t="s">
        <v>34</v>
      </c>
      <c r="H1366" t="s">
        <v>41</v>
      </c>
      <c r="I1366" t="s">
        <v>36</v>
      </c>
      <c r="J1366">
        <v>30</v>
      </c>
      <c r="K1366" s="5">
        <v>1166.44</v>
      </c>
      <c r="L1366" s="5">
        <v>1810.42</v>
      </c>
      <c r="M1366">
        <v>30</v>
      </c>
      <c r="N1366">
        <v>14</v>
      </c>
      <c r="O1366">
        <v>8</v>
      </c>
      <c r="P1366">
        <v>1</v>
      </c>
      <c r="Q1366">
        <v>23</v>
      </c>
      <c r="R1366">
        <v>0</v>
      </c>
      <c r="S1366">
        <v>2</v>
      </c>
      <c r="T1366">
        <v>1</v>
      </c>
      <c r="U1366">
        <v>1</v>
      </c>
      <c r="V1366">
        <v>0</v>
      </c>
      <c r="W1366" t="s">
        <v>37</v>
      </c>
      <c r="X1366">
        <v>33</v>
      </c>
      <c r="Y1366">
        <v>0</v>
      </c>
      <c r="Z1366">
        <f t="shared" si="126"/>
        <v>83</v>
      </c>
      <c r="AA1366">
        <f t="shared" si="127"/>
        <v>0.8833333333333333</v>
      </c>
      <c r="AB1366">
        <f t="shared" si="128"/>
        <v>14</v>
      </c>
      <c r="AC1366" t="str">
        <f t="shared" si="129"/>
        <v>Low</v>
      </c>
      <c r="AD1366" t="str">
        <f t="shared" si="130"/>
        <v>Upsell premium bundle</v>
      </c>
      <c r="AE1366">
        <f t="shared" si="131"/>
        <v>17</v>
      </c>
    </row>
    <row r="1367" spans="1:31" x14ac:dyDescent="0.35">
      <c r="A1367" t="s">
        <v>1425</v>
      </c>
      <c r="B1367" s="4">
        <v>45276</v>
      </c>
      <c r="C1367" s="4">
        <v>46143</v>
      </c>
      <c r="D1367" t="s">
        <v>39</v>
      </c>
      <c r="E1367">
        <v>67</v>
      </c>
      <c r="F1367" t="s">
        <v>33</v>
      </c>
      <c r="G1367" t="s">
        <v>34</v>
      </c>
      <c r="H1367" t="s">
        <v>41</v>
      </c>
      <c r="I1367" t="s">
        <v>36</v>
      </c>
      <c r="J1367">
        <v>28</v>
      </c>
      <c r="K1367" s="5">
        <v>612.39</v>
      </c>
      <c r="L1367" s="5">
        <v>79.19</v>
      </c>
      <c r="M1367">
        <v>19</v>
      </c>
      <c r="N1367">
        <v>7</v>
      </c>
      <c r="O1367">
        <v>4</v>
      </c>
      <c r="P1367">
        <v>2</v>
      </c>
      <c r="Q1367">
        <v>27</v>
      </c>
      <c r="R1367">
        <v>0</v>
      </c>
      <c r="S1367">
        <v>0</v>
      </c>
      <c r="T1367">
        <v>1</v>
      </c>
      <c r="U1367">
        <v>1</v>
      </c>
      <c r="V1367">
        <v>1</v>
      </c>
      <c r="W1367" t="s">
        <v>45</v>
      </c>
      <c r="X1367">
        <v>65</v>
      </c>
      <c r="Y1367">
        <v>0</v>
      </c>
      <c r="Z1367">
        <f t="shared" si="126"/>
        <v>73</v>
      </c>
      <c r="AA1367">
        <f t="shared" si="127"/>
        <v>0.7931034482758621</v>
      </c>
      <c r="AB1367">
        <f t="shared" si="128"/>
        <v>0</v>
      </c>
      <c r="AC1367" t="str">
        <f t="shared" si="129"/>
        <v>Low</v>
      </c>
      <c r="AD1367" t="str">
        <f t="shared" si="130"/>
        <v>Upsell premium bundle</v>
      </c>
      <c r="AE1367">
        <f t="shared" si="131"/>
        <v>27</v>
      </c>
    </row>
    <row r="1368" spans="1:31" x14ac:dyDescent="0.35">
      <c r="A1368" t="s">
        <v>1426</v>
      </c>
      <c r="B1368" s="4">
        <v>45222</v>
      </c>
      <c r="C1368" s="4">
        <v>46143</v>
      </c>
      <c r="D1368" t="s">
        <v>66</v>
      </c>
      <c r="E1368">
        <v>42</v>
      </c>
      <c r="F1368" t="s">
        <v>57</v>
      </c>
      <c r="G1368" t="s">
        <v>48</v>
      </c>
      <c r="H1368" t="s">
        <v>58</v>
      </c>
      <c r="I1368" t="s">
        <v>36</v>
      </c>
      <c r="J1368">
        <v>30</v>
      </c>
      <c r="K1368" s="5">
        <v>1637.22</v>
      </c>
      <c r="L1368" s="5">
        <v>806.08</v>
      </c>
      <c r="M1368">
        <v>29</v>
      </c>
      <c r="N1368">
        <v>7</v>
      </c>
      <c r="O1368">
        <v>1</v>
      </c>
      <c r="P1368">
        <v>0</v>
      </c>
      <c r="Q1368">
        <v>11</v>
      </c>
      <c r="R1368">
        <v>1</v>
      </c>
      <c r="S1368">
        <v>0</v>
      </c>
      <c r="T1368">
        <v>1</v>
      </c>
      <c r="U1368">
        <v>1</v>
      </c>
      <c r="V1368">
        <v>0</v>
      </c>
      <c r="W1368" t="s">
        <v>45</v>
      </c>
      <c r="X1368">
        <v>-9</v>
      </c>
      <c r="Y1368">
        <v>0</v>
      </c>
      <c r="Z1368">
        <f t="shared" si="126"/>
        <v>56</v>
      </c>
      <c r="AA1368">
        <f t="shared" si="127"/>
        <v>0.66666666666666663</v>
      </c>
      <c r="AB1368">
        <f t="shared" si="128"/>
        <v>29</v>
      </c>
      <c r="AC1368" t="str">
        <f t="shared" si="129"/>
        <v>Low</v>
      </c>
      <c r="AD1368" t="str">
        <f t="shared" si="130"/>
        <v>Upsell premium bundle</v>
      </c>
      <c r="AE1368">
        <f t="shared" si="131"/>
        <v>44</v>
      </c>
    </row>
    <row r="1369" spans="1:31" x14ac:dyDescent="0.35">
      <c r="A1369" t="s">
        <v>1427</v>
      </c>
      <c r="B1369" s="4">
        <v>45136</v>
      </c>
      <c r="C1369" s="4">
        <v>46143</v>
      </c>
      <c r="D1369" t="s">
        <v>66</v>
      </c>
      <c r="E1369">
        <v>57</v>
      </c>
      <c r="F1369" t="s">
        <v>57</v>
      </c>
      <c r="G1369" t="s">
        <v>48</v>
      </c>
      <c r="H1369" t="s">
        <v>58</v>
      </c>
      <c r="I1369" t="s">
        <v>36</v>
      </c>
      <c r="J1369">
        <v>33</v>
      </c>
      <c r="K1369" s="5">
        <v>1692.74</v>
      </c>
      <c r="L1369" s="5">
        <v>657.62</v>
      </c>
      <c r="M1369">
        <v>34</v>
      </c>
      <c r="N1369">
        <v>17</v>
      </c>
      <c r="O1369">
        <v>9</v>
      </c>
      <c r="P1369">
        <v>5</v>
      </c>
      <c r="Q1369">
        <v>19</v>
      </c>
      <c r="R1369">
        <v>1</v>
      </c>
      <c r="S1369">
        <v>0</v>
      </c>
      <c r="T1369">
        <v>1</v>
      </c>
      <c r="U1369">
        <v>1</v>
      </c>
      <c r="V1369">
        <v>1</v>
      </c>
      <c r="W1369" t="s">
        <v>55</v>
      </c>
      <c r="X1369">
        <v>48</v>
      </c>
      <c r="Y1369">
        <v>0</v>
      </c>
      <c r="Z1369">
        <f t="shared" si="126"/>
        <v>99</v>
      </c>
      <c r="AA1369">
        <f t="shared" si="127"/>
        <v>0.84126984126984128</v>
      </c>
      <c r="AB1369">
        <f t="shared" si="128"/>
        <v>0</v>
      </c>
      <c r="AC1369" t="str">
        <f t="shared" si="129"/>
        <v>Low</v>
      </c>
      <c r="AD1369" t="str">
        <f t="shared" si="130"/>
        <v>Upsell premium bundle</v>
      </c>
      <c r="AE1369">
        <f t="shared" si="131"/>
        <v>1</v>
      </c>
    </row>
    <row r="1370" spans="1:31" x14ac:dyDescent="0.35">
      <c r="A1370" t="s">
        <v>1428</v>
      </c>
      <c r="B1370" s="4">
        <v>45196</v>
      </c>
      <c r="C1370" s="4">
        <v>46143</v>
      </c>
      <c r="D1370" t="s">
        <v>72</v>
      </c>
      <c r="E1370">
        <v>40</v>
      </c>
      <c r="F1370" t="s">
        <v>57</v>
      </c>
      <c r="G1370" t="s">
        <v>67</v>
      </c>
      <c r="H1370" t="s">
        <v>35</v>
      </c>
      <c r="I1370" t="s">
        <v>36</v>
      </c>
      <c r="J1370">
        <v>31</v>
      </c>
      <c r="K1370" s="5">
        <v>31.42</v>
      </c>
      <c r="L1370" s="5">
        <v>1243.05</v>
      </c>
      <c r="M1370">
        <v>37</v>
      </c>
      <c r="N1370">
        <v>20</v>
      </c>
      <c r="O1370">
        <v>3</v>
      </c>
      <c r="P1370">
        <v>0</v>
      </c>
      <c r="Q1370">
        <v>24</v>
      </c>
      <c r="R1370">
        <v>3</v>
      </c>
      <c r="S1370">
        <v>0</v>
      </c>
      <c r="T1370">
        <v>0</v>
      </c>
      <c r="U1370">
        <v>1</v>
      </c>
      <c r="V1370">
        <v>1</v>
      </c>
      <c r="W1370" t="s">
        <v>52</v>
      </c>
      <c r="X1370">
        <v>65</v>
      </c>
      <c r="Y1370">
        <v>0</v>
      </c>
      <c r="Z1370">
        <f t="shared" si="126"/>
        <v>95</v>
      </c>
      <c r="AA1370">
        <f t="shared" si="127"/>
        <v>1</v>
      </c>
      <c r="AB1370">
        <f t="shared" si="128"/>
        <v>0</v>
      </c>
      <c r="AC1370" t="str">
        <f t="shared" si="129"/>
        <v>Low</v>
      </c>
      <c r="AD1370" t="str">
        <f t="shared" si="130"/>
        <v>Upsell premium bundle</v>
      </c>
      <c r="AE1370">
        <f t="shared" si="131"/>
        <v>5</v>
      </c>
    </row>
    <row r="1371" spans="1:31" x14ac:dyDescent="0.35">
      <c r="A1371" t="s">
        <v>1429</v>
      </c>
      <c r="B1371" s="4">
        <v>45825</v>
      </c>
      <c r="C1371" s="4">
        <v>46143</v>
      </c>
      <c r="D1371" t="s">
        <v>39</v>
      </c>
      <c r="E1371">
        <v>69</v>
      </c>
      <c r="F1371" t="s">
        <v>57</v>
      </c>
      <c r="G1371" t="s">
        <v>63</v>
      </c>
      <c r="H1371" t="s">
        <v>41</v>
      </c>
      <c r="I1371" t="s">
        <v>36</v>
      </c>
      <c r="J1371">
        <v>10</v>
      </c>
      <c r="K1371" s="5">
        <v>1851.35</v>
      </c>
      <c r="L1371" s="5">
        <v>872.5</v>
      </c>
      <c r="M1371">
        <v>4</v>
      </c>
      <c r="N1371">
        <v>1</v>
      </c>
      <c r="O1371">
        <v>1</v>
      </c>
      <c r="P1371">
        <v>0</v>
      </c>
      <c r="Q1371">
        <v>14</v>
      </c>
      <c r="R1371">
        <v>5</v>
      </c>
      <c r="S1371">
        <v>2</v>
      </c>
      <c r="T1371">
        <v>0</v>
      </c>
      <c r="U1371">
        <v>0</v>
      </c>
      <c r="V1371">
        <v>0</v>
      </c>
      <c r="W1371" t="s">
        <v>45</v>
      </c>
      <c r="X1371">
        <v>36</v>
      </c>
      <c r="Y1371">
        <v>1</v>
      </c>
      <c r="Z1371">
        <f t="shared" si="126"/>
        <v>19</v>
      </c>
      <c r="AA1371">
        <f t="shared" si="127"/>
        <v>0.45</v>
      </c>
      <c r="AB1371">
        <f t="shared" si="128"/>
        <v>41</v>
      </c>
      <c r="AC1371" t="str">
        <f t="shared" si="129"/>
        <v>Medium</v>
      </c>
      <c r="AD1371" t="str">
        <f t="shared" si="130"/>
        <v>Nudge core feature adoption</v>
      </c>
      <c r="AE1371">
        <f t="shared" si="131"/>
        <v>81</v>
      </c>
    </row>
    <row r="1372" spans="1:31" x14ac:dyDescent="0.35">
      <c r="A1372" t="s">
        <v>1430</v>
      </c>
      <c r="B1372" s="4">
        <v>45882</v>
      </c>
      <c r="C1372" s="4">
        <v>46143</v>
      </c>
      <c r="D1372" t="s">
        <v>72</v>
      </c>
      <c r="E1372">
        <v>65</v>
      </c>
      <c r="F1372" t="s">
        <v>33</v>
      </c>
      <c r="G1372" t="s">
        <v>40</v>
      </c>
      <c r="H1372" t="s">
        <v>58</v>
      </c>
      <c r="I1372" t="s">
        <v>36</v>
      </c>
      <c r="J1372">
        <v>8</v>
      </c>
      <c r="K1372" s="5">
        <v>308.89999999999998</v>
      </c>
      <c r="L1372" s="5">
        <v>146.13999999999999</v>
      </c>
      <c r="M1372">
        <v>45</v>
      </c>
      <c r="N1372">
        <v>18</v>
      </c>
      <c r="O1372">
        <v>8</v>
      </c>
      <c r="P1372">
        <v>4</v>
      </c>
      <c r="Q1372">
        <v>23</v>
      </c>
      <c r="R1372">
        <v>1</v>
      </c>
      <c r="S1372">
        <v>1</v>
      </c>
      <c r="T1372">
        <v>1</v>
      </c>
      <c r="U1372">
        <v>0</v>
      </c>
      <c r="V1372">
        <v>1</v>
      </c>
      <c r="W1372" t="s">
        <v>50</v>
      </c>
      <c r="X1372">
        <v>12</v>
      </c>
      <c r="Y1372">
        <v>0</v>
      </c>
      <c r="Z1372">
        <f t="shared" si="126"/>
        <v>100</v>
      </c>
      <c r="AA1372">
        <f t="shared" si="127"/>
        <v>1.7894736842105263</v>
      </c>
      <c r="AB1372">
        <f t="shared" si="128"/>
        <v>9</v>
      </c>
      <c r="AC1372" t="str">
        <f t="shared" si="129"/>
        <v>Low</v>
      </c>
      <c r="AD1372" t="str">
        <f t="shared" si="130"/>
        <v>Upsell premium bundle</v>
      </c>
      <c r="AE1372">
        <f t="shared" si="131"/>
        <v>0</v>
      </c>
    </row>
    <row r="1373" spans="1:31" x14ac:dyDescent="0.35">
      <c r="A1373" t="s">
        <v>1431</v>
      </c>
      <c r="B1373" s="4">
        <v>45585</v>
      </c>
      <c r="C1373" s="4">
        <v>46143</v>
      </c>
      <c r="D1373" t="s">
        <v>72</v>
      </c>
      <c r="E1373">
        <v>56</v>
      </c>
      <c r="F1373" t="s">
        <v>33</v>
      </c>
      <c r="G1373" t="s">
        <v>63</v>
      </c>
      <c r="H1373" t="s">
        <v>44</v>
      </c>
      <c r="I1373" t="s">
        <v>36</v>
      </c>
      <c r="J1373">
        <v>18</v>
      </c>
      <c r="K1373" s="5">
        <v>573.39</v>
      </c>
      <c r="L1373" s="5">
        <v>194.71</v>
      </c>
      <c r="M1373">
        <v>52</v>
      </c>
      <c r="N1373">
        <v>25</v>
      </c>
      <c r="O1373">
        <v>5</v>
      </c>
      <c r="P1373">
        <v>2</v>
      </c>
      <c r="Q1373">
        <v>21</v>
      </c>
      <c r="R1373">
        <v>2</v>
      </c>
      <c r="S1373">
        <v>0</v>
      </c>
      <c r="T1373">
        <v>1</v>
      </c>
      <c r="U1373">
        <v>0</v>
      </c>
      <c r="V1373">
        <v>1</v>
      </c>
      <c r="W1373" t="s">
        <v>50</v>
      </c>
      <c r="X1373">
        <v>56</v>
      </c>
      <c r="Y1373">
        <v>0</v>
      </c>
      <c r="Z1373">
        <f t="shared" si="126"/>
        <v>100</v>
      </c>
      <c r="AA1373">
        <f t="shared" si="127"/>
        <v>1.5208333333333333</v>
      </c>
      <c r="AB1373">
        <f t="shared" si="128"/>
        <v>0</v>
      </c>
      <c r="AC1373" t="str">
        <f t="shared" si="129"/>
        <v>Low</v>
      </c>
      <c r="AD1373" t="str">
        <f t="shared" si="130"/>
        <v>Upsell premium bundle</v>
      </c>
      <c r="AE1373">
        <f t="shared" si="131"/>
        <v>0</v>
      </c>
    </row>
    <row r="1374" spans="1:31" x14ac:dyDescent="0.35">
      <c r="A1374" t="s">
        <v>1432</v>
      </c>
      <c r="B1374" s="4">
        <v>45658</v>
      </c>
      <c r="C1374" s="4">
        <v>46143</v>
      </c>
      <c r="D1374" t="s">
        <v>66</v>
      </c>
      <c r="E1374">
        <v>33</v>
      </c>
      <c r="F1374" t="s">
        <v>61</v>
      </c>
      <c r="G1374" t="s">
        <v>48</v>
      </c>
      <c r="H1374" t="s">
        <v>44</v>
      </c>
      <c r="I1374" t="s">
        <v>36</v>
      </c>
      <c r="J1374">
        <v>16</v>
      </c>
      <c r="K1374" s="5">
        <v>6240.65</v>
      </c>
      <c r="L1374" s="5">
        <v>2891.17</v>
      </c>
      <c r="M1374">
        <v>20</v>
      </c>
      <c r="N1374">
        <v>9</v>
      </c>
      <c r="O1374">
        <v>3</v>
      </c>
      <c r="P1374">
        <v>2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 t="s">
        <v>50</v>
      </c>
      <c r="X1374">
        <v>68</v>
      </c>
      <c r="Y1374">
        <v>0</v>
      </c>
      <c r="Z1374">
        <f t="shared" si="126"/>
        <v>50</v>
      </c>
      <c r="AA1374">
        <f t="shared" si="127"/>
        <v>0.43478260869565216</v>
      </c>
      <c r="AB1374">
        <f t="shared" si="128"/>
        <v>0</v>
      </c>
      <c r="AC1374" t="str">
        <f t="shared" si="129"/>
        <v>Low</v>
      </c>
      <c r="AD1374" t="str">
        <f t="shared" si="130"/>
        <v>Upsell premium bundle</v>
      </c>
      <c r="AE1374">
        <f t="shared" si="131"/>
        <v>50</v>
      </c>
    </row>
    <row r="1375" spans="1:31" x14ac:dyDescent="0.35">
      <c r="A1375" t="s">
        <v>1433</v>
      </c>
      <c r="B1375" s="4">
        <v>45537</v>
      </c>
      <c r="C1375" s="4">
        <v>46143</v>
      </c>
      <c r="D1375" t="s">
        <v>47</v>
      </c>
      <c r="E1375">
        <v>61</v>
      </c>
      <c r="F1375" t="s">
        <v>33</v>
      </c>
      <c r="G1375" t="s">
        <v>48</v>
      </c>
      <c r="H1375" t="s">
        <v>41</v>
      </c>
      <c r="I1375" t="s">
        <v>36</v>
      </c>
      <c r="J1375">
        <v>20</v>
      </c>
      <c r="K1375" s="5">
        <v>444.2</v>
      </c>
      <c r="L1375" s="5">
        <v>79.209999999999994</v>
      </c>
      <c r="M1375">
        <v>8</v>
      </c>
      <c r="N1375">
        <v>3</v>
      </c>
      <c r="O1375">
        <v>1</v>
      </c>
      <c r="P1375">
        <v>1</v>
      </c>
      <c r="Q1375">
        <v>19</v>
      </c>
      <c r="R1375">
        <v>1</v>
      </c>
      <c r="S1375">
        <v>1</v>
      </c>
      <c r="T1375">
        <v>1</v>
      </c>
      <c r="U1375">
        <v>0</v>
      </c>
      <c r="V1375">
        <v>0</v>
      </c>
      <c r="W1375" t="s">
        <v>55</v>
      </c>
      <c r="X1375">
        <v>71</v>
      </c>
      <c r="Y1375">
        <v>0</v>
      </c>
      <c r="Z1375">
        <f t="shared" si="126"/>
        <v>31</v>
      </c>
      <c r="AA1375">
        <f t="shared" si="127"/>
        <v>0.54</v>
      </c>
      <c r="AB1375">
        <f t="shared" si="128"/>
        <v>17</v>
      </c>
      <c r="AC1375" t="str">
        <f t="shared" si="129"/>
        <v>Low</v>
      </c>
      <c r="AD1375" t="str">
        <f t="shared" si="130"/>
        <v>Upsell premium bundle</v>
      </c>
      <c r="AE1375">
        <f t="shared" si="131"/>
        <v>69</v>
      </c>
    </row>
    <row r="1376" spans="1:31" x14ac:dyDescent="0.35">
      <c r="A1376" t="s">
        <v>1434</v>
      </c>
      <c r="B1376" s="4">
        <v>45787</v>
      </c>
      <c r="C1376" s="4">
        <v>46143</v>
      </c>
      <c r="D1376" t="s">
        <v>66</v>
      </c>
      <c r="E1376">
        <v>34</v>
      </c>
      <c r="F1376" t="s">
        <v>57</v>
      </c>
      <c r="G1376" t="s">
        <v>85</v>
      </c>
      <c r="H1376" t="s">
        <v>44</v>
      </c>
      <c r="I1376" t="s">
        <v>36</v>
      </c>
      <c r="J1376">
        <v>11</v>
      </c>
      <c r="K1376" s="5">
        <v>143.54</v>
      </c>
      <c r="L1376" s="5">
        <v>456.39</v>
      </c>
      <c r="M1376">
        <v>41</v>
      </c>
      <c r="N1376">
        <v>26</v>
      </c>
      <c r="O1376">
        <v>4</v>
      </c>
      <c r="P1376">
        <v>6</v>
      </c>
      <c r="Q1376">
        <v>24</v>
      </c>
      <c r="R1376">
        <v>0</v>
      </c>
      <c r="S1376">
        <v>1</v>
      </c>
      <c r="T1376">
        <v>1</v>
      </c>
      <c r="U1376">
        <v>0</v>
      </c>
      <c r="V1376">
        <v>1</v>
      </c>
      <c r="W1376" t="s">
        <v>55</v>
      </c>
      <c r="X1376">
        <v>-31</v>
      </c>
      <c r="Y1376">
        <v>0</v>
      </c>
      <c r="Z1376">
        <f t="shared" si="126"/>
        <v>100</v>
      </c>
      <c r="AA1376">
        <f t="shared" si="127"/>
        <v>1.5853658536585367</v>
      </c>
      <c r="AB1376">
        <f t="shared" si="128"/>
        <v>32</v>
      </c>
      <c r="AC1376" t="str">
        <f t="shared" si="129"/>
        <v>Low</v>
      </c>
      <c r="AD1376" t="str">
        <f t="shared" si="130"/>
        <v>Upsell premium bundle</v>
      </c>
      <c r="AE1376">
        <f t="shared" si="131"/>
        <v>0</v>
      </c>
    </row>
    <row r="1377" spans="1:31" x14ac:dyDescent="0.35">
      <c r="A1377" t="s">
        <v>1435</v>
      </c>
      <c r="B1377" s="4">
        <v>44707</v>
      </c>
      <c r="C1377" s="4">
        <v>46143</v>
      </c>
      <c r="D1377" t="s">
        <v>32</v>
      </c>
      <c r="E1377">
        <v>64</v>
      </c>
      <c r="F1377" t="s">
        <v>61</v>
      </c>
      <c r="G1377" t="s">
        <v>85</v>
      </c>
      <c r="H1377" t="s">
        <v>41</v>
      </c>
      <c r="I1377" t="s">
        <v>36</v>
      </c>
      <c r="J1377">
        <v>47</v>
      </c>
      <c r="K1377" s="5">
        <v>5942.07</v>
      </c>
      <c r="L1377" s="5">
        <v>2270.65</v>
      </c>
      <c r="M1377">
        <v>29</v>
      </c>
      <c r="N1377">
        <v>16</v>
      </c>
      <c r="O1377">
        <v>2</v>
      </c>
      <c r="P1377">
        <v>3</v>
      </c>
      <c r="Q1377">
        <v>25</v>
      </c>
      <c r="R1377">
        <v>1</v>
      </c>
      <c r="S1377">
        <v>0</v>
      </c>
      <c r="T1377">
        <v>1</v>
      </c>
      <c r="U1377">
        <v>0</v>
      </c>
      <c r="V1377">
        <v>0</v>
      </c>
      <c r="W1377" t="s">
        <v>55</v>
      </c>
      <c r="X1377">
        <v>29</v>
      </c>
      <c r="Y1377">
        <v>0</v>
      </c>
      <c r="Z1377">
        <f t="shared" si="126"/>
        <v>72</v>
      </c>
      <c r="AA1377">
        <f t="shared" si="127"/>
        <v>0.70129870129870131</v>
      </c>
      <c r="AB1377">
        <f t="shared" si="128"/>
        <v>3</v>
      </c>
      <c r="AC1377" t="str">
        <f t="shared" si="129"/>
        <v>Low</v>
      </c>
      <c r="AD1377" t="str">
        <f t="shared" si="130"/>
        <v>Upsell premium bundle</v>
      </c>
      <c r="AE1377">
        <f t="shared" si="131"/>
        <v>28</v>
      </c>
    </row>
    <row r="1378" spans="1:31" x14ac:dyDescent="0.35">
      <c r="A1378" t="s">
        <v>1436</v>
      </c>
      <c r="B1378" s="4">
        <v>45642</v>
      </c>
      <c r="C1378" s="4">
        <v>46143</v>
      </c>
      <c r="D1378" t="s">
        <v>39</v>
      </c>
      <c r="E1378">
        <v>52</v>
      </c>
      <c r="F1378" t="s">
        <v>57</v>
      </c>
      <c r="G1378" t="s">
        <v>85</v>
      </c>
      <c r="H1378" t="s">
        <v>35</v>
      </c>
      <c r="I1378" t="s">
        <v>36</v>
      </c>
      <c r="J1378">
        <v>16</v>
      </c>
      <c r="K1378" s="5">
        <v>785.97</v>
      </c>
      <c r="L1378" s="5">
        <v>479.94</v>
      </c>
      <c r="M1378">
        <v>35</v>
      </c>
      <c r="N1378">
        <v>16</v>
      </c>
      <c r="O1378">
        <v>9</v>
      </c>
      <c r="P1378">
        <v>3</v>
      </c>
      <c r="Q1378">
        <v>21</v>
      </c>
      <c r="R1378">
        <v>3</v>
      </c>
      <c r="S1378">
        <v>2</v>
      </c>
      <c r="T1378">
        <v>1</v>
      </c>
      <c r="U1378">
        <v>0</v>
      </c>
      <c r="V1378">
        <v>0</v>
      </c>
      <c r="W1378" t="s">
        <v>55</v>
      </c>
      <c r="X1378">
        <v>19</v>
      </c>
      <c r="Y1378">
        <v>1</v>
      </c>
      <c r="Z1378">
        <f t="shared" si="126"/>
        <v>84</v>
      </c>
      <c r="AA1378">
        <f t="shared" si="127"/>
        <v>1.2173913043478262</v>
      </c>
      <c r="AB1378">
        <f t="shared" si="128"/>
        <v>16</v>
      </c>
      <c r="AC1378" t="str">
        <f t="shared" si="129"/>
        <v>Low</v>
      </c>
      <c r="AD1378" t="str">
        <f t="shared" si="130"/>
        <v>Upsell premium bundle</v>
      </c>
      <c r="AE1378">
        <f t="shared" si="131"/>
        <v>16</v>
      </c>
    </row>
    <row r="1379" spans="1:31" x14ac:dyDescent="0.35">
      <c r="A1379" t="s">
        <v>1437</v>
      </c>
      <c r="B1379" s="4">
        <v>45472</v>
      </c>
      <c r="C1379" s="4">
        <v>46143</v>
      </c>
      <c r="D1379" t="s">
        <v>39</v>
      </c>
      <c r="E1379">
        <v>63</v>
      </c>
      <c r="F1379" t="s">
        <v>43</v>
      </c>
      <c r="G1379" t="s">
        <v>48</v>
      </c>
      <c r="H1379" t="s">
        <v>41</v>
      </c>
      <c r="I1379" t="s">
        <v>36</v>
      </c>
      <c r="J1379">
        <v>22</v>
      </c>
      <c r="K1379" s="5">
        <v>110.07</v>
      </c>
      <c r="L1379" s="5">
        <v>39.71</v>
      </c>
      <c r="M1379">
        <v>13</v>
      </c>
      <c r="N1379">
        <v>6</v>
      </c>
      <c r="O1379">
        <v>2</v>
      </c>
      <c r="P1379">
        <v>1</v>
      </c>
      <c r="Q1379">
        <v>10</v>
      </c>
      <c r="R1379">
        <v>0</v>
      </c>
      <c r="S1379">
        <v>1</v>
      </c>
      <c r="T1379">
        <v>0</v>
      </c>
      <c r="U1379">
        <v>0</v>
      </c>
      <c r="V1379">
        <v>0</v>
      </c>
      <c r="W1379" t="s">
        <v>45</v>
      </c>
      <c r="X1379">
        <v>-4</v>
      </c>
      <c r="Y1379">
        <v>1</v>
      </c>
      <c r="Z1379">
        <f t="shared" si="126"/>
        <v>31</v>
      </c>
      <c r="AA1379">
        <f t="shared" si="127"/>
        <v>0.44230769230769229</v>
      </c>
      <c r="AB1379">
        <f t="shared" si="128"/>
        <v>56</v>
      </c>
      <c r="AC1379" t="str">
        <f t="shared" si="129"/>
        <v>Medium</v>
      </c>
      <c r="AD1379" t="str">
        <f t="shared" si="130"/>
        <v>Nudge core feature adoption</v>
      </c>
      <c r="AE1379">
        <f t="shared" si="131"/>
        <v>69</v>
      </c>
    </row>
    <row r="1380" spans="1:31" x14ac:dyDescent="0.35">
      <c r="A1380" t="s">
        <v>1438</v>
      </c>
      <c r="B1380" s="4">
        <v>45173</v>
      </c>
      <c r="C1380" s="4">
        <v>46143</v>
      </c>
      <c r="D1380" t="s">
        <v>32</v>
      </c>
      <c r="E1380">
        <v>57</v>
      </c>
      <c r="F1380" t="s">
        <v>43</v>
      </c>
      <c r="G1380" t="s">
        <v>48</v>
      </c>
      <c r="H1380" t="s">
        <v>41</v>
      </c>
      <c r="I1380" t="s">
        <v>36</v>
      </c>
      <c r="J1380">
        <v>32</v>
      </c>
      <c r="K1380" s="5">
        <v>44.35</v>
      </c>
      <c r="L1380" s="5">
        <v>96.67</v>
      </c>
      <c r="M1380">
        <v>28</v>
      </c>
      <c r="N1380">
        <v>19</v>
      </c>
      <c r="O1380">
        <v>5</v>
      </c>
      <c r="P1380">
        <v>3</v>
      </c>
      <c r="Q1380">
        <v>18</v>
      </c>
      <c r="R1380">
        <v>0</v>
      </c>
      <c r="S1380">
        <v>0</v>
      </c>
      <c r="T1380">
        <v>1</v>
      </c>
      <c r="U1380">
        <v>0</v>
      </c>
      <c r="V1380">
        <v>0</v>
      </c>
      <c r="W1380" t="s">
        <v>55</v>
      </c>
      <c r="X1380">
        <v>43</v>
      </c>
      <c r="Y1380">
        <v>0</v>
      </c>
      <c r="Z1380">
        <f t="shared" si="126"/>
        <v>71</v>
      </c>
      <c r="AA1380">
        <f t="shared" si="127"/>
        <v>0.74193548387096775</v>
      </c>
      <c r="AB1380">
        <f t="shared" si="128"/>
        <v>8</v>
      </c>
      <c r="AC1380" t="str">
        <f t="shared" si="129"/>
        <v>Low</v>
      </c>
      <c r="AD1380" t="str">
        <f t="shared" si="130"/>
        <v>Upsell premium bundle</v>
      </c>
      <c r="AE1380">
        <f t="shared" si="131"/>
        <v>29</v>
      </c>
    </row>
    <row r="1381" spans="1:31" x14ac:dyDescent="0.35">
      <c r="A1381" t="s">
        <v>1439</v>
      </c>
      <c r="B1381" s="4">
        <v>45014</v>
      </c>
      <c r="C1381" s="4">
        <v>46143</v>
      </c>
      <c r="D1381" t="s">
        <v>66</v>
      </c>
      <c r="E1381">
        <v>39</v>
      </c>
      <c r="F1381" t="s">
        <v>57</v>
      </c>
      <c r="G1381" t="s">
        <v>85</v>
      </c>
      <c r="H1381" t="s">
        <v>58</v>
      </c>
      <c r="I1381" t="s">
        <v>49</v>
      </c>
      <c r="J1381">
        <v>37</v>
      </c>
      <c r="K1381" s="5">
        <v>685.52</v>
      </c>
      <c r="L1381" s="5">
        <v>562.19000000000005</v>
      </c>
      <c r="M1381">
        <v>47</v>
      </c>
      <c r="N1381">
        <v>24</v>
      </c>
      <c r="O1381">
        <v>3</v>
      </c>
      <c r="P1381">
        <v>9</v>
      </c>
      <c r="Q1381">
        <v>17</v>
      </c>
      <c r="R1381">
        <v>2</v>
      </c>
      <c r="S1381">
        <v>0</v>
      </c>
      <c r="T1381">
        <v>0</v>
      </c>
      <c r="U1381">
        <v>1</v>
      </c>
      <c r="V1381">
        <v>1</v>
      </c>
      <c r="W1381" t="s">
        <v>50</v>
      </c>
      <c r="X1381">
        <v>69</v>
      </c>
      <c r="Y1381">
        <v>0</v>
      </c>
      <c r="Z1381">
        <f t="shared" si="126"/>
        <v>100</v>
      </c>
      <c r="AA1381">
        <f t="shared" si="127"/>
        <v>0.95522388059701491</v>
      </c>
      <c r="AB1381">
        <f t="shared" si="128"/>
        <v>0</v>
      </c>
      <c r="AC1381" t="str">
        <f t="shared" si="129"/>
        <v>Low</v>
      </c>
      <c r="AD1381" t="str">
        <f t="shared" si="130"/>
        <v>Upsell premium bundle</v>
      </c>
      <c r="AE1381">
        <f t="shared" si="131"/>
        <v>0</v>
      </c>
    </row>
    <row r="1382" spans="1:31" x14ac:dyDescent="0.35">
      <c r="A1382" t="s">
        <v>1440</v>
      </c>
      <c r="B1382" s="4">
        <v>45638</v>
      </c>
      <c r="C1382" s="4">
        <v>46143</v>
      </c>
      <c r="D1382" t="s">
        <v>32</v>
      </c>
      <c r="E1382">
        <v>30</v>
      </c>
      <c r="F1382" t="s">
        <v>77</v>
      </c>
      <c r="G1382" t="s">
        <v>48</v>
      </c>
      <c r="H1382" t="s">
        <v>44</v>
      </c>
      <c r="I1382" t="s">
        <v>54</v>
      </c>
      <c r="J1382">
        <v>16</v>
      </c>
      <c r="K1382" s="5">
        <v>21516.16</v>
      </c>
      <c r="L1382" s="5">
        <v>7546.09</v>
      </c>
      <c r="M1382">
        <v>26</v>
      </c>
      <c r="N1382">
        <v>19</v>
      </c>
      <c r="O1382">
        <v>4</v>
      </c>
      <c r="P1382">
        <v>5</v>
      </c>
      <c r="Q1382">
        <v>13</v>
      </c>
      <c r="R1382">
        <v>2</v>
      </c>
      <c r="S1382">
        <v>1</v>
      </c>
      <c r="T1382">
        <v>1</v>
      </c>
      <c r="U1382">
        <v>1</v>
      </c>
      <c r="V1382">
        <v>1</v>
      </c>
      <c r="W1382" t="s">
        <v>55</v>
      </c>
      <c r="X1382">
        <v>-13</v>
      </c>
      <c r="Y1382">
        <v>0</v>
      </c>
      <c r="Z1382">
        <f t="shared" si="126"/>
        <v>80</v>
      </c>
      <c r="AA1382">
        <f t="shared" si="127"/>
        <v>0.84782608695652173</v>
      </c>
      <c r="AB1382">
        <f t="shared" si="128"/>
        <v>34</v>
      </c>
      <c r="AC1382" t="str">
        <f t="shared" si="129"/>
        <v>Low</v>
      </c>
      <c r="AD1382" t="str">
        <f t="shared" si="130"/>
        <v>Upsell premium bundle</v>
      </c>
      <c r="AE1382">
        <f t="shared" si="131"/>
        <v>20</v>
      </c>
    </row>
    <row r="1383" spans="1:31" x14ac:dyDescent="0.35">
      <c r="A1383" t="s">
        <v>1441</v>
      </c>
      <c r="B1383" s="4">
        <v>44960</v>
      </c>
      <c r="C1383" s="4">
        <v>46143</v>
      </c>
      <c r="D1383" t="s">
        <v>47</v>
      </c>
      <c r="E1383">
        <v>47</v>
      </c>
      <c r="F1383" t="s">
        <v>61</v>
      </c>
      <c r="G1383" t="s">
        <v>34</v>
      </c>
      <c r="H1383" t="s">
        <v>41</v>
      </c>
      <c r="I1383" t="s">
        <v>36</v>
      </c>
      <c r="J1383">
        <v>39</v>
      </c>
      <c r="K1383" s="5">
        <v>3624.39</v>
      </c>
      <c r="L1383" s="5">
        <v>1673.74</v>
      </c>
      <c r="M1383">
        <v>25</v>
      </c>
      <c r="N1383">
        <v>15</v>
      </c>
      <c r="O1383">
        <v>2</v>
      </c>
      <c r="P1383">
        <v>1</v>
      </c>
      <c r="Q1383">
        <v>26</v>
      </c>
      <c r="R1383">
        <v>3</v>
      </c>
      <c r="S1383">
        <v>0</v>
      </c>
      <c r="T1383">
        <v>1</v>
      </c>
      <c r="U1383">
        <v>0</v>
      </c>
      <c r="V1383">
        <v>1</v>
      </c>
      <c r="W1383" t="s">
        <v>45</v>
      </c>
      <c r="X1383">
        <v>0</v>
      </c>
      <c r="Y1383">
        <v>1</v>
      </c>
      <c r="Z1383">
        <f t="shared" si="126"/>
        <v>72</v>
      </c>
      <c r="AA1383">
        <f t="shared" si="127"/>
        <v>0.73913043478260865</v>
      </c>
      <c r="AB1383">
        <f t="shared" si="128"/>
        <v>15</v>
      </c>
      <c r="AC1383" t="str">
        <f t="shared" si="129"/>
        <v>Low</v>
      </c>
      <c r="AD1383" t="str">
        <f t="shared" si="130"/>
        <v>Upsell premium bundle</v>
      </c>
      <c r="AE1383">
        <f t="shared" si="131"/>
        <v>28</v>
      </c>
    </row>
    <row r="1384" spans="1:31" x14ac:dyDescent="0.35">
      <c r="A1384" t="s">
        <v>1442</v>
      </c>
      <c r="B1384" s="4">
        <v>45415</v>
      </c>
      <c r="C1384" s="4">
        <v>46143</v>
      </c>
      <c r="D1384" t="s">
        <v>39</v>
      </c>
      <c r="E1384">
        <v>37</v>
      </c>
      <c r="F1384" t="s">
        <v>43</v>
      </c>
      <c r="G1384" t="s">
        <v>40</v>
      </c>
      <c r="H1384" t="s">
        <v>41</v>
      </c>
      <c r="I1384" t="s">
        <v>36</v>
      </c>
      <c r="J1384">
        <v>24</v>
      </c>
      <c r="K1384" s="5">
        <v>81</v>
      </c>
      <c r="L1384" s="5">
        <v>44.67</v>
      </c>
      <c r="M1384">
        <v>13</v>
      </c>
      <c r="N1384">
        <v>4</v>
      </c>
      <c r="O1384">
        <v>1</v>
      </c>
      <c r="P1384">
        <v>0</v>
      </c>
      <c r="Q1384">
        <v>17</v>
      </c>
      <c r="R1384">
        <v>0</v>
      </c>
      <c r="S1384">
        <v>1</v>
      </c>
      <c r="T1384">
        <v>1</v>
      </c>
      <c r="U1384">
        <v>0</v>
      </c>
      <c r="V1384">
        <v>0</v>
      </c>
      <c r="W1384" t="s">
        <v>45</v>
      </c>
      <c r="X1384">
        <v>-14</v>
      </c>
      <c r="Y1384">
        <v>0</v>
      </c>
      <c r="Z1384">
        <f t="shared" si="126"/>
        <v>34</v>
      </c>
      <c r="AA1384">
        <f t="shared" si="127"/>
        <v>0.55555555555555558</v>
      </c>
      <c r="AB1384">
        <f t="shared" si="128"/>
        <v>59</v>
      </c>
      <c r="AC1384" t="str">
        <f t="shared" si="129"/>
        <v>Medium</v>
      </c>
      <c r="AD1384" t="str">
        <f t="shared" si="130"/>
        <v>Nudge core feature adoption</v>
      </c>
      <c r="AE1384">
        <f t="shared" si="131"/>
        <v>66</v>
      </c>
    </row>
    <row r="1385" spans="1:31" x14ac:dyDescent="0.35">
      <c r="A1385" t="s">
        <v>1443</v>
      </c>
      <c r="B1385" s="4">
        <v>45876</v>
      </c>
      <c r="C1385" s="4">
        <v>46143</v>
      </c>
      <c r="D1385" t="s">
        <v>66</v>
      </c>
      <c r="E1385">
        <v>69</v>
      </c>
      <c r="F1385" t="s">
        <v>57</v>
      </c>
      <c r="G1385" t="s">
        <v>34</v>
      </c>
      <c r="H1385" t="s">
        <v>41</v>
      </c>
      <c r="I1385" t="s">
        <v>36</v>
      </c>
      <c r="J1385">
        <v>8</v>
      </c>
      <c r="K1385" s="5">
        <v>1524.94</v>
      </c>
      <c r="L1385" s="5">
        <v>321.8</v>
      </c>
      <c r="M1385">
        <v>10</v>
      </c>
      <c r="N1385">
        <v>6</v>
      </c>
      <c r="O1385">
        <v>1</v>
      </c>
      <c r="P1385">
        <v>1</v>
      </c>
      <c r="Q1385">
        <v>1</v>
      </c>
      <c r="R1385">
        <v>0</v>
      </c>
      <c r="S1385">
        <v>0</v>
      </c>
      <c r="T1385">
        <v>1</v>
      </c>
      <c r="U1385">
        <v>1</v>
      </c>
      <c r="V1385">
        <v>0</v>
      </c>
      <c r="W1385" t="s">
        <v>50</v>
      </c>
      <c r="X1385">
        <v>41</v>
      </c>
      <c r="Y1385">
        <v>0</v>
      </c>
      <c r="Z1385">
        <f t="shared" si="126"/>
        <v>27</v>
      </c>
      <c r="AA1385">
        <f t="shared" si="127"/>
        <v>0.28947368421052633</v>
      </c>
      <c r="AB1385">
        <f t="shared" si="128"/>
        <v>27</v>
      </c>
      <c r="AC1385" t="str">
        <f t="shared" si="129"/>
        <v>Low</v>
      </c>
      <c r="AD1385" t="str">
        <f t="shared" si="130"/>
        <v>Upsell premium bundle</v>
      </c>
      <c r="AE1385">
        <f t="shared" si="131"/>
        <v>73</v>
      </c>
    </row>
    <row r="1386" spans="1:31" x14ac:dyDescent="0.35">
      <c r="A1386" t="s">
        <v>1444</v>
      </c>
      <c r="B1386" s="4">
        <v>45277</v>
      </c>
      <c r="C1386" s="4">
        <v>46143</v>
      </c>
      <c r="D1386" t="s">
        <v>39</v>
      </c>
      <c r="E1386">
        <v>29</v>
      </c>
      <c r="F1386" t="s">
        <v>57</v>
      </c>
      <c r="G1386" t="s">
        <v>63</v>
      </c>
      <c r="H1386" t="s">
        <v>58</v>
      </c>
      <c r="I1386" t="s">
        <v>49</v>
      </c>
      <c r="J1386">
        <v>28</v>
      </c>
      <c r="K1386" s="5">
        <v>1245.83</v>
      </c>
      <c r="L1386" s="5">
        <v>945.51</v>
      </c>
      <c r="M1386">
        <v>29</v>
      </c>
      <c r="N1386">
        <v>8</v>
      </c>
      <c r="O1386">
        <v>3</v>
      </c>
      <c r="P1386">
        <v>4</v>
      </c>
      <c r="Q1386">
        <v>21</v>
      </c>
      <c r="R1386">
        <v>0</v>
      </c>
      <c r="S1386">
        <v>1</v>
      </c>
      <c r="T1386">
        <v>1</v>
      </c>
      <c r="U1386">
        <v>1</v>
      </c>
      <c r="V1386">
        <v>0</v>
      </c>
      <c r="W1386" t="s">
        <v>37</v>
      </c>
      <c r="X1386">
        <v>-21</v>
      </c>
      <c r="Y1386">
        <v>1</v>
      </c>
      <c r="Z1386">
        <f t="shared" si="126"/>
        <v>74</v>
      </c>
      <c r="AA1386">
        <f t="shared" si="127"/>
        <v>0.86206896551724133</v>
      </c>
      <c r="AB1386">
        <f t="shared" si="128"/>
        <v>53</v>
      </c>
      <c r="AC1386" t="str">
        <f t="shared" si="129"/>
        <v>Medium</v>
      </c>
      <c r="AD1386" t="str">
        <f t="shared" si="130"/>
        <v>Nudge core feature adoption</v>
      </c>
      <c r="AE1386">
        <f t="shared" si="131"/>
        <v>26</v>
      </c>
    </row>
    <row r="1387" spans="1:31" x14ac:dyDescent="0.35">
      <c r="A1387" t="s">
        <v>1445</v>
      </c>
      <c r="B1387" s="4">
        <v>46108</v>
      </c>
      <c r="C1387" s="4">
        <v>46143</v>
      </c>
      <c r="D1387" t="s">
        <v>39</v>
      </c>
      <c r="E1387">
        <v>64</v>
      </c>
      <c r="F1387" t="s">
        <v>61</v>
      </c>
      <c r="G1387" t="s">
        <v>48</v>
      </c>
      <c r="H1387" t="s">
        <v>41</v>
      </c>
      <c r="I1387" t="s">
        <v>36</v>
      </c>
      <c r="J1387">
        <v>1</v>
      </c>
      <c r="K1387" s="5">
        <v>2809.51</v>
      </c>
      <c r="L1387" s="5">
        <v>2552.33</v>
      </c>
      <c r="M1387">
        <v>10</v>
      </c>
      <c r="N1387">
        <v>4</v>
      </c>
      <c r="O1387">
        <v>1</v>
      </c>
      <c r="P1387">
        <v>2</v>
      </c>
      <c r="Q1387">
        <v>17</v>
      </c>
      <c r="R1387">
        <v>3</v>
      </c>
      <c r="S1387">
        <v>0</v>
      </c>
      <c r="T1387">
        <v>0</v>
      </c>
      <c r="U1387">
        <v>0</v>
      </c>
      <c r="V1387">
        <v>0</v>
      </c>
      <c r="W1387" t="s">
        <v>45</v>
      </c>
      <c r="X1387">
        <v>-3</v>
      </c>
      <c r="Y1387">
        <v>1</v>
      </c>
      <c r="Z1387">
        <f t="shared" si="126"/>
        <v>33</v>
      </c>
      <c r="AA1387">
        <f t="shared" si="127"/>
        <v>0.87096774193548387</v>
      </c>
      <c r="AB1387">
        <f t="shared" si="128"/>
        <v>32</v>
      </c>
      <c r="AC1387" t="str">
        <f t="shared" si="129"/>
        <v>Low</v>
      </c>
      <c r="AD1387" t="str">
        <f t="shared" si="130"/>
        <v>Upsell premium bundle</v>
      </c>
      <c r="AE1387">
        <f t="shared" si="131"/>
        <v>67</v>
      </c>
    </row>
    <row r="1388" spans="1:31" x14ac:dyDescent="0.35">
      <c r="A1388" t="s">
        <v>1446</v>
      </c>
      <c r="B1388" s="4">
        <v>45088</v>
      </c>
      <c r="C1388" s="4">
        <v>46143</v>
      </c>
      <c r="D1388" t="s">
        <v>47</v>
      </c>
      <c r="E1388">
        <v>34</v>
      </c>
      <c r="F1388" t="s">
        <v>43</v>
      </c>
      <c r="G1388" t="s">
        <v>40</v>
      </c>
      <c r="H1388" t="s">
        <v>41</v>
      </c>
      <c r="I1388" t="s">
        <v>36</v>
      </c>
      <c r="J1388">
        <v>35</v>
      </c>
      <c r="K1388" s="5">
        <v>200.89</v>
      </c>
      <c r="L1388" s="5">
        <v>154.62</v>
      </c>
      <c r="M1388">
        <v>38</v>
      </c>
      <c r="N1388">
        <v>22</v>
      </c>
      <c r="O1388">
        <v>4</v>
      </c>
      <c r="P1388">
        <v>2</v>
      </c>
      <c r="Q1388">
        <v>16</v>
      </c>
      <c r="R1388">
        <v>0</v>
      </c>
      <c r="S1388">
        <v>0</v>
      </c>
      <c r="T1388">
        <v>1</v>
      </c>
      <c r="U1388">
        <v>1</v>
      </c>
      <c r="V1388">
        <v>1</v>
      </c>
      <c r="W1388" t="s">
        <v>55</v>
      </c>
      <c r="X1388">
        <v>43</v>
      </c>
      <c r="Y1388">
        <v>0</v>
      </c>
      <c r="Z1388">
        <f t="shared" si="126"/>
        <v>94</v>
      </c>
      <c r="AA1388">
        <f t="shared" si="127"/>
        <v>0.83076923076923082</v>
      </c>
      <c r="AB1388">
        <f t="shared" si="128"/>
        <v>0</v>
      </c>
      <c r="AC1388" t="str">
        <f t="shared" si="129"/>
        <v>Low</v>
      </c>
      <c r="AD1388" t="str">
        <f t="shared" si="130"/>
        <v>Upsell premium bundle</v>
      </c>
      <c r="AE1388">
        <f t="shared" si="131"/>
        <v>6</v>
      </c>
    </row>
    <row r="1389" spans="1:31" x14ac:dyDescent="0.35">
      <c r="A1389" t="s">
        <v>1447</v>
      </c>
      <c r="B1389" s="4">
        <v>45465</v>
      </c>
      <c r="C1389" s="4">
        <v>46143</v>
      </c>
      <c r="D1389" t="s">
        <v>39</v>
      </c>
      <c r="E1389">
        <v>59</v>
      </c>
      <c r="F1389" t="s">
        <v>57</v>
      </c>
      <c r="G1389" t="s">
        <v>40</v>
      </c>
      <c r="H1389" t="s">
        <v>41</v>
      </c>
      <c r="I1389" t="s">
        <v>36</v>
      </c>
      <c r="J1389">
        <v>22</v>
      </c>
      <c r="K1389" s="5">
        <v>1688.23</v>
      </c>
      <c r="L1389" s="5">
        <v>1465.05</v>
      </c>
      <c r="M1389">
        <v>20</v>
      </c>
      <c r="N1389">
        <v>11</v>
      </c>
      <c r="O1389">
        <v>3</v>
      </c>
      <c r="P1389">
        <v>1</v>
      </c>
      <c r="Q1389">
        <v>10</v>
      </c>
      <c r="R1389">
        <v>0</v>
      </c>
      <c r="S1389">
        <v>2</v>
      </c>
      <c r="T1389">
        <v>0</v>
      </c>
      <c r="U1389">
        <v>0</v>
      </c>
      <c r="V1389">
        <v>1</v>
      </c>
      <c r="W1389" t="s">
        <v>52</v>
      </c>
      <c r="X1389">
        <v>43</v>
      </c>
      <c r="Y1389">
        <v>1</v>
      </c>
      <c r="Z1389">
        <f t="shared" si="126"/>
        <v>51</v>
      </c>
      <c r="AA1389">
        <f t="shared" si="127"/>
        <v>0.57692307692307687</v>
      </c>
      <c r="AB1389">
        <f t="shared" si="128"/>
        <v>32</v>
      </c>
      <c r="AC1389" t="str">
        <f t="shared" si="129"/>
        <v>Low</v>
      </c>
      <c r="AD1389" t="str">
        <f t="shared" si="130"/>
        <v>Upsell premium bundle</v>
      </c>
      <c r="AE1389">
        <f t="shared" si="131"/>
        <v>49</v>
      </c>
    </row>
    <row r="1390" spans="1:31" x14ac:dyDescent="0.35">
      <c r="A1390" t="s">
        <v>1448</v>
      </c>
      <c r="B1390" s="4">
        <v>45987</v>
      </c>
      <c r="C1390" s="4">
        <v>46143</v>
      </c>
      <c r="D1390" t="s">
        <v>47</v>
      </c>
      <c r="E1390">
        <v>65</v>
      </c>
      <c r="F1390" t="s">
        <v>33</v>
      </c>
      <c r="G1390" t="s">
        <v>48</v>
      </c>
      <c r="H1390" t="s">
        <v>35</v>
      </c>
      <c r="I1390" t="s">
        <v>36</v>
      </c>
      <c r="J1390">
        <v>5</v>
      </c>
      <c r="K1390" s="5">
        <v>259.8</v>
      </c>
      <c r="L1390" s="5">
        <v>36.979999999999997</v>
      </c>
      <c r="M1390">
        <v>35</v>
      </c>
      <c r="N1390">
        <v>22</v>
      </c>
      <c r="O1390">
        <v>5</v>
      </c>
      <c r="P1390">
        <v>7</v>
      </c>
      <c r="Q1390">
        <v>20</v>
      </c>
      <c r="R1390">
        <v>4</v>
      </c>
      <c r="S1390">
        <v>2</v>
      </c>
      <c r="T1390">
        <v>1</v>
      </c>
      <c r="U1390">
        <v>1</v>
      </c>
      <c r="V1390">
        <v>0</v>
      </c>
      <c r="W1390" t="s">
        <v>50</v>
      </c>
      <c r="X1390">
        <v>-49</v>
      </c>
      <c r="Y1390">
        <v>1</v>
      </c>
      <c r="Z1390">
        <f t="shared" si="126"/>
        <v>96</v>
      </c>
      <c r="AA1390">
        <f t="shared" si="127"/>
        <v>1.5714285714285714</v>
      </c>
      <c r="AB1390">
        <f t="shared" si="128"/>
        <v>44</v>
      </c>
      <c r="AC1390" t="str">
        <f t="shared" si="129"/>
        <v>Medium</v>
      </c>
      <c r="AD1390" t="str">
        <f t="shared" si="130"/>
        <v>Nudge core feature adoption</v>
      </c>
      <c r="AE1390">
        <f t="shared" si="131"/>
        <v>4</v>
      </c>
    </row>
    <row r="1391" spans="1:31" x14ac:dyDescent="0.35">
      <c r="A1391" t="s">
        <v>1449</v>
      </c>
      <c r="B1391" s="4">
        <v>45020</v>
      </c>
      <c r="C1391" s="4">
        <v>46143</v>
      </c>
      <c r="D1391" t="s">
        <v>66</v>
      </c>
      <c r="E1391">
        <v>26</v>
      </c>
      <c r="F1391" t="s">
        <v>61</v>
      </c>
      <c r="G1391" t="s">
        <v>67</v>
      </c>
      <c r="H1391" t="s">
        <v>58</v>
      </c>
      <c r="I1391" t="s">
        <v>36</v>
      </c>
      <c r="J1391">
        <v>37</v>
      </c>
      <c r="K1391" s="5">
        <v>2670.56</v>
      </c>
      <c r="L1391" s="5">
        <v>0</v>
      </c>
      <c r="M1391">
        <v>47</v>
      </c>
      <c r="N1391">
        <v>16</v>
      </c>
      <c r="O1391">
        <v>8</v>
      </c>
      <c r="P1391">
        <v>6</v>
      </c>
      <c r="Q1391">
        <v>36</v>
      </c>
      <c r="R1391">
        <v>0</v>
      </c>
      <c r="S1391">
        <v>0</v>
      </c>
      <c r="T1391">
        <v>1</v>
      </c>
      <c r="U1391">
        <v>0</v>
      </c>
      <c r="V1391">
        <v>0</v>
      </c>
      <c r="W1391" t="s">
        <v>52</v>
      </c>
      <c r="X1391">
        <v>100</v>
      </c>
      <c r="Y1391">
        <v>0</v>
      </c>
      <c r="Z1391">
        <f t="shared" si="126"/>
        <v>100</v>
      </c>
      <c r="AA1391">
        <f t="shared" si="127"/>
        <v>1.2388059701492538</v>
      </c>
      <c r="AB1391">
        <f t="shared" si="128"/>
        <v>0</v>
      </c>
      <c r="AC1391" t="str">
        <f t="shared" si="129"/>
        <v>Low</v>
      </c>
      <c r="AD1391" t="str">
        <f t="shared" si="130"/>
        <v>Upsell premium bundle</v>
      </c>
      <c r="AE1391">
        <f t="shared" si="131"/>
        <v>0</v>
      </c>
    </row>
    <row r="1392" spans="1:31" x14ac:dyDescent="0.35">
      <c r="A1392" t="s">
        <v>1450</v>
      </c>
      <c r="B1392" s="4">
        <v>45311</v>
      </c>
      <c r="C1392" s="4">
        <v>46143</v>
      </c>
      <c r="D1392" t="s">
        <v>32</v>
      </c>
      <c r="E1392">
        <v>56</v>
      </c>
      <c r="F1392" t="s">
        <v>57</v>
      </c>
      <c r="G1392" t="s">
        <v>48</v>
      </c>
      <c r="H1392" t="s">
        <v>58</v>
      </c>
      <c r="I1392" t="s">
        <v>36</v>
      </c>
      <c r="J1392">
        <v>27</v>
      </c>
      <c r="K1392" s="5">
        <v>434.32</v>
      </c>
      <c r="L1392" s="5">
        <v>933.48</v>
      </c>
      <c r="M1392">
        <v>29</v>
      </c>
      <c r="N1392">
        <v>7</v>
      </c>
      <c r="O1392">
        <v>8</v>
      </c>
      <c r="P1392">
        <v>0</v>
      </c>
      <c r="Q1392">
        <v>15</v>
      </c>
      <c r="R1392">
        <v>0</v>
      </c>
      <c r="S1392">
        <v>1</v>
      </c>
      <c r="T1392">
        <v>1</v>
      </c>
      <c r="U1392">
        <v>1</v>
      </c>
      <c r="V1392">
        <v>1</v>
      </c>
      <c r="W1392" t="s">
        <v>37</v>
      </c>
      <c r="X1392">
        <v>2</v>
      </c>
      <c r="Y1392">
        <v>0</v>
      </c>
      <c r="Z1392">
        <f t="shared" si="126"/>
        <v>75</v>
      </c>
      <c r="AA1392">
        <f t="shared" si="127"/>
        <v>0.77192982456140347</v>
      </c>
      <c r="AB1392">
        <f t="shared" si="128"/>
        <v>25</v>
      </c>
      <c r="AC1392" t="str">
        <f t="shared" si="129"/>
        <v>Low</v>
      </c>
      <c r="AD1392" t="str">
        <f t="shared" si="130"/>
        <v>Upsell premium bundle</v>
      </c>
      <c r="AE1392">
        <f t="shared" si="131"/>
        <v>25</v>
      </c>
    </row>
    <row r="1393" spans="1:31" x14ac:dyDescent="0.35">
      <c r="A1393" t="s">
        <v>1451</v>
      </c>
      <c r="B1393" s="4">
        <v>45555</v>
      </c>
      <c r="C1393" s="4">
        <v>46143</v>
      </c>
      <c r="D1393" t="s">
        <v>72</v>
      </c>
      <c r="E1393">
        <v>60</v>
      </c>
      <c r="F1393" t="s">
        <v>57</v>
      </c>
      <c r="G1393" t="s">
        <v>48</v>
      </c>
      <c r="H1393" t="s">
        <v>41</v>
      </c>
      <c r="I1393" t="s">
        <v>49</v>
      </c>
      <c r="J1393">
        <v>19</v>
      </c>
      <c r="K1393" s="5">
        <v>752.36</v>
      </c>
      <c r="L1393" s="5">
        <v>1173.6099999999999</v>
      </c>
      <c r="M1393">
        <v>32</v>
      </c>
      <c r="N1393">
        <v>9</v>
      </c>
      <c r="O1393">
        <v>3</v>
      </c>
      <c r="P1393">
        <v>5</v>
      </c>
      <c r="Q1393">
        <v>22</v>
      </c>
      <c r="R1393">
        <v>0</v>
      </c>
      <c r="S1393">
        <v>0</v>
      </c>
      <c r="T1393">
        <v>1</v>
      </c>
      <c r="U1393">
        <v>1</v>
      </c>
      <c r="V1393">
        <v>0</v>
      </c>
      <c r="W1393" t="s">
        <v>37</v>
      </c>
      <c r="X1393">
        <v>46</v>
      </c>
      <c r="Y1393">
        <v>0</v>
      </c>
      <c r="Z1393">
        <f t="shared" si="126"/>
        <v>80</v>
      </c>
      <c r="AA1393">
        <f t="shared" si="127"/>
        <v>1.1020408163265305</v>
      </c>
      <c r="AB1393">
        <f t="shared" si="128"/>
        <v>19</v>
      </c>
      <c r="AC1393" t="str">
        <f t="shared" si="129"/>
        <v>Low</v>
      </c>
      <c r="AD1393" t="str">
        <f t="shared" si="130"/>
        <v>Upsell premium bundle</v>
      </c>
      <c r="AE1393">
        <f t="shared" si="131"/>
        <v>20</v>
      </c>
    </row>
    <row r="1394" spans="1:31" x14ac:dyDescent="0.35">
      <c r="A1394" t="s">
        <v>1452</v>
      </c>
      <c r="B1394" s="4">
        <v>46081</v>
      </c>
      <c r="C1394" s="4">
        <v>46143</v>
      </c>
      <c r="D1394" t="s">
        <v>66</v>
      </c>
      <c r="E1394">
        <v>29</v>
      </c>
      <c r="F1394" t="s">
        <v>33</v>
      </c>
      <c r="G1394" t="s">
        <v>63</v>
      </c>
      <c r="H1394" t="s">
        <v>44</v>
      </c>
      <c r="I1394" t="s">
        <v>36</v>
      </c>
      <c r="J1394">
        <v>2</v>
      </c>
      <c r="K1394" s="5">
        <v>170.15</v>
      </c>
      <c r="L1394" s="5">
        <v>535.77</v>
      </c>
      <c r="M1394">
        <v>41</v>
      </c>
      <c r="N1394">
        <v>22</v>
      </c>
      <c r="O1394">
        <v>3</v>
      </c>
      <c r="P1394">
        <v>0</v>
      </c>
      <c r="Q1394">
        <v>19</v>
      </c>
      <c r="R1394">
        <v>0</v>
      </c>
      <c r="S1394">
        <v>0</v>
      </c>
      <c r="T1394">
        <v>0</v>
      </c>
      <c r="U1394">
        <v>1</v>
      </c>
      <c r="V1394">
        <v>0</v>
      </c>
      <c r="W1394" t="s">
        <v>45</v>
      </c>
      <c r="X1394">
        <v>53</v>
      </c>
      <c r="Y1394">
        <v>0</v>
      </c>
      <c r="Z1394">
        <f t="shared" si="126"/>
        <v>89</v>
      </c>
      <c r="AA1394">
        <f t="shared" si="127"/>
        <v>1.875</v>
      </c>
      <c r="AB1394">
        <f t="shared" si="128"/>
        <v>0</v>
      </c>
      <c r="AC1394" t="str">
        <f t="shared" si="129"/>
        <v>Low</v>
      </c>
      <c r="AD1394" t="str">
        <f t="shared" si="130"/>
        <v>Upsell premium bundle</v>
      </c>
      <c r="AE1394">
        <f t="shared" si="131"/>
        <v>11</v>
      </c>
    </row>
    <row r="1395" spans="1:31" x14ac:dyDescent="0.35">
      <c r="A1395" t="s">
        <v>1453</v>
      </c>
      <c r="B1395" s="4">
        <v>45266</v>
      </c>
      <c r="C1395" s="4">
        <v>46143</v>
      </c>
      <c r="D1395" t="s">
        <v>39</v>
      </c>
      <c r="E1395">
        <v>42</v>
      </c>
      <c r="F1395" t="s">
        <v>57</v>
      </c>
      <c r="G1395" t="s">
        <v>67</v>
      </c>
      <c r="H1395" t="s">
        <v>41</v>
      </c>
      <c r="I1395" t="s">
        <v>36</v>
      </c>
      <c r="J1395">
        <v>29</v>
      </c>
      <c r="K1395" s="5">
        <v>809.73</v>
      </c>
      <c r="L1395" s="5">
        <v>1232.23</v>
      </c>
      <c r="M1395">
        <v>11</v>
      </c>
      <c r="N1395">
        <v>5</v>
      </c>
      <c r="O1395">
        <v>2</v>
      </c>
      <c r="P1395">
        <v>0</v>
      </c>
      <c r="Q1395">
        <v>3</v>
      </c>
      <c r="R1395">
        <v>0</v>
      </c>
      <c r="S1395">
        <v>0</v>
      </c>
      <c r="T1395">
        <v>1</v>
      </c>
      <c r="U1395">
        <v>0</v>
      </c>
      <c r="V1395">
        <v>1</v>
      </c>
      <c r="W1395" t="s">
        <v>55</v>
      </c>
      <c r="X1395">
        <v>20</v>
      </c>
      <c r="Y1395">
        <v>1</v>
      </c>
      <c r="Z1395">
        <f t="shared" si="126"/>
        <v>28</v>
      </c>
      <c r="AA1395">
        <f t="shared" si="127"/>
        <v>0.23728813559322035</v>
      </c>
      <c r="AB1395">
        <f t="shared" si="128"/>
        <v>37</v>
      </c>
      <c r="AC1395" t="str">
        <f t="shared" si="129"/>
        <v>Low</v>
      </c>
      <c r="AD1395" t="str">
        <f t="shared" si="130"/>
        <v>Upsell premium bundle</v>
      </c>
      <c r="AE1395">
        <f t="shared" si="131"/>
        <v>72</v>
      </c>
    </row>
    <row r="1396" spans="1:31" x14ac:dyDescent="0.35">
      <c r="A1396" t="s">
        <v>1454</v>
      </c>
      <c r="B1396" s="4">
        <v>46045</v>
      </c>
      <c r="C1396" s="4">
        <v>46143</v>
      </c>
      <c r="D1396" t="s">
        <v>32</v>
      </c>
      <c r="E1396">
        <v>37</v>
      </c>
      <c r="F1396" t="s">
        <v>61</v>
      </c>
      <c r="G1396" t="s">
        <v>85</v>
      </c>
      <c r="H1396" t="s">
        <v>41</v>
      </c>
      <c r="I1396" t="s">
        <v>36</v>
      </c>
      <c r="J1396">
        <v>3</v>
      </c>
      <c r="K1396" s="5">
        <v>7580.09</v>
      </c>
      <c r="L1396" s="5">
        <v>1151.6400000000001</v>
      </c>
      <c r="M1396">
        <v>22</v>
      </c>
      <c r="N1396">
        <v>13</v>
      </c>
      <c r="O1396">
        <v>4</v>
      </c>
      <c r="P1396">
        <v>4</v>
      </c>
      <c r="Q1396">
        <v>9</v>
      </c>
      <c r="R1396">
        <v>0</v>
      </c>
      <c r="S1396">
        <v>1</v>
      </c>
      <c r="T1396">
        <v>1</v>
      </c>
      <c r="U1396">
        <v>1</v>
      </c>
      <c r="V1396">
        <v>0</v>
      </c>
      <c r="W1396" t="s">
        <v>50</v>
      </c>
      <c r="X1396">
        <v>41</v>
      </c>
      <c r="Y1396">
        <v>0</v>
      </c>
      <c r="Z1396">
        <f t="shared" si="126"/>
        <v>60</v>
      </c>
      <c r="AA1396">
        <f t="shared" si="127"/>
        <v>0.93939393939393945</v>
      </c>
      <c r="AB1396">
        <f t="shared" si="128"/>
        <v>22</v>
      </c>
      <c r="AC1396" t="str">
        <f t="shared" si="129"/>
        <v>Low</v>
      </c>
      <c r="AD1396" t="str">
        <f t="shared" si="130"/>
        <v>Upsell premium bundle</v>
      </c>
      <c r="AE1396">
        <f t="shared" si="131"/>
        <v>40</v>
      </c>
    </row>
    <row r="1397" spans="1:31" x14ac:dyDescent="0.35">
      <c r="A1397" t="s">
        <v>1455</v>
      </c>
      <c r="B1397" s="4">
        <v>45825</v>
      </c>
      <c r="C1397" s="4">
        <v>46143</v>
      </c>
      <c r="D1397" t="s">
        <v>60</v>
      </c>
      <c r="E1397">
        <v>35</v>
      </c>
      <c r="F1397" t="s">
        <v>33</v>
      </c>
      <c r="G1397" t="s">
        <v>40</v>
      </c>
      <c r="H1397" t="s">
        <v>58</v>
      </c>
      <c r="I1397" t="s">
        <v>36</v>
      </c>
      <c r="J1397">
        <v>10</v>
      </c>
      <c r="K1397" s="5">
        <v>1020.06</v>
      </c>
      <c r="L1397" s="5">
        <v>389.72</v>
      </c>
      <c r="M1397">
        <v>20</v>
      </c>
      <c r="N1397">
        <v>8</v>
      </c>
      <c r="O1397">
        <v>4</v>
      </c>
      <c r="P1397">
        <v>3</v>
      </c>
      <c r="Q1397">
        <v>17</v>
      </c>
      <c r="R1397">
        <v>0</v>
      </c>
      <c r="S1397">
        <v>1</v>
      </c>
      <c r="T1397">
        <v>1</v>
      </c>
      <c r="U1397">
        <v>1</v>
      </c>
      <c r="V1397">
        <v>0</v>
      </c>
      <c r="W1397" t="s">
        <v>52</v>
      </c>
      <c r="X1397">
        <v>-5</v>
      </c>
      <c r="Y1397">
        <v>0</v>
      </c>
      <c r="Z1397">
        <f t="shared" si="126"/>
        <v>60</v>
      </c>
      <c r="AA1397">
        <f t="shared" si="127"/>
        <v>0.92500000000000004</v>
      </c>
      <c r="AB1397">
        <f t="shared" si="128"/>
        <v>35</v>
      </c>
      <c r="AC1397" t="str">
        <f t="shared" si="129"/>
        <v>Low</v>
      </c>
      <c r="AD1397" t="str">
        <f t="shared" si="130"/>
        <v>Upsell premium bundle</v>
      </c>
      <c r="AE1397">
        <f t="shared" si="131"/>
        <v>40</v>
      </c>
    </row>
    <row r="1398" spans="1:31" x14ac:dyDescent="0.35">
      <c r="A1398" t="s">
        <v>1456</v>
      </c>
      <c r="B1398" s="4">
        <v>45423</v>
      </c>
      <c r="C1398" s="4">
        <v>46143</v>
      </c>
      <c r="D1398" t="s">
        <v>60</v>
      </c>
      <c r="E1398">
        <v>46</v>
      </c>
      <c r="F1398" t="s">
        <v>57</v>
      </c>
      <c r="G1398" t="s">
        <v>63</v>
      </c>
      <c r="H1398" t="s">
        <v>41</v>
      </c>
      <c r="I1398" t="s">
        <v>36</v>
      </c>
      <c r="J1398">
        <v>24</v>
      </c>
      <c r="K1398" s="5">
        <v>3081.01</v>
      </c>
      <c r="L1398" s="5">
        <v>813.39</v>
      </c>
      <c r="M1398">
        <v>25</v>
      </c>
      <c r="N1398">
        <v>6</v>
      </c>
      <c r="O1398">
        <v>2</v>
      </c>
      <c r="P1398">
        <v>4</v>
      </c>
      <c r="Q1398">
        <v>16</v>
      </c>
      <c r="R1398">
        <v>0</v>
      </c>
      <c r="S1398">
        <v>0</v>
      </c>
      <c r="T1398">
        <v>1</v>
      </c>
      <c r="U1398">
        <v>0</v>
      </c>
      <c r="V1398">
        <v>0</v>
      </c>
      <c r="W1398" t="s">
        <v>50</v>
      </c>
      <c r="X1398">
        <v>43</v>
      </c>
      <c r="Y1398">
        <v>0</v>
      </c>
      <c r="Z1398">
        <f t="shared" si="126"/>
        <v>54</v>
      </c>
      <c r="AA1398">
        <f t="shared" si="127"/>
        <v>0.7592592592592593</v>
      </c>
      <c r="AB1398">
        <f t="shared" si="128"/>
        <v>15</v>
      </c>
      <c r="AC1398" t="str">
        <f t="shared" si="129"/>
        <v>Low</v>
      </c>
      <c r="AD1398" t="str">
        <f t="shared" si="130"/>
        <v>Upsell premium bundle</v>
      </c>
      <c r="AE1398">
        <f t="shared" si="131"/>
        <v>46</v>
      </c>
    </row>
    <row r="1399" spans="1:31" x14ac:dyDescent="0.35">
      <c r="A1399" t="s">
        <v>1457</v>
      </c>
      <c r="B1399" s="4">
        <v>45072</v>
      </c>
      <c r="C1399" s="4">
        <v>46143</v>
      </c>
      <c r="D1399" t="s">
        <v>60</v>
      </c>
      <c r="E1399">
        <v>45</v>
      </c>
      <c r="F1399" t="s">
        <v>43</v>
      </c>
      <c r="G1399" t="s">
        <v>48</v>
      </c>
      <c r="H1399" t="s">
        <v>41</v>
      </c>
      <c r="I1399" t="s">
        <v>36</v>
      </c>
      <c r="J1399">
        <v>35</v>
      </c>
      <c r="K1399" s="5">
        <v>83.4</v>
      </c>
      <c r="L1399" s="5">
        <v>25.09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3</v>
      </c>
      <c r="S1399">
        <v>2</v>
      </c>
      <c r="T1399">
        <v>0</v>
      </c>
      <c r="U1399">
        <v>0</v>
      </c>
      <c r="V1399">
        <v>1</v>
      </c>
      <c r="W1399" t="s">
        <v>52</v>
      </c>
      <c r="X1399">
        <v>-40</v>
      </c>
      <c r="Y1399">
        <v>1</v>
      </c>
      <c r="Z1399">
        <f t="shared" si="126"/>
        <v>8</v>
      </c>
      <c r="AA1399">
        <f t="shared" si="127"/>
        <v>1.5384615384615385E-2</v>
      </c>
      <c r="AB1399">
        <f t="shared" si="128"/>
        <v>86</v>
      </c>
      <c r="AC1399" t="str">
        <f t="shared" si="129"/>
        <v>High</v>
      </c>
      <c r="AD1399" t="str">
        <f t="shared" si="130"/>
        <v>Re-engage with app usage offer</v>
      </c>
      <c r="AE1399">
        <f t="shared" si="131"/>
        <v>92</v>
      </c>
    </row>
    <row r="1400" spans="1:31" x14ac:dyDescent="0.35">
      <c r="A1400" t="s">
        <v>1458</v>
      </c>
      <c r="B1400" s="4">
        <v>44909</v>
      </c>
      <c r="C1400" s="4">
        <v>46143</v>
      </c>
      <c r="D1400" t="s">
        <v>32</v>
      </c>
      <c r="E1400">
        <v>33</v>
      </c>
      <c r="F1400" t="s">
        <v>57</v>
      </c>
      <c r="G1400" t="s">
        <v>63</v>
      </c>
      <c r="H1400" t="s">
        <v>41</v>
      </c>
      <c r="I1400" t="s">
        <v>36</v>
      </c>
      <c r="J1400">
        <v>41</v>
      </c>
      <c r="K1400" s="5">
        <v>671.25</v>
      </c>
      <c r="L1400" s="5">
        <v>562.74</v>
      </c>
      <c r="M1400">
        <v>15</v>
      </c>
      <c r="N1400">
        <v>8</v>
      </c>
      <c r="O1400">
        <v>0</v>
      </c>
      <c r="P1400">
        <v>1</v>
      </c>
      <c r="Q1400">
        <v>6</v>
      </c>
      <c r="R1400">
        <v>0</v>
      </c>
      <c r="S1400">
        <v>0</v>
      </c>
      <c r="T1400">
        <v>1</v>
      </c>
      <c r="U1400">
        <v>0</v>
      </c>
      <c r="V1400">
        <v>0</v>
      </c>
      <c r="W1400" t="s">
        <v>50</v>
      </c>
      <c r="X1400">
        <v>-15</v>
      </c>
      <c r="Y1400">
        <v>1</v>
      </c>
      <c r="Z1400">
        <f t="shared" si="126"/>
        <v>29</v>
      </c>
      <c r="AA1400">
        <f t="shared" si="127"/>
        <v>0.29577464788732394</v>
      </c>
      <c r="AB1400">
        <f t="shared" si="128"/>
        <v>54</v>
      </c>
      <c r="AC1400" t="str">
        <f t="shared" si="129"/>
        <v>Medium</v>
      </c>
      <c r="AD1400" t="str">
        <f t="shared" si="130"/>
        <v>Nudge core feature adoption</v>
      </c>
      <c r="AE1400">
        <f t="shared" si="131"/>
        <v>71</v>
      </c>
    </row>
    <row r="1401" spans="1:31" x14ac:dyDescent="0.35">
      <c r="A1401" t="s">
        <v>1459</v>
      </c>
      <c r="B1401" s="4">
        <v>45329</v>
      </c>
      <c r="C1401" s="4">
        <v>46143</v>
      </c>
      <c r="D1401" t="s">
        <v>66</v>
      </c>
      <c r="E1401">
        <v>27</v>
      </c>
      <c r="F1401" t="s">
        <v>33</v>
      </c>
      <c r="G1401" t="s">
        <v>85</v>
      </c>
      <c r="H1401" t="s">
        <v>41</v>
      </c>
      <c r="I1401" t="s">
        <v>36</v>
      </c>
      <c r="J1401">
        <v>27</v>
      </c>
      <c r="K1401" s="5">
        <v>0</v>
      </c>
      <c r="L1401" s="5">
        <v>68.239999999999995</v>
      </c>
      <c r="M1401">
        <v>0</v>
      </c>
      <c r="N1401">
        <v>0</v>
      </c>
      <c r="O1401">
        <v>0</v>
      </c>
      <c r="P1401">
        <v>0</v>
      </c>
      <c r="Q1401">
        <v>3</v>
      </c>
      <c r="R1401">
        <v>4</v>
      </c>
      <c r="S1401">
        <v>1</v>
      </c>
      <c r="T1401">
        <v>0</v>
      </c>
      <c r="U1401">
        <v>0</v>
      </c>
      <c r="V1401">
        <v>0</v>
      </c>
      <c r="W1401" t="s">
        <v>55</v>
      </c>
      <c r="X1401">
        <v>4</v>
      </c>
      <c r="Y1401">
        <v>1</v>
      </c>
      <c r="Z1401">
        <f t="shared" si="126"/>
        <v>3</v>
      </c>
      <c r="AA1401">
        <f t="shared" si="127"/>
        <v>5.2631578947368418E-2</v>
      </c>
      <c r="AB1401">
        <f t="shared" si="128"/>
        <v>57</v>
      </c>
      <c r="AC1401" t="str">
        <f t="shared" si="129"/>
        <v>Medium</v>
      </c>
      <c r="AD1401" t="str">
        <f t="shared" si="130"/>
        <v>Nudge core feature adoption</v>
      </c>
      <c r="AE1401">
        <f t="shared" si="131"/>
        <v>97</v>
      </c>
    </row>
    <row r="1402" spans="1:31" x14ac:dyDescent="0.35">
      <c r="A1402" t="s">
        <v>1460</v>
      </c>
      <c r="B1402" s="4">
        <v>45936</v>
      </c>
      <c r="C1402" s="4">
        <v>46143</v>
      </c>
      <c r="D1402" t="s">
        <v>66</v>
      </c>
      <c r="E1402">
        <v>21</v>
      </c>
      <c r="F1402" t="s">
        <v>61</v>
      </c>
      <c r="G1402" t="s">
        <v>40</v>
      </c>
      <c r="H1402" t="s">
        <v>41</v>
      </c>
      <c r="I1402" t="s">
        <v>36</v>
      </c>
      <c r="J1402">
        <v>6</v>
      </c>
      <c r="K1402" s="5">
        <v>5072.3</v>
      </c>
      <c r="L1402" s="5">
        <v>3913.38</v>
      </c>
      <c r="M1402">
        <v>22</v>
      </c>
      <c r="N1402">
        <v>14</v>
      </c>
      <c r="O1402">
        <v>3</v>
      </c>
      <c r="P1402">
        <v>1</v>
      </c>
      <c r="Q1402">
        <v>15</v>
      </c>
      <c r="R1402">
        <v>0</v>
      </c>
      <c r="S1402">
        <v>0</v>
      </c>
      <c r="T1402">
        <v>0</v>
      </c>
      <c r="U1402">
        <v>1</v>
      </c>
      <c r="V1402">
        <v>0</v>
      </c>
      <c r="W1402" t="s">
        <v>37</v>
      </c>
      <c r="X1402">
        <v>66</v>
      </c>
      <c r="Y1402">
        <v>0</v>
      </c>
      <c r="Z1402">
        <f t="shared" si="126"/>
        <v>61</v>
      </c>
      <c r="AA1402">
        <f t="shared" si="127"/>
        <v>1.0277777777777777</v>
      </c>
      <c r="AB1402">
        <f t="shared" si="128"/>
        <v>0</v>
      </c>
      <c r="AC1402" t="str">
        <f t="shared" si="129"/>
        <v>Low</v>
      </c>
      <c r="AD1402" t="str">
        <f t="shared" si="130"/>
        <v>Upsell premium bundle</v>
      </c>
      <c r="AE1402">
        <f t="shared" si="131"/>
        <v>39</v>
      </c>
    </row>
    <row r="1403" spans="1:31" x14ac:dyDescent="0.35">
      <c r="A1403" t="s">
        <v>1461</v>
      </c>
      <c r="B1403" s="4">
        <v>45628</v>
      </c>
      <c r="C1403" s="4">
        <v>46143</v>
      </c>
      <c r="D1403" t="s">
        <v>60</v>
      </c>
      <c r="E1403">
        <v>43</v>
      </c>
      <c r="F1403" t="s">
        <v>43</v>
      </c>
      <c r="G1403" t="s">
        <v>85</v>
      </c>
      <c r="H1403" t="s">
        <v>35</v>
      </c>
      <c r="I1403" t="s">
        <v>49</v>
      </c>
      <c r="J1403">
        <v>17</v>
      </c>
      <c r="K1403" s="5">
        <v>11.45</v>
      </c>
      <c r="L1403" s="5">
        <v>20.059999999999999</v>
      </c>
      <c r="M1403">
        <v>34</v>
      </c>
      <c r="N1403">
        <v>20</v>
      </c>
      <c r="O1403">
        <v>8</v>
      </c>
      <c r="P1403">
        <v>6</v>
      </c>
      <c r="Q1403">
        <v>23</v>
      </c>
      <c r="R1403">
        <v>3</v>
      </c>
      <c r="S1403">
        <v>0</v>
      </c>
      <c r="T1403">
        <v>0</v>
      </c>
      <c r="U1403">
        <v>1</v>
      </c>
      <c r="V1403">
        <v>1</v>
      </c>
      <c r="W1403" t="s">
        <v>37</v>
      </c>
      <c r="X1403">
        <v>67</v>
      </c>
      <c r="Y1403">
        <v>0</v>
      </c>
      <c r="Z1403">
        <f t="shared" si="126"/>
        <v>100</v>
      </c>
      <c r="AA1403">
        <f t="shared" si="127"/>
        <v>1.2127659574468086</v>
      </c>
      <c r="AB1403">
        <f t="shared" si="128"/>
        <v>0</v>
      </c>
      <c r="AC1403" t="str">
        <f t="shared" si="129"/>
        <v>Low</v>
      </c>
      <c r="AD1403" t="str">
        <f t="shared" si="130"/>
        <v>Upsell premium bundle</v>
      </c>
      <c r="AE1403">
        <f t="shared" si="131"/>
        <v>0</v>
      </c>
    </row>
    <row r="1404" spans="1:31" x14ac:dyDescent="0.35">
      <c r="A1404" t="s">
        <v>1462</v>
      </c>
      <c r="B1404" s="4">
        <v>45051</v>
      </c>
      <c r="C1404" s="4">
        <v>46143</v>
      </c>
      <c r="D1404" t="s">
        <v>66</v>
      </c>
      <c r="E1404">
        <v>68</v>
      </c>
      <c r="F1404" t="s">
        <v>57</v>
      </c>
      <c r="G1404" t="s">
        <v>34</v>
      </c>
      <c r="H1404" t="s">
        <v>41</v>
      </c>
      <c r="I1404" t="s">
        <v>49</v>
      </c>
      <c r="J1404">
        <v>36</v>
      </c>
      <c r="K1404" s="5">
        <v>1510.48</v>
      </c>
      <c r="L1404" s="5">
        <v>365.28</v>
      </c>
      <c r="M1404">
        <v>26</v>
      </c>
      <c r="N1404">
        <v>9</v>
      </c>
      <c r="O1404">
        <v>1</v>
      </c>
      <c r="P1404">
        <v>1</v>
      </c>
      <c r="Q1404">
        <v>18</v>
      </c>
      <c r="R1404">
        <v>2</v>
      </c>
      <c r="S1404">
        <v>0</v>
      </c>
      <c r="T1404">
        <v>1</v>
      </c>
      <c r="U1404">
        <v>1</v>
      </c>
      <c r="V1404">
        <v>1</v>
      </c>
      <c r="W1404" t="s">
        <v>55</v>
      </c>
      <c r="X1404">
        <v>-15</v>
      </c>
      <c r="Y1404">
        <v>0</v>
      </c>
      <c r="Z1404">
        <f t="shared" si="126"/>
        <v>69</v>
      </c>
      <c r="AA1404">
        <f t="shared" si="127"/>
        <v>0.66666666666666663</v>
      </c>
      <c r="AB1404">
        <f t="shared" si="128"/>
        <v>51</v>
      </c>
      <c r="AC1404" t="str">
        <f t="shared" si="129"/>
        <v>Medium</v>
      </c>
      <c r="AD1404" t="str">
        <f t="shared" si="130"/>
        <v>Nudge core feature adoption</v>
      </c>
      <c r="AE1404">
        <f t="shared" si="131"/>
        <v>31</v>
      </c>
    </row>
    <row r="1405" spans="1:31" x14ac:dyDescent="0.35">
      <c r="A1405" t="s">
        <v>1463</v>
      </c>
      <c r="B1405" s="4">
        <v>45916</v>
      </c>
      <c r="C1405" s="4">
        <v>46143</v>
      </c>
      <c r="D1405" t="s">
        <v>72</v>
      </c>
      <c r="E1405">
        <v>55</v>
      </c>
      <c r="F1405" t="s">
        <v>57</v>
      </c>
      <c r="G1405" t="s">
        <v>85</v>
      </c>
      <c r="H1405" t="s">
        <v>58</v>
      </c>
      <c r="I1405" t="s">
        <v>36</v>
      </c>
      <c r="J1405">
        <v>7</v>
      </c>
      <c r="K1405" s="5">
        <v>1070.6199999999999</v>
      </c>
      <c r="L1405" s="5">
        <v>1083.4100000000001</v>
      </c>
      <c r="M1405">
        <v>18</v>
      </c>
      <c r="N1405">
        <v>12</v>
      </c>
      <c r="O1405">
        <v>5</v>
      </c>
      <c r="P1405">
        <v>1</v>
      </c>
      <c r="Q1405">
        <v>11</v>
      </c>
      <c r="R1405">
        <v>1</v>
      </c>
      <c r="S1405">
        <v>1</v>
      </c>
      <c r="T1405">
        <v>0</v>
      </c>
      <c r="U1405">
        <v>1</v>
      </c>
      <c r="V1405">
        <v>1</v>
      </c>
      <c r="W1405" t="s">
        <v>50</v>
      </c>
      <c r="X1405">
        <v>24</v>
      </c>
      <c r="Y1405">
        <v>1</v>
      </c>
      <c r="Z1405">
        <f t="shared" si="126"/>
        <v>61</v>
      </c>
      <c r="AA1405">
        <f t="shared" si="127"/>
        <v>0.78378378378378377</v>
      </c>
      <c r="AB1405">
        <f t="shared" si="128"/>
        <v>18</v>
      </c>
      <c r="AC1405" t="str">
        <f t="shared" si="129"/>
        <v>Low</v>
      </c>
      <c r="AD1405" t="str">
        <f t="shared" si="130"/>
        <v>Upsell premium bundle</v>
      </c>
      <c r="AE1405">
        <f t="shared" si="131"/>
        <v>39</v>
      </c>
    </row>
    <row r="1406" spans="1:31" x14ac:dyDescent="0.35">
      <c r="A1406" t="s">
        <v>1464</v>
      </c>
      <c r="B1406" s="4">
        <v>45888</v>
      </c>
      <c r="C1406" s="4">
        <v>46143</v>
      </c>
      <c r="D1406" t="s">
        <v>66</v>
      </c>
      <c r="E1406">
        <v>39</v>
      </c>
      <c r="F1406" t="s">
        <v>33</v>
      </c>
      <c r="G1406" t="s">
        <v>67</v>
      </c>
      <c r="H1406" t="s">
        <v>58</v>
      </c>
      <c r="I1406" t="s">
        <v>36</v>
      </c>
      <c r="J1406">
        <v>8</v>
      </c>
      <c r="K1406" s="5">
        <v>406.39</v>
      </c>
      <c r="L1406" s="5">
        <v>370.83</v>
      </c>
      <c r="M1406">
        <v>36</v>
      </c>
      <c r="N1406">
        <v>17</v>
      </c>
      <c r="O1406">
        <v>10</v>
      </c>
      <c r="P1406">
        <v>6</v>
      </c>
      <c r="Q1406">
        <v>26</v>
      </c>
      <c r="R1406">
        <v>2</v>
      </c>
      <c r="S1406">
        <v>0</v>
      </c>
      <c r="T1406">
        <v>0</v>
      </c>
      <c r="U1406">
        <v>0</v>
      </c>
      <c r="V1406">
        <v>0</v>
      </c>
      <c r="W1406" t="s">
        <v>37</v>
      </c>
      <c r="X1406">
        <v>10</v>
      </c>
      <c r="Y1406">
        <v>0</v>
      </c>
      <c r="Z1406">
        <f t="shared" si="126"/>
        <v>95</v>
      </c>
      <c r="AA1406">
        <f t="shared" si="127"/>
        <v>1.631578947368421</v>
      </c>
      <c r="AB1406">
        <f t="shared" si="128"/>
        <v>2</v>
      </c>
      <c r="AC1406" t="str">
        <f t="shared" si="129"/>
        <v>Low</v>
      </c>
      <c r="AD1406" t="str">
        <f t="shared" si="130"/>
        <v>Upsell premium bundle</v>
      </c>
      <c r="AE1406">
        <f t="shared" si="131"/>
        <v>5</v>
      </c>
    </row>
    <row r="1407" spans="1:31" x14ac:dyDescent="0.35">
      <c r="A1407" t="s">
        <v>1465</v>
      </c>
      <c r="B1407" s="4">
        <v>44893</v>
      </c>
      <c r="C1407" s="4">
        <v>46143</v>
      </c>
      <c r="D1407" t="s">
        <v>66</v>
      </c>
      <c r="E1407">
        <v>54</v>
      </c>
      <c r="F1407" t="s">
        <v>33</v>
      </c>
      <c r="G1407" t="s">
        <v>40</v>
      </c>
      <c r="H1407" t="s">
        <v>41</v>
      </c>
      <c r="I1407" t="s">
        <v>36</v>
      </c>
      <c r="J1407">
        <v>41</v>
      </c>
      <c r="K1407" s="5">
        <v>258.05</v>
      </c>
      <c r="L1407" s="5">
        <v>265.01</v>
      </c>
      <c r="M1407">
        <v>31</v>
      </c>
      <c r="N1407">
        <v>9</v>
      </c>
      <c r="O1407">
        <v>3</v>
      </c>
      <c r="P1407">
        <v>3</v>
      </c>
      <c r="Q1407">
        <v>28</v>
      </c>
      <c r="R1407">
        <v>0</v>
      </c>
      <c r="S1407">
        <v>1</v>
      </c>
      <c r="T1407">
        <v>0</v>
      </c>
      <c r="U1407">
        <v>0</v>
      </c>
      <c r="V1407">
        <v>1</v>
      </c>
      <c r="W1407" t="s">
        <v>50</v>
      </c>
      <c r="X1407">
        <v>34</v>
      </c>
      <c r="Y1407">
        <v>0</v>
      </c>
      <c r="Z1407">
        <f t="shared" si="126"/>
        <v>80</v>
      </c>
      <c r="AA1407">
        <f t="shared" si="127"/>
        <v>0.83098591549295775</v>
      </c>
      <c r="AB1407">
        <f t="shared" si="128"/>
        <v>17</v>
      </c>
      <c r="AC1407" t="str">
        <f t="shared" si="129"/>
        <v>Low</v>
      </c>
      <c r="AD1407" t="str">
        <f t="shared" si="130"/>
        <v>Upsell premium bundle</v>
      </c>
      <c r="AE1407">
        <f t="shared" si="131"/>
        <v>20</v>
      </c>
    </row>
    <row r="1408" spans="1:31" x14ac:dyDescent="0.35">
      <c r="A1408" t="s">
        <v>1466</v>
      </c>
      <c r="B1408" s="4">
        <v>45920</v>
      </c>
      <c r="C1408" s="4">
        <v>46143</v>
      </c>
      <c r="D1408" t="s">
        <v>39</v>
      </c>
      <c r="E1408">
        <v>27</v>
      </c>
      <c r="F1408" t="s">
        <v>33</v>
      </c>
      <c r="G1408" t="s">
        <v>40</v>
      </c>
      <c r="H1408" t="s">
        <v>41</v>
      </c>
      <c r="I1408" t="s">
        <v>36</v>
      </c>
      <c r="J1408">
        <v>7</v>
      </c>
      <c r="K1408" s="5">
        <v>340.07</v>
      </c>
      <c r="L1408" s="5">
        <v>0</v>
      </c>
      <c r="M1408">
        <v>19</v>
      </c>
      <c r="N1408">
        <v>5</v>
      </c>
      <c r="O1408">
        <v>4</v>
      </c>
      <c r="P1408">
        <v>3</v>
      </c>
      <c r="Q1408">
        <v>7</v>
      </c>
      <c r="R1408">
        <v>0</v>
      </c>
      <c r="S1408">
        <v>0</v>
      </c>
      <c r="T1408">
        <v>1</v>
      </c>
      <c r="U1408">
        <v>1</v>
      </c>
      <c r="V1408">
        <v>1</v>
      </c>
      <c r="W1408" t="s">
        <v>50</v>
      </c>
      <c r="X1408">
        <v>60</v>
      </c>
      <c r="Y1408">
        <v>0</v>
      </c>
      <c r="Z1408">
        <f t="shared" si="126"/>
        <v>55</v>
      </c>
      <c r="AA1408">
        <f t="shared" si="127"/>
        <v>0.70270270270270274</v>
      </c>
      <c r="AB1408">
        <f t="shared" si="128"/>
        <v>6</v>
      </c>
      <c r="AC1408" t="str">
        <f t="shared" si="129"/>
        <v>Low</v>
      </c>
      <c r="AD1408" t="str">
        <f t="shared" si="130"/>
        <v>Upsell premium bundle</v>
      </c>
      <c r="AE1408">
        <f t="shared" si="131"/>
        <v>45</v>
      </c>
    </row>
    <row r="1409" spans="1:31" x14ac:dyDescent="0.35">
      <c r="A1409" t="s">
        <v>1467</v>
      </c>
      <c r="B1409" s="4">
        <v>44968</v>
      </c>
      <c r="C1409" s="4">
        <v>46143</v>
      </c>
      <c r="D1409" t="s">
        <v>39</v>
      </c>
      <c r="E1409">
        <v>52</v>
      </c>
      <c r="F1409" t="s">
        <v>77</v>
      </c>
      <c r="G1409" t="s">
        <v>40</v>
      </c>
      <c r="H1409" t="s">
        <v>41</v>
      </c>
      <c r="I1409" t="s">
        <v>36</v>
      </c>
      <c r="J1409">
        <v>39</v>
      </c>
      <c r="K1409" s="5">
        <v>0</v>
      </c>
      <c r="L1409" s="5">
        <v>6215.28</v>
      </c>
      <c r="M1409">
        <v>29</v>
      </c>
      <c r="N1409">
        <v>8</v>
      </c>
      <c r="O1409">
        <v>3</v>
      </c>
      <c r="P1409">
        <v>5</v>
      </c>
      <c r="Q1409">
        <v>19</v>
      </c>
      <c r="R1409">
        <v>1</v>
      </c>
      <c r="S1409">
        <v>0</v>
      </c>
      <c r="T1409">
        <v>1</v>
      </c>
      <c r="U1409">
        <v>0</v>
      </c>
      <c r="V1409">
        <v>0</v>
      </c>
      <c r="W1409" t="s">
        <v>50</v>
      </c>
      <c r="X1409">
        <v>66</v>
      </c>
      <c r="Y1409">
        <v>0</v>
      </c>
      <c r="Z1409">
        <f t="shared" si="126"/>
        <v>65</v>
      </c>
      <c r="AA1409">
        <f t="shared" si="127"/>
        <v>0.69565217391304346</v>
      </c>
      <c r="AB1409">
        <f t="shared" si="128"/>
        <v>0</v>
      </c>
      <c r="AC1409" t="str">
        <f t="shared" si="129"/>
        <v>Low</v>
      </c>
      <c r="AD1409" t="str">
        <f t="shared" si="130"/>
        <v>Upsell premium bundle</v>
      </c>
      <c r="AE1409">
        <f t="shared" si="131"/>
        <v>35</v>
      </c>
    </row>
    <row r="1410" spans="1:31" x14ac:dyDescent="0.35">
      <c r="A1410" t="s">
        <v>1468</v>
      </c>
      <c r="B1410" s="4">
        <v>45036</v>
      </c>
      <c r="C1410" s="4">
        <v>46143</v>
      </c>
      <c r="D1410" t="s">
        <v>39</v>
      </c>
      <c r="E1410">
        <v>33</v>
      </c>
      <c r="F1410" t="s">
        <v>33</v>
      </c>
      <c r="G1410" t="s">
        <v>67</v>
      </c>
      <c r="H1410" t="s">
        <v>44</v>
      </c>
      <c r="I1410" t="s">
        <v>49</v>
      </c>
      <c r="J1410">
        <v>36</v>
      </c>
      <c r="K1410" s="5">
        <v>170.27</v>
      </c>
      <c r="L1410" s="5">
        <v>99.14</v>
      </c>
      <c r="M1410">
        <v>30</v>
      </c>
      <c r="N1410">
        <v>16</v>
      </c>
      <c r="O1410">
        <v>5</v>
      </c>
      <c r="P1410">
        <v>5</v>
      </c>
      <c r="Q1410">
        <v>30</v>
      </c>
      <c r="R1410">
        <v>0</v>
      </c>
      <c r="S1410">
        <v>0</v>
      </c>
      <c r="T1410">
        <v>1</v>
      </c>
      <c r="U1410">
        <v>0</v>
      </c>
      <c r="V1410">
        <v>1</v>
      </c>
      <c r="W1410" t="s">
        <v>45</v>
      </c>
      <c r="X1410">
        <v>73</v>
      </c>
      <c r="Y1410">
        <v>0</v>
      </c>
      <c r="Z1410">
        <f t="shared" ref="Z1410:Z1473" si="132">MIN(100,ROUND((M1410*1.1+N1410*0.7+O1410*1.2+P1410*1.4+Q1410*0.9+U1410*8+V1410*7),0))</f>
        <v>91</v>
      </c>
      <c r="AA1410">
        <f t="shared" ref="AA1410:AA1473" si="133">IFERROR((M1410+Q1410)/(30+J1410),0)</f>
        <v>0.90909090909090906</v>
      </c>
      <c r="AB1410">
        <f t="shared" ref="AB1410:AB1473" si="134">ROUND(MIN(100,MAX(0,60-Z1410*0.4-R1410*1.5+S1410*8-IF(L1410&gt;1500,10,0)-X1410*0.5+IF(I1410="Completed",-8,8)+IF(H1410="Free",6,-4))),0)</f>
        <v>0</v>
      </c>
      <c r="AC1410" t="str">
        <f t="shared" ref="AC1410:AC1473" si="135">IF(AB1410&gt;=70,"High",IF(AB1410&gt;=40,"Medium","Low"))</f>
        <v>Low</v>
      </c>
      <c r="AD1410" t="str">
        <f t="shared" ref="AD1410:AD1473" si="136">IF(AC1410="High",IF(Q1410&lt;5,"Re-engage with app usage offer",IF(K1410&lt;100,"Deposit incentive","Retention call")),IF(AC1410="Medium","Nudge core feature adoption","Upsell premium bundle"))</f>
        <v>Upsell premium bundle</v>
      </c>
      <c r="AE1410">
        <f t="shared" ref="AE1410:AE1473" si="137">100-Z1410</f>
        <v>9</v>
      </c>
    </row>
    <row r="1411" spans="1:31" x14ac:dyDescent="0.35">
      <c r="A1411" t="s">
        <v>1469</v>
      </c>
      <c r="B1411" s="4">
        <v>44711</v>
      </c>
      <c r="C1411" s="4">
        <v>46143</v>
      </c>
      <c r="D1411" t="s">
        <v>39</v>
      </c>
      <c r="E1411">
        <v>40</v>
      </c>
      <c r="F1411" t="s">
        <v>33</v>
      </c>
      <c r="G1411" t="s">
        <v>67</v>
      </c>
      <c r="H1411" t="s">
        <v>41</v>
      </c>
      <c r="I1411" t="s">
        <v>36</v>
      </c>
      <c r="J1411">
        <v>47</v>
      </c>
      <c r="K1411" s="5">
        <v>597.04</v>
      </c>
      <c r="L1411" s="5">
        <v>251.92</v>
      </c>
      <c r="M1411">
        <v>15</v>
      </c>
      <c r="N1411">
        <v>5</v>
      </c>
      <c r="O1411">
        <v>2</v>
      </c>
      <c r="P1411">
        <v>2</v>
      </c>
      <c r="Q1411">
        <v>17</v>
      </c>
      <c r="R1411">
        <v>0</v>
      </c>
      <c r="S1411">
        <v>0</v>
      </c>
      <c r="T1411">
        <v>1</v>
      </c>
      <c r="U1411">
        <v>0</v>
      </c>
      <c r="V1411">
        <v>0</v>
      </c>
      <c r="W1411" t="s">
        <v>52</v>
      </c>
      <c r="X1411">
        <v>45</v>
      </c>
      <c r="Y1411">
        <v>0</v>
      </c>
      <c r="Z1411">
        <f t="shared" si="132"/>
        <v>41</v>
      </c>
      <c r="AA1411">
        <f t="shared" si="133"/>
        <v>0.41558441558441561</v>
      </c>
      <c r="AB1411">
        <f t="shared" si="134"/>
        <v>19</v>
      </c>
      <c r="AC1411" t="str">
        <f t="shared" si="135"/>
        <v>Low</v>
      </c>
      <c r="AD1411" t="str">
        <f t="shared" si="136"/>
        <v>Upsell premium bundle</v>
      </c>
      <c r="AE1411">
        <f t="shared" si="137"/>
        <v>59</v>
      </c>
    </row>
    <row r="1412" spans="1:31" x14ac:dyDescent="0.35">
      <c r="A1412" t="s">
        <v>1470</v>
      </c>
      <c r="B1412" s="4">
        <v>44752</v>
      </c>
      <c r="C1412" s="4">
        <v>46143</v>
      </c>
      <c r="D1412" t="s">
        <v>47</v>
      </c>
      <c r="E1412">
        <v>57</v>
      </c>
      <c r="F1412" t="s">
        <v>57</v>
      </c>
      <c r="G1412" t="s">
        <v>34</v>
      </c>
      <c r="H1412" t="s">
        <v>41</v>
      </c>
      <c r="I1412" t="s">
        <v>36</v>
      </c>
      <c r="J1412">
        <v>46</v>
      </c>
      <c r="K1412" s="5">
        <v>362.27</v>
      </c>
      <c r="L1412" s="5">
        <v>962.35</v>
      </c>
      <c r="M1412">
        <v>24</v>
      </c>
      <c r="N1412">
        <v>12</v>
      </c>
      <c r="O1412">
        <v>4</v>
      </c>
      <c r="P1412">
        <v>2</v>
      </c>
      <c r="Q1412">
        <v>19</v>
      </c>
      <c r="R1412">
        <v>5</v>
      </c>
      <c r="S1412">
        <v>1</v>
      </c>
      <c r="T1412">
        <v>1</v>
      </c>
      <c r="U1412">
        <v>0</v>
      </c>
      <c r="V1412">
        <v>0</v>
      </c>
      <c r="W1412" t="s">
        <v>50</v>
      </c>
      <c r="X1412">
        <v>-42</v>
      </c>
      <c r="Y1412">
        <v>1</v>
      </c>
      <c r="Z1412">
        <f t="shared" si="132"/>
        <v>60</v>
      </c>
      <c r="AA1412">
        <f t="shared" si="133"/>
        <v>0.56578947368421051</v>
      </c>
      <c r="AB1412">
        <f t="shared" si="134"/>
        <v>56</v>
      </c>
      <c r="AC1412" t="str">
        <f t="shared" si="135"/>
        <v>Medium</v>
      </c>
      <c r="AD1412" t="str">
        <f t="shared" si="136"/>
        <v>Nudge core feature adoption</v>
      </c>
      <c r="AE1412">
        <f t="shared" si="137"/>
        <v>40</v>
      </c>
    </row>
    <row r="1413" spans="1:31" x14ac:dyDescent="0.35">
      <c r="A1413" t="s">
        <v>1471</v>
      </c>
      <c r="B1413" s="4">
        <v>45054</v>
      </c>
      <c r="C1413" s="4">
        <v>46143</v>
      </c>
      <c r="D1413" t="s">
        <v>47</v>
      </c>
      <c r="E1413">
        <v>23</v>
      </c>
      <c r="F1413" t="s">
        <v>43</v>
      </c>
      <c r="G1413" t="s">
        <v>48</v>
      </c>
      <c r="H1413" t="s">
        <v>41</v>
      </c>
      <c r="I1413" t="s">
        <v>54</v>
      </c>
      <c r="J1413">
        <v>36</v>
      </c>
      <c r="K1413" s="5">
        <v>95.01</v>
      </c>
      <c r="L1413" s="5">
        <v>53.37</v>
      </c>
      <c r="M1413">
        <v>9</v>
      </c>
      <c r="N1413">
        <v>3</v>
      </c>
      <c r="O1413">
        <v>1</v>
      </c>
      <c r="P1413">
        <v>1</v>
      </c>
      <c r="Q1413">
        <v>4</v>
      </c>
      <c r="R1413">
        <v>0</v>
      </c>
      <c r="S1413">
        <v>1</v>
      </c>
      <c r="T1413">
        <v>1</v>
      </c>
      <c r="U1413">
        <v>0</v>
      </c>
      <c r="V1413">
        <v>0</v>
      </c>
      <c r="W1413" t="s">
        <v>52</v>
      </c>
      <c r="X1413">
        <v>29</v>
      </c>
      <c r="Y1413">
        <v>1</v>
      </c>
      <c r="Z1413">
        <f t="shared" si="132"/>
        <v>18</v>
      </c>
      <c r="AA1413">
        <f t="shared" si="133"/>
        <v>0.19696969696969696</v>
      </c>
      <c r="AB1413">
        <f t="shared" si="134"/>
        <v>60</v>
      </c>
      <c r="AC1413" t="str">
        <f t="shared" si="135"/>
        <v>Medium</v>
      </c>
      <c r="AD1413" t="str">
        <f t="shared" si="136"/>
        <v>Nudge core feature adoption</v>
      </c>
      <c r="AE1413">
        <f t="shared" si="137"/>
        <v>82</v>
      </c>
    </row>
    <row r="1414" spans="1:31" x14ac:dyDescent="0.35">
      <c r="A1414" t="s">
        <v>1472</v>
      </c>
      <c r="B1414" s="4">
        <v>45827</v>
      </c>
      <c r="C1414" s="4">
        <v>46143</v>
      </c>
      <c r="D1414" t="s">
        <v>32</v>
      </c>
      <c r="E1414">
        <v>63</v>
      </c>
      <c r="F1414" t="s">
        <v>33</v>
      </c>
      <c r="G1414" t="s">
        <v>34</v>
      </c>
      <c r="H1414" t="s">
        <v>58</v>
      </c>
      <c r="I1414" t="s">
        <v>49</v>
      </c>
      <c r="J1414">
        <v>10</v>
      </c>
      <c r="K1414" s="5">
        <v>183.86</v>
      </c>
      <c r="L1414" s="5">
        <v>95.32</v>
      </c>
      <c r="M1414">
        <v>44</v>
      </c>
      <c r="N1414">
        <v>21</v>
      </c>
      <c r="O1414">
        <v>3</v>
      </c>
      <c r="P1414">
        <v>7</v>
      </c>
      <c r="Q1414">
        <v>29</v>
      </c>
      <c r="R1414">
        <v>1</v>
      </c>
      <c r="S1414">
        <v>2</v>
      </c>
      <c r="T1414">
        <v>0</v>
      </c>
      <c r="U1414">
        <v>1</v>
      </c>
      <c r="V1414">
        <v>0</v>
      </c>
      <c r="W1414" t="s">
        <v>37</v>
      </c>
      <c r="X1414">
        <v>58</v>
      </c>
      <c r="Y1414">
        <v>0</v>
      </c>
      <c r="Z1414">
        <f t="shared" si="132"/>
        <v>100</v>
      </c>
      <c r="AA1414">
        <f t="shared" si="133"/>
        <v>1.825</v>
      </c>
      <c r="AB1414">
        <f t="shared" si="134"/>
        <v>10</v>
      </c>
      <c r="AC1414" t="str">
        <f t="shared" si="135"/>
        <v>Low</v>
      </c>
      <c r="AD1414" t="str">
        <f t="shared" si="136"/>
        <v>Upsell premium bundle</v>
      </c>
      <c r="AE1414">
        <f t="shared" si="137"/>
        <v>0</v>
      </c>
    </row>
    <row r="1415" spans="1:31" x14ac:dyDescent="0.35">
      <c r="A1415" t="s">
        <v>1473</v>
      </c>
      <c r="B1415" s="4">
        <v>44810</v>
      </c>
      <c r="C1415" s="4">
        <v>46143</v>
      </c>
      <c r="D1415" t="s">
        <v>32</v>
      </c>
      <c r="E1415">
        <v>18</v>
      </c>
      <c r="F1415" t="s">
        <v>33</v>
      </c>
      <c r="G1415" t="s">
        <v>67</v>
      </c>
      <c r="H1415" t="s">
        <v>41</v>
      </c>
      <c r="I1415" t="s">
        <v>36</v>
      </c>
      <c r="J1415">
        <v>44</v>
      </c>
      <c r="K1415" s="5">
        <v>288.05</v>
      </c>
      <c r="L1415" s="5">
        <v>183.95</v>
      </c>
      <c r="M1415">
        <v>33</v>
      </c>
      <c r="N1415">
        <v>9</v>
      </c>
      <c r="O1415">
        <v>3</v>
      </c>
      <c r="P1415">
        <v>6</v>
      </c>
      <c r="Q1415">
        <v>25</v>
      </c>
      <c r="R1415">
        <v>0</v>
      </c>
      <c r="S1415">
        <v>0</v>
      </c>
      <c r="T1415">
        <v>1</v>
      </c>
      <c r="U1415">
        <v>0</v>
      </c>
      <c r="V1415">
        <v>1</v>
      </c>
      <c r="W1415" t="s">
        <v>50</v>
      </c>
      <c r="X1415">
        <v>83</v>
      </c>
      <c r="Y1415">
        <v>0</v>
      </c>
      <c r="Z1415">
        <f t="shared" si="132"/>
        <v>84</v>
      </c>
      <c r="AA1415">
        <f t="shared" si="133"/>
        <v>0.78378378378378377</v>
      </c>
      <c r="AB1415">
        <f t="shared" si="134"/>
        <v>0</v>
      </c>
      <c r="AC1415" t="str">
        <f t="shared" si="135"/>
        <v>Low</v>
      </c>
      <c r="AD1415" t="str">
        <f t="shared" si="136"/>
        <v>Upsell premium bundle</v>
      </c>
      <c r="AE1415">
        <f t="shared" si="137"/>
        <v>16</v>
      </c>
    </row>
    <row r="1416" spans="1:31" x14ac:dyDescent="0.35">
      <c r="A1416" t="s">
        <v>1474</v>
      </c>
      <c r="B1416" s="4">
        <v>45262</v>
      </c>
      <c r="C1416" s="4">
        <v>46143</v>
      </c>
      <c r="D1416" t="s">
        <v>32</v>
      </c>
      <c r="E1416">
        <v>71</v>
      </c>
      <c r="F1416" t="s">
        <v>57</v>
      </c>
      <c r="G1416" t="s">
        <v>48</v>
      </c>
      <c r="H1416" t="s">
        <v>41</v>
      </c>
      <c r="I1416" t="s">
        <v>49</v>
      </c>
      <c r="J1416">
        <v>29</v>
      </c>
      <c r="K1416" s="5">
        <v>500.63</v>
      </c>
      <c r="L1416" s="5">
        <v>24.03</v>
      </c>
      <c r="M1416">
        <v>14</v>
      </c>
      <c r="N1416">
        <v>6</v>
      </c>
      <c r="O1416">
        <v>3</v>
      </c>
      <c r="P1416">
        <v>2</v>
      </c>
      <c r="Q1416">
        <v>17</v>
      </c>
      <c r="R1416">
        <v>2</v>
      </c>
      <c r="S1416">
        <v>1</v>
      </c>
      <c r="T1416">
        <v>1</v>
      </c>
      <c r="U1416">
        <v>0</v>
      </c>
      <c r="V1416">
        <v>1</v>
      </c>
      <c r="W1416" t="s">
        <v>45</v>
      </c>
      <c r="X1416">
        <v>20</v>
      </c>
      <c r="Y1416">
        <v>1</v>
      </c>
      <c r="Z1416">
        <f t="shared" si="132"/>
        <v>48</v>
      </c>
      <c r="AA1416">
        <f t="shared" si="133"/>
        <v>0.52542372881355937</v>
      </c>
      <c r="AB1416">
        <f t="shared" si="134"/>
        <v>50</v>
      </c>
      <c r="AC1416" t="str">
        <f t="shared" si="135"/>
        <v>Medium</v>
      </c>
      <c r="AD1416" t="str">
        <f t="shared" si="136"/>
        <v>Nudge core feature adoption</v>
      </c>
      <c r="AE1416">
        <f t="shared" si="137"/>
        <v>52</v>
      </c>
    </row>
    <row r="1417" spans="1:31" x14ac:dyDescent="0.35">
      <c r="A1417" t="s">
        <v>1475</v>
      </c>
      <c r="B1417" s="4">
        <v>45082</v>
      </c>
      <c r="C1417" s="4">
        <v>46143</v>
      </c>
      <c r="D1417" t="s">
        <v>66</v>
      </c>
      <c r="E1417">
        <v>59</v>
      </c>
      <c r="F1417" t="s">
        <v>57</v>
      </c>
      <c r="G1417" t="s">
        <v>48</v>
      </c>
      <c r="H1417" t="s">
        <v>35</v>
      </c>
      <c r="I1417" t="s">
        <v>36</v>
      </c>
      <c r="J1417">
        <v>35</v>
      </c>
      <c r="K1417" s="5">
        <v>690.06</v>
      </c>
      <c r="L1417" s="5">
        <v>994.55</v>
      </c>
      <c r="M1417">
        <v>9</v>
      </c>
      <c r="N1417">
        <v>3</v>
      </c>
      <c r="O1417">
        <v>0</v>
      </c>
      <c r="P1417">
        <v>1</v>
      </c>
      <c r="Q1417">
        <v>13</v>
      </c>
      <c r="R1417">
        <v>4</v>
      </c>
      <c r="S1417">
        <v>2</v>
      </c>
      <c r="T1417">
        <v>1</v>
      </c>
      <c r="U1417">
        <v>1</v>
      </c>
      <c r="V1417">
        <v>1</v>
      </c>
      <c r="W1417" t="s">
        <v>37</v>
      </c>
      <c r="X1417">
        <v>-20</v>
      </c>
      <c r="Y1417">
        <v>1</v>
      </c>
      <c r="Z1417">
        <f t="shared" si="132"/>
        <v>40</v>
      </c>
      <c r="AA1417">
        <f t="shared" si="133"/>
        <v>0.33846153846153848</v>
      </c>
      <c r="AB1417">
        <f t="shared" si="134"/>
        <v>52</v>
      </c>
      <c r="AC1417" t="str">
        <f t="shared" si="135"/>
        <v>Medium</v>
      </c>
      <c r="AD1417" t="str">
        <f t="shared" si="136"/>
        <v>Nudge core feature adoption</v>
      </c>
      <c r="AE1417">
        <f t="shared" si="137"/>
        <v>60</v>
      </c>
    </row>
    <row r="1418" spans="1:31" x14ac:dyDescent="0.35">
      <c r="A1418" t="s">
        <v>1476</v>
      </c>
      <c r="B1418" s="4">
        <v>45171</v>
      </c>
      <c r="C1418" s="4">
        <v>46143</v>
      </c>
      <c r="D1418" t="s">
        <v>39</v>
      </c>
      <c r="E1418">
        <v>27</v>
      </c>
      <c r="F1418" t="s">
        <v>57</v>
      </c>
      <c r="G1418" t="s">
        <v>67</v>
      </c>
      <c r="H1418" t="s">
        <v>41</v>
      </c>
      <c r="I1418" t="s">
        <v>49</v>
      </c>
      <c r="J1418">
        <v>32</v>
      </c>
      <c r="K1418" s="5">
        <v>558.67999999999995</v>
      </c>
      <c r="L1418" s="5">
        <v>365.51</v>
      </c>
      <c r="M1418">
        <v>3</v>
      </c>
      <c r="N1418">
        <v>1</v>
      </c>
      <c r="O1418">
        <v>0</v>
      </c>
      <c r="P1418">
        <v>0</v>
      </c>
      <c r="Q1418">
        <v>7</v>
      </c>
      <c r="R1418">
        <v>1</v>
      </c>
      <c r="S1418">
        <v>0</v>
      </c>
      <c r="T1418">
        <v>1</v>
      </c>
      <c r="U1418">
        <v>0</v>
      </c>
      <c r="V1418">
        <v>1</v>
      </c>
      <c r="W1418" t="s">
        <v>50</v>
      </c>
      <c r="X1418">
        <v>-18</v>
      </c>
      <c r="Y1418">
        <v>1</v>
      </c>
      <c r="Z1418">
        <f t="shared" si="132"/>
        <v>17</v>
      </c>
      <c r="AA1418">
        <f t="shared" si="133"/>
        <v>0.16129032258064516</v>
      </c>
      <c r="AB1418">
        <f t="shared" si="134"/>
        <v>75</v>
      </c>
      <c r="AC1418" t="str">
        <f t="shared" si="135"/>
        <v>High</v>
      </c>
      <c r="AD1418" t="str">
        <f t="shared" si="136"/>
        <v>Retention call</v>
      </c>
      <c r="AE1418">
        <f t="shared" si="137"/>
        <v>83</v>
      </c>
    </row>
    <row r="1419" spans="1:31" x14ac:dyDescent="0.35">
      <c r="A1419" t="s">
        <v>1477</v>
      </c>
      <c r="B1419" s="4">
        <v>45197</v>
      </c>
      <c r="C1419" s="4">
        <v>46143</v>
      </c>
      <c r="D1419" t="s">
        <v>72</v>
      </c>
      <c r="E1419">
        <v>35</v>
      </c>
      <c r="F1419" t="s">
        <v>57</v>
      </c>
      <c r="G1419" t="s">
        <v>63</v>
      </c>
      <c r="H1419" t="s">
        <v>41</v>
      </c>
      <c r="I1419" t="s">
        <v>36</v>
      </c>
      <c r="J1419">
        <v>31</v>
      </c>
      <c r="K1419" s="5">
        <v>1542.05</v>
      </c>
      <c r="L1419" s="5">
        <v>601.79</v>
      </c>
      <c r="M1419">
        <v>14</v>
      </c>
      <c r="N1419">
        <v>7</v>
      </c>
      <c r="O1419">
        <v>3</v>
      </c>
      <c r="P1419">
        <v>0</v>
      </c>
      <c r="Q1419">
        <v>16</v>
      </c>
      <c r="R1419">
        <v>1</v>
      </c>
      <c r="S1419">
        <v>4</v>
      </c>
      <c r="T1419">
        <v>0</v>
      </c>
      <c r="U1419">
        <v>0</v>
      </c>
      <c r="V1419">
        <v>0</v>
      </c>
      <c r="W1419" t="s">
        <v>52</v>
      </c>
      <c r="X1419">
        <v>-31</v>
      </c>
      <c r="Y1419">
        <v>0</v>
      </c>
      <c r="Z1419">
        <f t="shared" si="132"/>
        <v>38</v>
      </c>
      <c r="AA1419">
        <f t="shared" si="133"/>
        <v>0.49180327868852458</v>
      </c>
      <c r="AB1419">
        <f t="shared" si="134"/>
        <v>89</v>
      </c>
      <c r="AC1419" t="str">
        <f t="shared" si="135"/>
        <v>High</v>
      </c>
      <c r="AD1419" t="str">
        <f t="shared" si="136"/>
        <v>Retention call</v>
      </c>
      <c r="AE1419">
        <f t="shared" si="137"/>
        <v>62</v>
      </c>
    </row>
    <row r="1420" spans="1:31" x14ac:dyDescent="0.35">
      <c r="A1420" t="s">
        <v>1478</v>
      </c>
      <c r="B1420" s="4">
        <v>45505</v>
      </c>
      <c r="C1420" s="4">
        <v>46143</v>
      </c>
      <c r="D1420" t="s">
        <v>66</v>
      </c>
      <c r="E1420">
        <v>61</v>
      </c>
      <c r="F1420" t="s">
        <v>57</v>
      </c>
      <c r="G1420" t="s">
        <v>67</v>
      </c>
      <c r="H1420" t="s">
        <v>41</v>
      </c>
      <c r="I1420" t="s">
        <v>36</v>
      </c>
      <c r="J1420">
        <v>21</v>
      </c>
      <c r="K1420" s="5">
        <v>0</v>
      </c>
      <c r="L1420" s="5">
        <v>8.4499999999999993</v>
      </c>
      <c r="M1420">
        <v>14</v>
      </c>
      <c r="N1420">
        <v>6</v>
      </c>
      <c r="O1420">
        <v>3</v>
      </c>
      <c r="P1420">
        <v>0</v>
      </c>
      <c r="Q1420">
        <v>11</v>
      </c>
      <c r="R1420">
        <v>1</v>
      </c>
      <c r="S1420">
        <v>1</v>
      </c>
      <c r="T1420">
        <v>1</v>
      </c>
      <c r="U1420">
        <v>1</v>
      </c>
      <c r="V1420">
        <v>0</v>
      </c>
      <c r="W1420" t="s">
        <v>50</v>
      </c>
      <c r="X1420">
        <v>-20</v>
      </c>
      <c r="Y1420">
        <v>1</v>
      </c>
      <c r="Z1420">
        <f t="shared" si="132"/>
        <v>41</v>
      </c>
      <c r="AA1420">
        <f t="shared" si="133"/>
        <v>0.49019607843137253</v>
      </c>
      <c r="AB1420">
        <f t="shared" si="134"/>
        <v>58</v>
      </c>
      <c r="AC1420" t="str">
        <f t="shared" si="135"/>
        <v>Medium</v>
      </c>
      <c r="AD1420" t="str">
        <f t="shared" si="136"/>
        <v>Nudge core feature adoption</v>
      </c>
      <c r="AE1420">
        <f t="shared" si="137"/>
        <v>59</v>
      </c>
    </row>
    <row r="1421" spans="1:31" x14ac:dyDescent="0.35">
      <c r="A1421" t="s">
        <v>1479</v>
      </c>
      <c r="B1421" s="4">
        <v>45127</v>
      </c>
      <c r="C1421" s="4">
        <v>46143</v>
      </c>
      <c r="D1421" t="s">
        <v>60</v>
      </c>
      <c r="E1421">
        <v>63</v>
      </c>
      <c r="F1421" t="s">
        <v>77</v>
      </c>
      <c r="G1421" t="s">
        <v>34</v>
      </c>
      <c r="H1421" t="s">
        <v>41</v>
      </c>
      <c r="I1421" t="s">
        <v>49</v>
      </c>
      <c r="J1421">
        <v>33</v>
      </c>
      <c r="K1421" s="5">
        <v>4477.21</v>
      </c>
      <c r="L1421" s="5">
        <v>4721.22</v>
      </c>
      <c r="M1421">
        <v>18</v>
      </c>
      <c r="N1421">
        <v>12</v>
      </c>
      <c r="O1421">
        <v>2</v>
      </c>
      <c r="P1421">
        <v>1</v>
      </c>
      <c r="Q1421">
        <v>20</v>
      </c>
      <c r="R1421">
        <v>1</v>
      </c>
      <c r="S1421">
        <v>0</v>
      </c>
      <c r="T1421">
        <v>0</v>
      </c>
      <c r="U1421">
        <v>1</v>
      </c>
      <c r="V1421">
        <v>1</v>
      </c>
      <c r="W1421" t="s">
        <v>55</v>
      </c>
      <c r="X1421">
        <v>55</v>
      </c>
      <c r="Y1421">
        <v>1</v>
      </c>
      <c r="Z1421">
        <f t="shared" si="132"/>
        <v>65</v>
      </c>
      <c r="AA1421">
        <f t="shared" si="133"/>
        <v>0.60317460317460314</v>
      </c>
      <c r="AB1421">
        <f t="shared" si="134"/>
        <v>9</v>
      </c>
      <c r="AC1421" t="str">
        <f t="shared" si="135"/>
        <v>Low</v>
      </c>
      <c r="AD1421" t="str">
        <f t="shared" si="136"/>
        <v>Upsell premium bundle</v>
      </c>
      <c r="AE1421">
        <f t="shared" si="137"/>
        <v>35</v>
      </c>
    </row>
    <row r="1422" spans="1:31" x14ac:dyDescent="0.35">
      <c r="A1422" t="s">
        <v>1480</v>
      </c>
      <c r="B1422" s="4">
        <v>44863</v>
      </c>
      <c r="C1422" s="4">
        <v>46143</v>
      </c>
      <c r="D1422" t="s">
        <v>39</v>
      </c>
      <c r="E1422">
        <v>25</v>
      </c>
      <c r="F1422" t="s">
        <v>57</v>
      </c>
      <c r="G1422" t="s">
        <v>85</v>
      </c>
      <c r="H1422" t="s">
        <v>41</v>
      </c>
      <c r="I1422" t="s">
        <v>36</v>
      </c>
      <c r="J1422">
        <v>42</v>
      </c>
      <c r="K1422" s="5">
        <v>609.51</v>
      </c>
      <c r="L1422" s="5">
        <v>942.35</v>
      </c>
      <c r="M1422">
        <v>16</v>
      </c>
      <c r="N1422">
        <v>10</v>
      </c>
      <c r="O1422">
        <v>2</v>
      </c>
      <c r="P1422">
        <v>0</v>
      </c>
      <c r="Q1422">
        <v>7</v>
      </c>
      <c r="R1422">
        <v>4</v>
      </c>
      <c r="S1422">
        <v>3</v>
      </c>
      <c r="T1422">
        <v>1</v>
      </c>
      <c r="U1422">
        <v>0</v>
      </c>
      <c r="V1422">
        <v>1</v>
      </c>
      <c r="W1422" t="s">
        <v>45</v>
      </c>
      <c r="X1422">
        <v>2</v>
      </c>
      <c r="Y1422">
        <v>1</v>
      </c>
      <c r="Z1422">
        <f t="shared" si="132"/>
        <v>40</v>
      </c>
      <c r="AA1422">
        <f t="shared" si="133"/>
        <v>0.31944444444444442</v>
      </c>
      <c r="AB1422">
        <f t="shared" si="134"/>
        <v>59</v>
      </c>
      <c r="AC1422" t="str">
        <f t="shared" si="135"/>
        <v>Medium</v>
      </c>
      <c r="AD1422" t="str">
        <f t="shared" si="136"/>
        <v>Nudge core feature adoption</v>
      </c>
      <c r="AE1422">
        <f t="shared" si="137"/>
        <v>60</v>
      </c>
    </row>
    <row r="1423" spans="1:31" x14ac:dyDescent="0.35">
      <c r="A1423" t="s">
        <v>1481</v>
      </c>
      <c r="B1423" s="4">
        <v>45510</v>
      </c>
      <c r="C1423" s="4">
        <v>46143</v>
      </c>
      <c r="D1423" t="s">
        <v>72</v>
      </c>
      <c r="E1423">
        <v>25</v>
      </c>
      <c r="F1423" t="s">
        <v>33</v>
      </c>
      <c r="G1423" t="s">
        <v>48</v>
      </c>
      <c r="H1423" t="s">
        <v>41</v>
      </c>
      <c r="I1423" t="s">
        <v>36</v>
      </c>
      <c r="J1423">
        <v>21</v>
      </c>
      <c r="K1423" s="5">
        <v>0</v>
      </c>
      <c r="L1423" s="5">
        <v>0</v>
      </c>
      <c r="M1423">
        <v>36</v>
      </c>
      <c r="N1423">
        <v>23</v>
      </c>
      <c r="O1423">
        <v>5</v>
      </c>
      <c r="P1423">
        <v>1</v>
      </c>
      <c r="Q1423">
        <v>14</v>
      </c>
      <c r="R1423">
        <v>0</v>
      </c>
      <c r="S1423">
        <v>0</v>
      </c>
      <c r="T1423">
        <v>0</v>
      </c>
      <c r="U1423">
        <v>0</v>
      </c>
      <c r="V1423">
        <v>0</v>
      </c>
      <c r="W1423" t="s">
        <v>45</v>
      </c>
      <c r="X1423">
        <v>-8</v>
      </c>
      <c r="Y1423">
        <v>1</v>
      </c>
      <c r="Z1423">
        <f t="shared" si="132"/>
        <v>76</v>
      </c>
      <c r="AA1423">
        <f t="shared" si="133"/>
        <v>0.98039215686274506</v>
      </c>
      <c r="AB1423">
        <f t="shared" si="134"/>
        <v>32</v>
      </c>
      <c r="AC1423" t="str">
        <f t="shared" si="135"/>
        <v>Low</v>
      </c>
      <c r="AD1423" t="str">
        <f t="shared" si="136"/>
        <v>Upsell premium bundle</v>
      </c>
      <c r="AE1423">
        <f t="shared" si="137"/>
        <v>24</v>
      </c>
    </row>
    <row r="1424" spans="1:31" x14ac:dyDescent="0.35">
      <c r="A1424" t="s">
        <v>1482</v>
      </c>
      <c r="B1424" s="4">
        <v>44842</v>
      </c>
      <c r="C1424" s="4">
        <v>46143</v>
      </c>
      <c r="D1424" t="s">
        <v>39</v>
      </c>
      <c r="E1424">
        <v>20</v>
      </c>
      <c r="F1424" t="s">
        <v>33</v>
      </c>
      <c r="G1424" t="s">
        <v>40</v>
      </c>
      <c r="H1424" t="s">
        <v>44</v>
      </c>
      <c r="I1424" t="s">
        <v>36</v>
      </c>
      <c r="J1424">
        <v>43</v>
      </c>
      <c r="K1424" s="5">
        <v>168.1</v>
      </c>
      <c r="L1424" s="5">
        <v>266.42</v>
      </c>
      <c r="M1424">
        <v>24</v>
      </c>
      <c r="N1424">
        <v>16</v>
      </c>
      <c r="O1424">
        <v>4</v>
      </c>
      <c r="P1424">
        <v>5</v>
      </c>
      <c r="Q1424">
        <v>21</v>
      </c>
      <c r="R1424">
        <v>0</v>
      </c>
      <c r="S1424">
        <v>0</v>
      </c>
      <c r="T1424">
        <v>1</v>
      </c>
      <c r="U1424">
        <v>1</v>
      </c>
      <c r="V1424">
        <v>0</v>
      </c>
      <c r="W1424" t="s">
        <v>52</v>
      </c>
      <c r="X1424">
        <v>46</v>
      </c>
      <c r="Y1424">
        <v>0</v>
      </c>
      <c r="Z1424">
        <f t="shared" si="132"/>
        <v>76</v>
      </c>
      <c r="AA1424">
        <f t="shared" si="133"/>
        <v>0.61643835616438358</v>
      </c>
      <c r="AB1424">
        <f t="shared" si="134"/>
        <v>0</v>
      </c>
      <c r="AC1424" t="str">
        <f t="shared" si="135"/>
        <v>Low</v>
      </c>
      <c r="AD1424" t="str">
        <f t="shared" si="136"/>
        <v>Upsell premium bundle</v>
      </c>
      <c r="AE1424">
        <f t="shared" si="137"/>
        <v>24</v>
      </c>
    </row>
    <row r="1425" spans="1:31" x14ac:dyDescent="0.35">
      <c r="A1425" t="s">
        <v>1483</v>
      </c>
      <c r="B1425" s="4">
        <v>45492</v>
      </c>
      <c r="C1425" s="4">
        <v>46143</v>
      </c>
      <c r="D1425" t="s">
        <v>60</v>
      </c>
      <c r="E1425">
        <v>71</v>
      </c>
      <c r="F1425" t="s">
        <v>77</v>
      </c>
      <c r="G1425" t="s">
        <v>67</v>
      </c>
      <c r="H1425" t="s">
        <v>41</v>
      </c>
      <c r="I1425" t="s">
        <v>36</v>
      </c>
      <c r="J1425">
        <v>21</v>
      </c>
      <c r="K1425" s="5">
        <v>14097.38</v>
      </c>
      <c r="L1425" s="5">
        <v>12574.45</v>
      </c>
      <c r="M1425">
        <v>28</v>
      </c>
      <c r="N1425">
        <v>18</v>
      </c>
      <c r="O1425">
        <v>1</v>
      </c>
      <c r="P1425">
        <v>3</v>
      </c>
      <c r="Q1425">
        <v>21</v>
      </c>
      <c r="R1425">
        <v>2</v>
      </c>
      <c r="S1425">
        <v>0</v>
      </c>
      <c r="T1425">
        <v>1</v>
      </c>
      <c r="U1425">
        <v>0</v>
      </c>
      <c r="V1425">
        <v>0</v>
      </c>
      <c r="W1425" t="s">
        <v>52</v>
      </c>
      <c r="X1425">
        <v>-7</v>
      </c>
      <c r="Y1425">
        <v>0</v>
      </c>
      <c r="Z1425">
        <f t="shared" si="132"/>
        <v>68</v>
      </c>
      <c r="AA1425">
        <f t="shared" si="133"/>
        <v>0.96078431372549022</v>
      </c>
      <c r="AB1425">
        <f t="shared" si="134"/>
        <v>21</v>
      </c>
      <c r="AC1425" t="str">
        <f t="shared" si="135"/>
        <v>Low</v>
      </c>
      <c r="AD1425" t="str">
        <f t="shared" si="136"/>
        <v>Upsell premium bundle</v>
      </c>
      <c r="AE1425">
        <f t="shared" si="137"/>
        <v>32</v>
      </c>
    </row>
    <row r="1426" spans="1:31" x14ac:dyDescent="0.35">
      <c r="A1426" t="s">
        <v>1484</v>
      </c>
      <c r="B1426" s="4">
        <v>44860</v>
      </c>
      <c r="C1426" s="4">
        <v>46143</v>
      </c>
      <c r="D1426" t="s">
        <v>47</v>
      </c>
      <c r="E1426">
        <v>63</v>
      </c>
      <c r="F1426" t="s">
        <v>57</v>
      </c>
      <c r="G1426" t="s">
        <v>63</v>
      </c>
      <c r="H1426" t="s">
        <v>41</v>
      </c>
      <c r="I1426" t="s">
        <v>36</v>
      </c>
      <c r="J1426">
        <v>42</v>
      </c>
      <c r="K1426" s="5">
        <v>1709.92</v>
      </c>
      <c r="L1426" s="5">
        <v>730.1</v>
      </c>
      <c r="M1426">
        <v>17</v>
      </c>
      <c r="N1426">
        <v>11</v>
      </c>
      <c r="O1426">
        <v>1</v>
      </c>
      <c r="P1426">
        <v>1</v>
      </c>
      <c r="Q1426">
        <v>17</v>
      </c>
      <c r="R1426">
        <v>2</v>
      </c>
      <c r="S1426">
        <v>1</v>
      </c>
      <c r="T1426">
        <v>1</v>
      </c>
      <c r="U1426">
        <v>0</v>
      </c>
      <c r="V1426">
        <v>0</v>
      </c>
      <c r="W1426" t="s">
        <v>52</v>
      </c>
      <c r="X1426">
        <v>-32</v>
      </c>
      <c r="Y1426">
        <v>1</v>
      </c>
      <c r="Z1426">
        <f t="shared" si="132"/>
        <v>44</v>
      </c>
      <c r="AA1426">
        <f t="shared" si="133"/>
        <v>0.47222222222222221</v>
      </c>
      <c r="AB1426">
        <f t="shared" si="134"/>
        <v>61</v>
      </c>
      <c r="AC1426" t="str">
        <f t="shared" si="135"/>
        <v>Medium</v>
      </c>
      <c r="AD1426" t="str">
        <f t="shared" si="136"/>
        <v>Nudge core feature adoption</v>
      </c>
      <c r="AE1426">
        <f t="shared" si="137"/>
        <v>56</v>
      </c>
    </row>
    <row r="1427" spans="1:31" x14ac:dyDescent="0.35">
      <c r="A1427" t="s">
        <v>1485</v>
      </c>
      <c r="B1427" s="4">
        <v>45033</v>
      </c>
      <c r="C1427" s="4">
        <v>46143</v>
      </c>
      <c r="D1427" t="s">
        <v>60</v>
      </c>
      <c r="E1427">
        <v>46</v>
      </c>
      <c r="F1427" t="s">
        <v>57</v>
      </c>
      <c r="G1427" t="s">
        <v>34</v>
      </c>
      <c r="H1427" t="s">
        <v>58</v>
      </c>
      <c r="I1427" t="s">
        <v>49</v>
      </c>
      <c r="J1427">
        <v>37</v>
      </c>
      <c r="K1427" s="5">
        <v>1917.03</v>
      </c>
      <c r="L1427" s="5">
        <v>890.88</v>
      </c>
      <c r="M1427">
        <v>38</v>
      </c>
      <c r="N1427">
        <v>27</v>
      </c>
      <c r="O1427">
        <v>8</v>
      </c>
      <c r="P1427">
        <v>8</v>
      </c>
      <c r="Q1427">
        <v>45</v>
      </c>
      <c r="R1427">
        <v>0</v>
      </c>
      <c r="S1427">
        <v>1</v>
      </c>
      <c r="T1427">
        <v>1</v>
      </c>
      <c r="U1427">
        <v>1</v>
      </c>
      <c r="V1427">
        <v>1</v>
      </c>
      <c r="W1427" t="s">
        <v>52</v>
      </c>
      <c r="X1427">
        <v>61</v>
      </c>
      <c r="Y1427">
        <v>0</v>
      </c>
      <c r="Z1427">
        <f t="shared" si="132"/>
        <v>100</v>
      </c>
      <c r="AA1427">
        <f t="shared" si="133"/>
        <v>1.2388059701492538</v>
      </c>
      <c r="AB1427">
        <f t="shared" si="134"/>
        <v>2</v>
      </c>
      <c r="AC1427" t="str">
        <f t="shared" si="135"/>
        <v>Low</v>
      </c>
      <c r="AD1427" t="str">
        <f t="shared" si="136"/>
        <v>Upsell premium bundle</v>
      </c>
      <c r="AE1427">
        <f t="shared" si="137"/>
        <v>0</v>
      </c>
    </row>
    <row r="1428" spans="1:31" x14ac:dyDescent="0.35">
      <c r="A1428" t="s">
        <v>1486</v>
      </c>
      <c r="B1428" s="4">
        <v>45852</v>
      </c>
      <c r="C1428" s="4">
        <v>46143</v>
      </c>
      <c r="D1428" t="s">
        <v>72</v>
      </c>
      <c r="E1428">
        <v>59</v>
      </c>
      <c r="F1428" t="s">
        <v>57</v>
      </c>
      <c r="G1428" t="s">
        <v>48</v>
      </c>
      <c r="H1428" t="s">
        <v>41</v>
      </c>
      <c r="I1428" t="s">
        <v>49</v>
      </c>
      <c r="J1428">
        <v>9</v>
      </c>
      <c r="K1428" s="5">
        <v>1062.7</v>
      </c>
      <c r="L1428" s="5">
        <v>287.5</v>
      </c>
      <c r="M1428">
        <v>20</v>
      </c>
      <c r="N1428">
        <v>12</v>
      </c>
      <c r="O1428">
        <v>5</v>
      </c>
      <c r="P1428">
        <v>2</v>
      </c>
      <c r="Q1428">
        <v>12</v>
      </c>
      <c r="R1428">
        <v>2</v>
      </c>
      <c r="S1428">
        <v>2</v>
      </c>
      <c r="T1428">
        <v>1</v>
      </c>
      <c r="U1428">
        <v>0</v>
      </c>
      <c r="V1428">
        <v>0</v>
      </c>
      <c r="W1428" t="s">
        <v>50</v>
      </c>
      <c r="X1428">
        <v>-13</v>
      </c>
      <c r="Y1428">
        <v>1</v>
      </c>
      <c r="Z1428">
        <f t="shared" si="132"/>
        <v>50</v>
      </c>
      <c r="AA1428">
        <f t="shared" si="133"/>
        <v>0.82051282051282048</v>
      </c>
      <c r="AB1428">
        <f t="shared" si="134"/>
        <v>74</v>
      </c>
      <c r="AC1428" t="str">
        <f t="shared" si="135"/>
        <v>High</v>
      </c>
      <c r="AD1428" t="str">
        <f t="shared" si="136"/>
        <v>Retention call</v>
      </c>
      <c r="AE1428">
        <f t="shared" si="137"/>
        <v>50</v>
      </c>
    </row>
    <row r="1429" spans="1:31" x14ac:dyDescent="0.35">
      <c r="A1429" t="s">
        <v>1487</v>
      </c>
      <c r="B1429" s="4">
        <v>44693</v>
      </c>
      <c r="C1429" s="4">
        <v>46143</v>
      </c>
      <c r="D1429" t="s">
        <v>39</v>
      </c>
      <c r="E1429">
        <v>26</v>
      </c>
      <c r="F1429" t="s">
        <v>57</v>
      </c>
      <c r="G1429" t="s">
        <v>67</v>
      </c>
      <c r="H1429" t="s">
        <v>41</v>
      </c>
      <c r="I1429" t="s">
        <v>36</v>
      </c>
      <c r="J1429">
        <v>48</v>
      </c>
      <c r="K1429" s="5">
        <v>1690.58</v>
      </c>
      <c r="L1429" s="5">
        <v>869.67</v>
      </c>
      <c r="M1429">
        <v>22</v>
      </c>
      <c r="N1429">
        <v>11</v>
      </c>
      <c r="O1429">
        <v>5</v>
      </c>
      <c r="P1429">
        <v>3</v>
      </c>
      <c r="Q1429">
        <v>22</v>
      </c>
      <c r="R1429">
        <v>0</v>
      </c>
      <c r="S1429">
        <v>1</v>
      </c>
      <c r="T1429">
        <v>1</v>
      </c>
      <c r="U1429">
        <v>1</v>
      </c>
      <c r="V1429">
        <v>1</v>
      </c>
      <c r="W1429" t="s">
        <v>55</v>
      </c>
      <c r="X1429">
        <v>35</v>
      </c>
      <c r="Y1429">
        <v>0</v>
      </c>
      <c r="Z1429">
        <f t="shared" si="132"/>
        <v>77</v>
      </c>
      <c r="AA1429">
        <f t="shared" si="133"/>
        <v>0.5641025641025641</v>
      </c>
      <c r="AB1429">
        <f t="shared" si="134"/>
        <v>18</v>
      </c>
      <c r="AC1429" t="str">
        <f t="shared" si="135"/>
        <v>Low</v>
      </c>
      <c r="AD1429" t="str">
        <f t="shared" si="136"/>
        <v>Upsell premium bundle</v>
      </c>
      <c r="AE1429">
        <f t="shared" si="137"/>
        <v>23</v>
      </c>
    </row>
    <row r="1430" spans="1:31" x14ac:dyDescent="0.35">
      <c r="A1430" t="s">
        <v>1488</v>
      </c>
      <c r="B1430" s="4">
        <v>45015</v>
      </c>
      <c r="C1430" s="4">
        <v>46143</v>
      </c>
      <c r="D1430" t="s">
        <v>47</v>
      </c>
      <c r="E1430">
        <v>29</v>
      </c>
      <c r="F1430" t="s">
        <v>43</v>
      </c>
      <c r="G1430" t="s">
        <v>40</v>
      </c>
      <c r="H1430" t="s">
        <v>41</v>
      </c>
      <c r="I1430" t="s">
        <v>36</v>
      </c>
      <c r="J1430">
        <v>37</v>
      </c>
      <c r="K1430" s="5">
        <v>36.270000000000003</v>
      </c>
      <c r="L1430" s="5">
        <v>81.67</v>
      </c>
      <c r="M1430">
        <v>17</v>
      </c>
      <c r="N1430">
        <v>10</v>
      </c>
      <c r="O1430">
        <v>2</v>
      </c>
      <c r="P1430">
        <v>2</v>
      </c>
      <c r="Q1430">
        <v>6</v>
      </c>
      <c r="R1430">
        <v>0</v>
      </c>
      <c r="S1430">
        <v>0</v>
      </c>
      <c r="T1430">
        <v>1</v>
      </c>
      <c r="U1430">
        <v>0</v>
      </c>
      <c r="V1430">
        <v>1</v>
      </c>
      <c r="W1430" t="s">
        <v>50</v>
      </c>
      <c r="X1430">
        <v>47</v>
      </c>
      <c r="Y1430">
        <v>1</v>
      </c>
      <c r="Z1430">
        <f t="shared" si="132"/>
        <v>43</v>
      </c>
      <c r="AA1430">
        <f t="shared" si="133"/>
        <v>0.34328358208955223</v>
      </c>
      <c r="AB1430">
        <f t="shared" si="134"/>
        <v>17</v>
      </c>
      <c r="AC1430" t="str">
        <f t="shared" si="135"/>
        <v>Low</v>
      </c>
      <c r="AD1430" t="str">
        <f t="shared" si="136"/>
        <v>Upsell premium bundle</v>
      </c>
      <c r="AE1430">
        <f t="shared" si="137"/>
        <v>57</v>
      </c>
    </row>
    <row r="1431" spans="1:31" x14ac:dyDescent="0.35">
      <c r="A1431" t="s">
        <v>1489</v>
      </c>
      <c r="B1431" s="4">
        <v>44743</v>
      </c>
      <c r="C1431" s="4">
        <v>46143</v>
      </c>
      <c r="D1431" t="s">
        <v>72</v>
      </c>
      <c r="E1431">
        <v>19</v>
      </c>
      <c r="F1431" t="s">
        <v>33</v>
      </c>
      <c r="G1431" t="s">
        <v>67</v>
      </c>
      <c r="H1431" t="s">
        <v>41</v>
      </c>
      <c r="I1431" t="s">
        <v>49</v>
      </c>
      <c r="J1431">
        <v>46</v>
      </c>
      <c r="K1431" s="5">
        <v>98.67</v>
      </c>
      <c r="L1431" s="5">
        <v>297.44</v>
      </c>
      <c r="M1431">
        <v>27</v>
      </c>
      <c r="N1431">
        <v>8</v>
      </c>
      <c r="O1431">
        <v>5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1</v>
      </c>
      <c r="W1431" t="s">
        <v>50</v>
      </c>
      <c r="X1431">
        <v>9</v>
      </c>
      <c r="Y1431">
        <v>1</v>
      </c>
      <c r="Z1431">
        <f t="shared" si="132"/>
        <v>48</v>
      </c>
      <c r="AA1431">
        <f t="shared" si="133"/>
        <v>0.35526315789473684</v>
      </c>
      <c r="AB1431">
        <f t="shared" si="134"/>
        <v>49</v>
      </c>
      <c r="AC1431" t="str">
        <f t="shared" si="135"/>
        <v>Medium</v>
      </c>
      <c r="AD1431" t="str">
        <f t="shared" si="136"/>
        <v>Nudge core feature adoption</v>
      </c>
      <c r="AE1431">
        <f t="shared" si="137"/>
        <v>52</v>
      </c>
    </row>
    <row r="1432" spans="1:31" x14ac:dyDescent="0.35">
      <c r="A1432" t="s">
        <v>1490</v>
      </c>
      <c r="B1432" s="4">
        <v>44854</v>
      </c>
      <c r="C1432" s="4">
        <v>46143</v>
      </c>
      <c r="D1432" t="s">
        <v>47</v>
      </c>
      <c r="E1432">
        <v>42</v>
      </c>
      <c r="F1432" t="s">
        <v>43</v>
      </c>
      <c r="G1432" t="s">
        <v>48</v>
      </c>
      <c r="H1432" t="s">
        <v>58</v>
      </c>
      <c r="I1432" t="s">
        <v>36</v>
      </c>
      <c r="J1432">
        <v>42</v>
      </c>
      <c r="K1432" s="5">
        <v>133.24</v>
      </c>
      <c r="L1432" s="5">
        <v>8.42</v>
      </c>
      <c r="M1432">
        <v>35</v>
      </c>
      <c r="N1432">
        <v>23</v>
      </c>
      <c r="O1432">
        <v>9</v>
      </c>
      <c r="P1432">
        <v>2</v>
      </c>
      <c r="Q1432">
        <v>25</v>
      </c>
      <c r="R1432">
        <v>1</v>
      </c>
      <c r="S1432">
        <v>1</v>
      </c>
      <c r="T1432">
        <v>1</v>
      </c>
      <c r="U1432">
        <v>0</v>
      </c>
      <c r="V1432">
        <v>0</v>
      </c>
      <c r="W1432" t="s">
        <v>37</v>
      </c>
      <c r="X1432">
        <v>-13</v>
      </c>
      <c r="Y1432">
        <v>0</v>
      </c>
      <c r="Z1432">
        <f t="shared" si="132"/>
        <v>91</v>
      </c>
      <c r="AA1432">
        <f t="shared" si="133"/>
        <v>0.83333333333333337</v>
      </c>
      <c r="AB1432">
        <f t="shared" si="134"/>
        <v>25</v>
      </c>
      <c r="AC1432" t="str">
        <f t="shared" si="135"/>
        <v>Low</v>
      </c>
      <c r="AD1432" t="str">
        <f t="shared" si="136"/>
        <v>Upsell premium bundle</v>
      </c>
      <c r="AE1432">
        <f t="shared" si="137"/>
        <v>9</v>
      </c>
    </row>
    <row r="1433" spans="1:31" x14ac:dyDescent="0.35">
      <c r="A1433" t="s">
        <v>1491</v>
      </c>
      <c r="B1433" s="4">
        <v>45476</v>
      </c>
      <c r="C1433" s="4">
        <v>46143</v>
      </c>
      <c r="D1433" t="s">
        <v>39</v>
      </c>
      <c r="E1433">
        <v>29</v>
      </c>
      <c r="F1433" t="s">
        <v>33</v>
      </c>
      <c r="G1433" t="s">
        <v>85</v>
      </c>
      <c r="H1433" t="s">
        <v>58</v>
      </c>
      <c r="I1433" t="s">
        <v>36</v>
      </c>
      <c r="J1433">
        <v>22</v>
      </c>
      <c r="K1433" s="5">
        <v>516.63</v>
      </c>
      <c r="L1433" s="5">
        <v>83.49</v>
      </c>
      <c r="M1433">
        <v>30</v>
      </c>
      <c r="N1433">
        <v>17</v>
      </c>
      <c r="O1433">
        <v>3</v>
      </c>
      <c r="P1433">
        <v>6</v>
      </c>
      <c r="Q1433">
        <v>28</v>
      </c>
      <c r="R1433">
        <v>4</v>
      </c>
      <c r="S1433">
        <v>1</v>
      </c>
      <c r="T1433">
        <v>1</v>
      </c>
      <c r="U1433">
        <v>0</v>
      </c>
      <c r="V1433">
        <v>0</v>
      </c>
      <c r="W1433" t="s">
        <v>50</v>
      </c>
      <c r="X1433">
        <v>-29</v>
      </c>
      <c r="Y1433">
        <v>0</v>
      </c>
      <c r="Z1433">
        <f t="shared" si="132"/>
        <v>82</v>
      </c>
      <c r="AA1433">
        <f t="shared" si="133"/>
        <v>1.1153846153846154</v>
      </c>
      <c r="AB1433">
        <f t="shared" si="134"/>
        <v>32</v>
      </c>
      <c r="AC1433" t="str">
        <f t="shared" si="135"/>
        <v>Low</v>
      </c>
      <c r="AD1433" t="str">
        <f t="shared" si="136"/>
        <v>Upsell premium bundle</v>
      </c>
      <c r="AE1433">
        <f t="shared" si="137"/>
        <v>18</v>
      </c>
    </row>
    <row r="1434" spans="1:31" x14ac:dyDescent="0.35">
      <c r="A1434" t="s">
        <v>1492</v>
      </c>
      <c r="B1434" s="4">
        <v>45906</v>
      </c>
      <c r="C1434" s="4">
        <v>46143</v>
      </c>
      <c r="D1434" t="s">
        <v>66</v>
      </c>
      <c r="E1434">
        <v>51</v>
      </c>
      <c r="F1434" t="s">
        <v>33</v>
      </c>
      <c r="G1434" t="s">
        <v>40</v>
      </c>
      <c r="H1434" t="s">
        <v>41</v>
      </c>
      <c r="I1434" t="s">
        <v>36</v>
      </c>
      <c r="J1434">
        <v>7</v>
      </c>
      <c r="K1434" s="5">
        <v>444</v>
      </c>
      <c r="L1434" s="5">
        <v>396.26</v>
      </c>
      <c r="M1434">
        <v>6</v>
      </c>
      <c r="N1434">
        <v>2</v>
      </c>
      <c r="O1434">
        <v>1</v>
      </c>
      <c r="P1434">
        <v>1</v>
      </c>
      <c r="Q1434">
        <v>5</v>
      </c>
      <c r="R1434">
        <v>0</v>
      </c>
      <c r="S1434">
        <v>0</v>
      </c>
      <c r="T1434">
        <v>0</v>
      </c>
      <c r="U1434">
        <v>0</v>
      </c>
      <c r="V1434">
        <v>0</v>
      </c>
      <c r="W1434" t="s">
        <v>55</v>
      </c>
      <c r="X1434">
        <v>72</v>
      </c>
      <c r="Y1434">
        <v>1</v>
      </c>
      <c r="Z1434">
        <f t="shared" si="132"/>
        <v>15</v>
      </c>
      <c r="AA1434">
        <f t="shared" si="133"/>
        <v>0.29729729729729731</v>
      </c>
      <c r="AB1434">
        <f t="shared" si="134"/>
        <v>16</v>
      </c>
      <c r="AC1434" t="str">
        <f t="shared" si="135"/>
        <v>Low</v>
      </c>
      <c r="AD1434" t="str">
        <f t="shared" si="136"/>
        <v>Upsell premium bundle</v>
      </c>
      <c r="AE1434">
        <f t="shared" si="137"/>
        <v>85</v>
      </c>
    </row>
    <row r="1435" spans="1:31" x14ac:dyDescent="0.35">
      <c r="A1435" t="s">
        <v>1493</v>
      </c>
      <c r="B1435" s="4">
        <v>45757</v>
      </c>
      <c r="C1435" s="4">
        <v>46143</v>
      </c>
      <c r="D1435" t="s">
        <v>32</v>
      </c>
      <c r="E1435">
        <v>46</v>
      </c>
      <c r="F1435" t="s">
        <v>33</v>
      </c>
      <c r="G1435" t="s">
        <v>48</v>
      </c>
      <c r="H1435" t="s">
        <v>58</v>
      </c>
      <c r="I1435" t="s">
        <v>36</v>
      </c>
      <c r="J1435">
        <v>12</v>
      </c>
      <c r="K1435" s="5">
        <v>310.88</v>
      </c>
      <c r="L1435" s="5">
        <v>512.79</v>
      </c>
      <c r="M1435">
        <v>15</v>
      </c>
      <c r="N1435">
        <v>5</v>
      </c>
      <c r="O1435">
        <v>0</v>
      </c>
      <c r="P1435">
        <v>2</v>
      </c>
      <c r="Q1435">
        <v>22</v>
      </c>
      <c r="R1435">
        <v>0</v>
      </c>
      <c r="S1435">
        <v>2</v>
      </c>
      <c r="T1435">
        <v>1</v>
      </c>
      <c r="U1435">
        <v>0</v>
      </c>
      <c r="V1435">
        <v>1</v>
      </c>
      <c r="W1435" t="s">
        <v>52</v>
      </c>
      <c r="X1435">
        <v>24</v>
      </c>
      <c r="Y1435">
        <v>1</v>
      </c>
      <c r="Z1435">
        <f t="shared" si="132"/>
        <v>50</v>
      </c>
      <c r="AA1435">
        <f t="shared" si="133"/>
        <v>0.88095238095238093</v>
      </c>
      <c r="AB1435">
        <f t="shared" si="134"/>
        <v>32</v>
      </c>
      <c r="AC1435" t="str">
        <f t="shared" si="135"/>
        <v>Low</v>
      </c>
      <c r="AD1435" t="str">
        <f t="shared" si="136"/>
        <v>Upsell premium bundle</v>
      </c>
      <c r="AE1435">
        <f t="shared" si="137"/>
        <v>50</v>
      </c>
    </row>
    <row r="1436" spans="1:31" x14ac:dyDescent="0.35">
      <c r="A1436" t="s">
        <v>1494</v>
      </c>
      <c r="B1436" s="4">
        <v>45178</v>
      </c>
      <c r="C1436" s="4">
        <v>46143</v>
      </c>
      <c r="D1436" t="s">
        <v>72</v>
      </c>
      <c r="E1436">
        <v>64</v>
      </c>
      <c r="F1436" t="s">
        <v>57</v>
      </c>
      <c r="G1436" t="s">
        <v>34</v>
      </c>
      <c r="H1436" t="s">
        <v>58</v>
      </c>
      <c r="I1436" t="s">
        <v>36</v>
      </c>
      <c r="J1436">
        <v>32</v>
      </c>
      <c r="K1436" s="5">
        <v>1123.73</v>
      </c>
      <c r="L1436" s="5">
        <v>957.72</v>
      </c>
      <c r="M1436">
        <v>40</v>
      </c>
      <c r="N1436">
        <v>28</v>
      </c>
      <c r="O1436">
        <v>8</v>
      </c>
      <c r="P1436">
        <v>4</v>
      </c>
      <c r="Q1436">
        <v>31</v>
      </c>
      <c r="R1436">
        <v>1</v>
      </c>
      <c r="S1436">
        <v>0</v>
      </c>
      <c r="T1436">
        <v>1</v>
      </c>
      <c r="U1436">
        <v>0</v>
      </c>
      <c r="V1436">
        <v>0</v>
      </c>
      <c r="W1436" t="s">
        <v>45</v>
      </c>
      <c r="X1436">
        <v>60</v>
      </c>
      <c r="Y1436">
        <v>0</v>
      </c>
      <c r="Z1436">
        <f t="shared" si="132"/>
        <v>100</v>
      </c>
      <c r="AA1436">
        <f t="shared" si="133"/>
        <v>1.1451612903225807</v>
      </c>
      <c r="AB1436">
        <f t="shared" si="134"/>
        <v>0</v>
      </c>
      <c r="AC1436" t="str">
        <f t="shared" si="135"/>
        <v>Low</v>
      </c>
      <c r="AD1436" t="str">
        <f t="shared" si="136"/>
        <v>Upsell premium bundle</v>
      </c>
      <c r="AE1436">
        <f t="shared" si="137"/>
        <v>0</v>
      </c>
    </row>
    <row r="1437" spans="1:31" x14ac:dyDescent="0.35">
      <c r="A1437" t="s">
        <v>1495</v>
      </c>
      <c r="B1437" s="4">
        <v>45385</v>
      </c>
      <c r="C1437" s="4">
        <v>46143</v>
      </c>
      <c r="D1437" t="s">
        <v>32</v>
      </c>
      <c r="E1437">
        <v>25</v>
      </c>
      <c r="F1437" t="s">
        <v>33</v>
      </c>
      <c r="G1437" t="s">
        <v>40</v>
      </c>
      <c r="H1437" t="s">
        <v>35</v>
      </c>
      <c r="I1437" t="s">
        <v>36</v>
      </c>
      <c r="J1437">
        <v>25</v>
      </c>
      <c r="K1437" s="5">
        <v>277.39</v>
      </c>
      <c r="L1437" s="5">
        <v>133.53</v>
      </c>
      <c r="M1437">
        <v>39</v>
      </c>
      <c r="N1437">
        <v>18</v>
      </c>
      <c r="O1437">
        <v>4</v>
      </c>
      <c r="P1437">
        <v>2</v>
      </c>
      <c r="Q1437">
        <v>15</v>
      </c>
      <c r="R1437">
        <v>3</v>
      </c>
      <c r="S1437">
        <v>0</v>
      </c>
      <c r="T1437">
        <v>0</v>
      </c>
      <c r="U1437">
        <v>1</v>
      </c>
      <c r="V1437">
        <v>0</v>
      </c>
      <c r="W1437" t="s">
        <v>52</v>
      </c>
      <c r="X1437">
        <v>100</v>
      </c>
      <c r="Y1437">
        <v>0</v>
      </c>
      <c r="Z1437">
        <f t="shared" si="132"/>
        <v>85</v>
      </c>
      <c r="AA1437">
        <f t="shared" si="133"/>
        <v>0.98181818181818181</v>
      </c>
      <c r="AB1437">
        <f t="shared" si="134"/>
        <v>0</v>
      </c>
      <c r="AC1437" t="str">
        <f t="shared" si="135"/>
        <v>Low</v>
      </c>
      <c r="AD1437" t="str">
        <f t="shared" si="136"/>
        <v>Upsell premium bundle</v>
      </c>
      <c r="AE1437">
        <f t="shared" si="137"/>
        <v>15</v>
      </c>
    </row>
    <row r="1438" spans="1:31" x14ac:dyDescent="0.35">
      <c r="A1438" t="s">
        <v>1496</v>
      </c>
      <c r="B1438" s="4">
        <v>45850</v>
      </c>
      <c r="C1438" s="4">
        <v>46143</v>
      </c>
      <c r="D1438" t="s">
        <v>32</v>
      </c>
      <c r="E1438">
        <v>19</v>
      </c>
      <c r="F1438" t="s">
        <v>57</v>
      </c>
      <c r="G1438" t="s">
        <v>63</v>
      </c>
      <c r="H1438" t="s">
        <v>41</v>
      </c>
      <c r="I1438" t="s">
        <v>36</v>
      </c>
      <c r="J1438">
        <v>9</v>
      </c>
      <c r="K1438" s="5">
        <v>2179</v>
      </c>
      <c r="L1438" s="5">
        <v>427.45</v>
      </c>
      <c r="M1438">
        <v>11</v>
      </c>
      <c r="N1438">
        <v>5</v>
      </c>
      <c r="O1438">
        <v>1</v>
      </c>
      <c r="P1438">
        <v>1</v>
      </c>
      <c r="Q1438">
        <v>10</v>
      </c>
      <c r="R1438">
        <v>2</v>
      </c>
      <c r="S1438">
        <v>3</v>
      </c>
      <c r="T1438">
        <v>1</v>
      </c>
      <c r="U1438">
        <v>0</v>
      </c>
      <c r="V1438">
        <v>1</v>
      </c>
      <c r="W1438" t="s">
        <v>45</v>
      </c>
      <c r="X1438">
        <v>14</v>
      </c>
      <c r="Y1438">
        <v>1</v>
      </c>
      <c r="Z1438">
        <f t="shared" si="132"/>
        <v>34</v>
      </c>
      <c r="AA1438">
        <f t="shared" si="133"/>
        <v>0.53846153846153844</v>
      </c>
      <c r="AB1438">
        <f t="shared" si="134"/>
        <v>58</v>
      </c>
      <c r="AC1438" t="str">
        <f t="shared" si="135"/>
        <v>Medium</v>
      </c>
      <c r="AD1438" t="str">
        <f t="shared" si="136"/>
        <v>Nudge core feature adoption</v>
      </c>
      <c r="AE1438">
        <f t="shared" si="137"/>
        <v>66</v>
      </c>
    </row>
    <row r="1439" spans="1:31" x14ac:dyDescent="0.35">
      <c r="A1439" t="s">
        <v>1497</v>
      </c>
      <c r="B1439" s="4">
        <v>45544</v>
      </c>
      <c r="C1439" s="4">
        <v>46143</v>
      </c>
      <c r="D1439" t="s">
        <v>66</v>
      </c>
      <c r="E1439">
        <v>37</v>
      </c>
      <c r="F1439" t="s">
        <v>33</v>
      </c>
      <c r="G1439" t="s">
        <v>85</v>
      </c>
      <c r="H1439" t="s">
        <v>58</v>
      </c>
      <c r="I1439" t="s">
        <v>36</v>
      </c>
      <c r="J1439">
        <v>19</v>
      </c>
      <c r="K1439" s="5">
        <v>159.27000000000001</v>
      </c>
      <c r="L1439" s="5">
        <v>156.22999999999999</v>
      </c>
      <c r="M1439">
        <v>36</v>
      </c>
      <c r="N1439">
        <v>24</v>
      </c>
      <c r="O1439">
        <v>8</v>
      </c>
      <c r="P1439">
        <v>4</v>
      </c>
      <c r="Q1439">
        <v>16</v>
      </c>
      <c r="R1439">
        <v>1</v>
      </c>
      <c r="S1439">
        <v>0</v>
      </c>
      <c r="T1439">
        <v>1</v>
      </c>
      <c r="U1439">
        <v>0</v>
      </c>
      <c r="V1439">
        <v>0</v>
      </c>
      <c r="W1439" t="s">
        <v>55</v>
      </c>
      <c r="X1439">
        <v>31</v>
      </c>
      <c r="Y1439">
        <v>0</v>
      </c>
      <c r="Z1439">
        <f t="shared" si="132"/>
        <v>86</v>
      </c>
      <c r="AA1439">
        <f t="shared" si="133"/>
        <v>1.0612244897959184</v>
      </c>
      <c r="AB1439">
        <f t="shared" si="134"/>
        <v>0</v>
      </c>
      <c r="AC1439" t="str">
        <f t="shared" si="135"/>
        <v>Low</v>
      </c>
      <c r="AD1439" t="str">
        <f t="shared" si="136"/>
        <v>Upsell premium bundle</v>
      </c>
      <c r="AE1439">
        <f t="shared" si="137"/>
        <v>14</v>
      </c>
    </row>
    <row r="1440" spans="1:31" x14ac:dyDescent="0.35">
      <c r="A1440" t="s">
        <v>1498</v>
      </c>
      <c r="B1440" s="4">
        <v>45492</v>
      </c>
      <c r="C1440" s="4">
        <v>46143</v>
      </c>
      <c r="D1440" t="s">
        <v>32</v>
      </c>
      <c r="E1440">
        <v>19</v>
      </c>
      <c r="F1440" t="s">
        <v>33</v>
      </c>
      <c r="G1440" t="s">
        <v>40</v>
      </c>
      <c r="H1440" t="s">
        <v>58</v>
      </c>
      <c r="I1440" t="s">
        <v>36</v>
      </c>
      <c r="J1440">
        <v>21</v>
      </c>
      <c r="K1440" s="5">
        <v>440.38</v>
      </c>
      <c r="L1440" s="5">
        <v>403.64</v>
      </c>
      <c r="M1440">
        <v>44</v>
      </c>
      <c r="N1440">
        <v>24</v>
      </c>
      <c r="O1440">
        <v>3</v>
      </c>
      <c r="P1440">
        <v>5</v>
      </c>
      <c r="Q1440">
        <v>31</v>
      </c>
      <c r="R1440">
        <v>1</v>
      </c>
      <c r="S1440">
        <v>0</v>
      </c>
      <c r="T1440">
        <v>1</v>
      </c>
      <c r="U1440">
        <v>0</v>
      </c>
      <c r="V1440">
        <v>0</v>
      </c>
      <c r="W1440" t="s">
        <v>37</v>
      </c>
      <c r="X1440">
        <v>9</v>
      </c>
      <c r="Y1440">
        <v>0</v>
      </c>
      <c r="Z1440">
        <f t="shared" si="132"/>
        <v>100</v>
      </c>
      <c r="AA1440">
        <f t="shared" si="133"/>
        <v>1.4705882352941178</v>
      </c>
      <c r="AB1440">
        <f t="shared" si="134"/>
        <v>2</v>
      </c>
      <c r="AC1440" t="str">
        <f t="shared" si="135"/>
        <v>Low</v>
      </c>
      <c r="AD1440" t="str">
        <f t="shared" si="136"/>
        <v>Upsell premium bundle</v>
      </c>
      <c r="AE1440">
        <f t="shared" si="137"/>
        <v>0</v>
      </c>
    </row>
    <row r="1441" spans="1:31" x14ac:dyDescent="0.35">
      <c r="A1441" t="s">
        <v>1499</v>
      </c>
      <c r="B1441" s="4">
        <v>45920</v>
      </c>
      <c r="C1441" s="4">
        <v>46143</v>
      </c>
      <c r="D1441" t="s">
        <v>72</v>
      </c>
      <c r="E1441">
        <v>40</v>
      </c>
      <c r="F1441" t="s">
        <v>61</v>
      </c>
      <c r="G1441" t="s">
        <v>63</v>
      </c>
      <c r="H1441" t="s">
        <v>58</v>
      </c>
      <c r="I1441" t="s">
        <v>36</v>
      </c>
      <c r="J1441">
        <v>7</v>
      </c>
      <c r="K1441" s="5">
        <v>0</v>
      </c>
      <c r="L1441" s="5">
        <v>3148.54</v>
      </c>
      <c r="M1441">
        <v>23</v>
      </c>
      <c r="N1441">
        <v>12</v>
      </c>
      <c r="O1441">
        <v>5</v>
      </c>
      <c r="P1441">
        <v>1</v>
      </c>
      <c r="Q1441">
        <v>32</v>
      </c>
      <c r="R1441">
        <v>1</v>
      </c>
      <c r="S1441">
        <v>0</v>
      </c>
      <c r="T1441">
        <v>0</v>
      </c>
      <c r="U1441">
        <v>0</v>
      </c>
      <c r="V1441">
        <v>0</v>
      </c>
      <c r="W1441" t="s">
        <v>52</v>
      </c>
      <c r="X1441">
        <v>47</v>
      </c>
      <c r="Y1441">
        <v>0</v>
      </c>
      <c r="Z1441">
        <f t="shared" si="132"/>
        <v>70</v>
      </c>
      <c r="AA1441">
        <f t="shared" si="133"/>
        <v>1.4864864864864864</v>
      </c>
      <c r="AB1441">
        <f t="shared" si="134"/>
        <v>0</v>
      </c>
      <c r="AC1441" t="str">
        <f t="shared" si="135"/>
        <v>Low</v>
      </c>
      <c r="AD1441" t="str">
        <f t="shared" si="136"/>
        <v>Upsell premium bundle</v>
      </c>
      <c r="AE1441">
        <f t="shared" si="137"/>
        <v>30</v>
      </c>
    </row>
    <row r="1442" spans="1:31" x14ac:dyDescent="0.35">
      <c r="A1442" t="s">
        <v>1500</v>
      </c>
      <c r="B1442" s="4">
        <v>45564</v>
      </c>
      <c r="C1442" s="4">
        <v>46143</v>
      </c>
      <c r="D1442" t="s">
        <v>32</v>
      </c>
      <c r="E1442">
        <v>56</v>
      </c>
      <c r="F1442" t="s">
        <v>33</v>
      </c>
      <c r="G1442" t="s">
        <v>48</v>
      </c>
      <c r="H1442" t="s">
        <v>35</v>
      </c>
      <c r="I1442" t="s">
        <v>36</v>
      </c>
      <c r="J1442">
        <v>19</v>
      </c>
      <c r="K1442" s="5">
        <v>368.27</v>
      </c>
      <c r="L1442" s="5">
        <v>233.58</v>
      </c>
      <c r="M1442">
        <v>8</v>
      </c>
      <c r="N1442">
        <v>5</v>
      </c>
      <c r="O1442">
        <v>0</v>
      </c>
      <c r="P1442">
        <v>1</v>
      </c>
      <c r="Q1442">
        <v>12</v>
      </c>
      <c r="R1442">
        <v>0</v>
      </c>
      <c r="S1442">
        <v>1</v>
      </c>
      <c r="T1442">
        <v>0</v>
      </c>
      <c r="U1442">
        <v>1</v>
      </c>
      <c r="V1442">
        <v>0</v>
      </c>
      <c r="W1442" t="s">
        <v>50</v>
      </c>
      <c r="X1442">
        <v>49</v>
      </c>
      <c r="Y1442">
        <v>0</v>
      </c>
      <c r="Z1442">
        <f t="shared" si="132"/>
        <v>33</v>
      </c>
      <c r="AA1442">
        <f t="shared" si="133"/>
        <v>0.40816326530612246</v>
      </c>
      <c r="AB1442">
        <f t="shared" si="134"/>
        <v>18</v>
      </c>
      <c r="AC1442" t="str">
        <f t="shared" si="135"/>
        <v>Low</v>
      </c>
      <c r="AD1442" t="str">
        <f t="shared" si="136"/>
        <v>Upsell premium bundle</v>
      </c>
      <c r="AE1442">
        <f t="shared" si="137"/>
        <v>67</v>
      </c>
    </row>
    <row r="1443" spans="1:31" x14ac:dyDescent="0.35">
      <c r="A1443" t="s">
        <v>1501</v>
      </c>
      <c r="B1443" s="4">
        <v>46073</v>
      </c>
      <c r="C1443" s="4">
        <v>46143</v>
      </c>
      <c r="D1443" t="s">
        <v>72</v>
      </c>
      <c r="E1443">
        <v>37</v>
      </c>
      <c r="F1443" t="s">
        <v>33</v>
      </c>
      <c r="G1443" t="s">
        <v>85</v>
      </c>
      <c r="H1443" t="s">
        <v>41</v>
      </c>
      <c r="I1443" t="s">
        <v>36</v>
      </c>
      <c r="J1443">
        <v>2</v>
      </c>
      <c r="K1443" s="5">
        <v>563.54</v>
      </c>
      <c r="L1443" s="5">
        <v>105.98</v>
      </c>
      <c r="M1443">
        <v>14</v>
      </c>
      <c r="N1443">
        <v>5</v>
      </c>
      <c r="O1443">
        <v>1</v>
      </c>
      <c r="P1443">
        <v>1</v>
      </c>
      <c r="Q1443">
        <v>15</v>
      </c>
      <c r="R1443">
        <v>1</v>
      </c>
      <c r="S1443">
        <v>1</v>
      </c>
      <c r="T1443">
        <v>1</v>
      </c>
      <c r="U1443">
        <v>0</v>
      </c>
      <c r="V1443">
        <v>1</v>
      </c>
      <c r="W1443" t="s">
        <v>50</v>
      </c>
      <c r="X1443">
        <v>30</v>
      </c>
      <c r="Y1443">
        <v>1</v>
      </c>
      <c r="Z1443">
        <f t="shared" si="132"/>
        <v>42</v>
      </c>
      <c r="AA1443">
        <f t="shared" si="133"/>
        <v>0.90625</v>
      </c>
      <c r="AB1443">
        <f t="shared" si="134"/>
        <v>33</v>
      </c>
      <c r="AC1443" t="str">
        <f t="shared" si="135"/>
        <v>Low</v>
      </c>
      <c r="AD1443" t="str">
        <f t="shared" si="136"/>
        <v>Upsell premium bundle</v>
      </c>
      <c r="AE1443">
        <f t="shared" si="137"/>
        <v>58</v>
      </c>
    </row>
    <row r="1444" spans="1:31" x14ac:dyDescent="0.35">
      <c r="A1444" t="s">
        <v>1502</v>
      </c>
      <c r="B1444" s="4">
        <v>45014</v>
      </c>
      <c r="C1444" s="4">
        <v>46143</v>
      </c>
      <c r="D1444" t="s">
        <v>66</v>
      </c>
      <c r="E1444">
        <v>28</v>
      </c>
      <c r="F1444" t="s">
        <v>57</v>
      </c>
      <c r="G1444" t="s">
        <v>40</v>
      </c>
      <c r="H1444" t="s">
        <v>41</v>
      </c>
      <c r="I1444" t="s">
        <v>36</v>
      </c>
      <c r="J1444">
        <v>37</v>
      </c>
      <c r="K1444" s="5">
        <v>1198.83</v>
      </c>
      <c r="L1444" s="5">
        <v>735.64</v>
      </c>
      <c r="M1444">
        <v>12</v>
      </c>
      <c r="N1444">
        <v>6</v>
      </c>
      <c r="O1444">
        <v>2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 t="s">
        <v>37</v>
      </c>
      <c r="X1444">
        <v>60</v>
      </c>
      <c r="Y1444">
        <v>1</v>
      </c>
      <c r="Z1444">
        <f t="shared" si="132"/>
        <v>21</v>
      </c>
      <c r="AA1444">
        <f t="shared" si="133"/>
        <v>0.17910447761194029</v>
      </c>
      <c r="AB1444">
        <f t="shared" si="134"/>
        <v>20</v>
      </c>
      <c r="AC1444" t="str">
        <f t="shared" si="135"/>
        <v>Low</v>
      </c>
      <c r="AD1444" t="str">
        <f t="shared" si="136"/>
        <v>Upsell premium bundle</v>
      </c>
      <c r="AE1444">
        <f t="shared" si="137"/>
        <v>79</v>
      </c>
    </row>
    <row r="1445" spans="1:31" x14ac:dyDescent="0.35">
      <c r="A1445" t="s">
        <v>1503</v>
      </c>
      <c r="B1445" s="4">
        <v>46064</v>
      </c>
      <c r="C1445" s="4">
        <v>46143</v>
      </c>
      <c r="D1445" t="s">
        <v>47</v>
      </c>
      <c r="E1445">
        <v>49</v>
      </c>
      <c r="F1445" t="s">
        <v>43</v>
      </c>
      <c r="G1445" t="s">
        <v>40</v>
      </c>
      <c r="H1445" t="s">
        <v>58</v>
      </c>
      <c r="I1445" t="s">
        <v>49</v>
      </c>
      <c r="J1445">
        <v>2</v>
      </c>
      <c r="K1445" s="5">
        <v>127.97</v>
      </c>
      <c r="L1445" s="5">
        <v>95.79</v>
      </c>
      <c r="M1445">
        <v>21</v>
      </c>
      <c r="N1445">
        <v>12</v>
      </c>
      <c r="O1445">
        <v>2</v>
      </c>
      <c r="P1445">
        <v>2</v>
      </c>
      <c r="Q1445">
        <v>11</v>
      </c>
      <c r="R1445">
        <v>3</v>
      </c>
      <c r="S1445">
        <v>0</v>
      </c>
      <c r="T1445">
        <v>0</v>
      </c>
      <c r="U1445">
        <v>0</v>
      </c>
      <c r="V1445">
        <v>1</v>
      </c>
      <c r="W1445" t="s">
        <v>45</v>
      </c>
      <c r="X1445">
        <v>38</v>
      </c>
      <c r="Y1445">
        <v>1</v>
      </c>
      <c r="Z1445">
        <f t="shared" si="132"/>
        <v>54</v>
      </c>
      <c r="AA1445">
        <f t="shared" si="133"/>
        <v>1</v>
      </c>
      <c r="AB1445">
        <f t="shared" si="134"/>
        <v>19</v>
      </c>
      <c r="AC1445" t="str">
        <f t="shared" si="135"/>
        <v>Low</v>
      </c>
      <c r="AD1445" t="str">
        <f t="shared" si="136"/>
        <v>Upsell premium bundle</v>
      </c>
      <c r="AE1445">
        <f t="shared" si="137"/>
        <v>46</v>
      </c>
    </row>
    <row r="1446" spans="1:31" x14ac:dyDescent="0.35">
      <c r="A1446" t="s">
        <v>1504</v>
      </c>
      <c r="B1446" s="4">
        <v>46022</v>
      </c>
      <c r="C1446" s="4">
        <v>46143</v>
      </c>
      <c r="D1446" t="s">
        <v>66</v>
      </c>
      <c r="E1446">
        <v>18</v>
      </c>
      <c r="F1446" t="s">
        <v>43</v>
      </c>
      <c r="G1446" t="s">
        <v>67</v>
      </c>
      <c r="H1446" t="s">
        <v>58</v>
      </c>
      <c r="I1446" t="s">
        <v>36</v>
      </c>
      <c r="J1446">
        <v>4</v>
      </c>
      <c r="K1446" s="5">
        <v>116.32</v>
      </c>
      <c r="L1446" s="5">
        <v>38.049999999999997</v>
      </c>
      <c r="M1446">
        <v>41</v>
      </c>
      <c r="N1446">
        <v>10</v>
      </c>
      <c r="O1446">
        <v>7</v>
      </c>
      <c r="P1446">
        <v>0</v>
      </c>
      <c r="Q1446">
        <v>22</v>
      </c>
      <c r="R1446">
        <v>0</v>
      </c>
      <c r="S1446">
        <v>2</v>
      </c>
      <c r="T1446">
        <v>1</v>
      </c>
      <c r="U1446">
        <v>0</v>
      </c>
      <c r="V1446">
        <v>0</v>
      </c>
      <c r="W1446" t="s">
        <v>50</v>
      </c>
      <c r="X1446">
        <v>10</v>
      </c>
      <c r="Y1446">
        <v>0</v>
      </c>
      <c r="Z1446">
        <f t="shared" si="132"/>
        <v>80</v>
      </c>
      <c r="AA1446">
        <f t="shared" si="133"/>
        <v>1.8529411764705883</v>
      </c>
      <c r="AB1446">
        <f t="shared" si="134"/>
        <v>27</v>
      </c>
      <c r="AC1446" t="str">
        <f t="shared" si="135"/>
        <v>Low</v>
      </c>
      <c r="AD1446" t="str">
        <f t="shared" si="136"/>
        <v>Upsell premium bundle</v>
      </c>
      <c r="AE1446">
        <f t="shared" si="137"/>
        <v>20</v>
      </c>
    </row>
    <row r="1447" spans="1:31" x14ac:dyDescent="0.35">
      <c r="A1447" t="s">
        <v>1505</v>
      </c>
      <c r="B1447" s="4">
        <v>45077</v>
      </c>
      <c r="C1447" s="4">
        <v>46143</v>
      </c>
      <c r="D1447" t="s">
        <v>32</v>
      </c>
      <c r="E1447">
        <v>65</v>
      </c>
      <c r="F1447" t="s">
        <v>57</v>
      </c>
      <c r="G1447" t="s">
        <v>85</v>
      </c>
      <c r="H1447" t="s">
        <v>41</v>
      </c>
      <c r="I1447" t="s">
        <v>36</v>
      </c>
      <c r="J1447">
        <v>35</v>
      </c>
      <c r="K1447" s="5">
        <v>950.64</v>
      </c>
      <c r="L1447" s="5">
        <v>1286.6099999999999</v>
      </c>
      <c r="M1447">
        <v>26</v>
      </c>
      <c r="N1447">
        <v>15</v>
      </c>
      <c r="O1447">
        <v>2</v>
      </c>
      <c r="P1447">
        <v>5</v>
      </c>
      <c r="Q1447">
        <v>18</v>
      </c>
      <c r="R1447">
        <v>0</v>
      </c>
      <c r="S1447">
        <v>0</v>
      </c>
      <c r="T1447">
        <v>0</v>
      </c>
      <c r="U1447">
        <v>1</v>
      </c>
      <c r="V1447">
        <v>1</v>
      </c>
      <c r="W1447" t="s">
        <v>50</v>
      </c>
      <c r="X1447">
        <v>35</v>
      </c>
      <c r="Y1447">
        <v>0</v>
      </c>
      <c r="Z1447">
        <f t="shared" si="132"/>
        <v>80</v>
      </c>
      <c r="AA1447">
        <f t="shared" si="133"/>
        <v>0.67692307692307696</v>
      </c>
      <c r="AB1447">
        <f t="shared" si="134"/>
        <v>9</v>
      </c>
      <c r="AC1447" t="str">
        <f t="shared" si="135"/>
        <v>Low</v>
      </c>
      <c r="AD1447" t="str">
        <f t="shared" si="136"/>
        <v>Upsell premium bundle</v>
      </c>
      <c r="AE1447">
        <f t="shared" si="137"/>
        <v>20</v>
      </c>
    </row>
    <row r="1448" spans="1:31" x14ac:dyDescent="0.35">
      <c r="A1448" t="s">
        <v>1506</v>
      </c>
      <c r="B1448" s="4">
        <v>46038</v>
      </c>
      <c r="C1448" s="4">
        <v>46143</v>
      </c>
      <c r="D1448" t="s">
        <v>47</v>
      </c>
      <c r="E1448">
        <v>70</v>
      </c>
      <c r="F1448" t="s">
        <v>57</v>
      </c>
      <c r="G1448" t="s">
        <v>85</v>
      </c>
      <c r="H1448" t="s">
        <v>58</v>
      </c>
      <c r="I1448" t="s">
        <v>49</v>
      </c>
      <c r="J1448">
        <v>3</v>
      </c>
      <c r="K1448" s="5">
        <v>1543.46</v>
      </c>
      <c r="L1448" s="5">
        <v>1352.74</v>
      </c>
      <c r="M1448">
        <v>49</v>
      </c>
      <c r="N1448">
        <v>17</v>
      </c>
      <c r="O1448">
        <v>11</v>
      </c>
      <c r="P1448">
        <v>1</v>
      </c>
      <c r="Q1448">
        <v>35</v>
      </c>
      <c r="R1448">
        <v>0</v>
      </c>
      <c r="S1448">
        <v>1</v>
      </c>
      <c r="T1448">
        <v>1</v>
      </c>
      <c r="U1448">
        <v>1</v>
      </c>
      <c r="V1448">
        <v>0</v>
      </c>
      <c r="W1448" t="s">
        <v>55</v>
      </c>
      <c r="X1448">
        <v>28</v>
      </c>
      <c r="Y1448">
        <v>0</v>
      </c>
      <c r="Z1448">
        <f t="shared" si="132"/>
        <v>100</v>
      </c>
      <c r="AA1448">
        <f t="shared" si="133"/>
        <v>2.5454545454545454</v>
      </c>
      <c r="AB1448">
        <f t="shared" si="134"/>
        <v>18</v>
      </c>
      <c r="AC1448" t="str">
        <f t="shared" si="135"/>
        <v>Low</v>
      </c>
      <c r="AD1448" t="str">
        <f t="shared" si="136"/>
        <v>Upsell premium bundle</v>
      </c>
      <c r="AE1448">
        <f t="shared" si="137"/>
        <v>0</v>
      </c>
    </row>
    <row r="1449" spans="1:31" x14ac:dyDescent="0.35">
      <c r="A1449" t="s">
        <v>1507</v>
      </c>
      <c r="B1449" s="4">
        <v>44935</v>
      </c>
      <c r="C1449" s="4">
        <v>46143</v>
      </c>
      <c r="D1449" t="s">
        <v>72</v>
      </c>
      <c r="E1449">
        <v>22</v>
      </c>
      <c r="F1449" t="s">
        <v>57</v>
      </c>
      <c r="G1449" t="s">
        <v>67</v>
      </c>
      <c r="H1449" t="s">
        <v>44</v>
      </c>
      <c r="I1449" t="s">
        <v>36</v>
      </c>
      <c r="J1449">
        <v>40</v>
      </c>
      <c r="K1449" s="5">
        <v>0</v>
      </c>
      <c r="L1449" s="5">
        <v>763.16</v>
      </c>
      <c r="M1449">
        <v>34</v>
      </c>
      <c r="N1449">
        <v>15</v>
      </c>
      <c r="O1449">
        <v>2</v>
      </c>
      <c r="P1449">
        <v>6</v>
      </c>
      <c r="Q1449">
        <v>25</v>
      </c>
      <c r="R1449">
        <v>0</v>
      </c>
      <c r="S1449">
        <v>0</v>
      </c>
      <c r="T1449">
        <v>0</v>
      </c>
      <c r="U1449">
        <v>1</v>
      </c>
      <c r="V1449">
        <v>1</v>
      </c>
      <c r="W1449" t="s">
        <v>55</v>
      </c>
      <c r="X1449">
        <v>8</v>
      </c>
      <c r="Y1449">
        <v>0</v>
      </c>
      <c r="Z1449">
        <f t="shared" si="132"/>
        <v>96</v>
      </c>
      <c r="AA1449">
        <f t="shared" si="133"/>
        <v>0.84285714285714286</v>
      </c>
      <c r="AB1449">
        <f t="shared" si="134"/>
        <v>6</v>
      </c>
      <c r="AC1449" t="str">
        <f t="shared" si="135"/>
        <v>Low</v>
      </c>
      <c r="AD1449" t="str">
        <f t="shared" si="136"/>
        <v>Upsell premium bundle</v>
      </c>
      <c r="AE1449">
        <f t="shared" si="137"/>
        <v>4</v>
      </c>
    </row>
    <row r="1450" spans="1:31" x14ac:dyDescent="0.35">
      <c r="A1450" t="s">
        <v>1508</v>
      </c>
      <c r="B1450" s="4">
        <v>44926</v>
      </c>
      <c r="C1450" s="4">
        <v>46143</v>
      </c>
      <c r="D1450" t="s">
        <v>32</v>
      </c>
      <c r="E1450">
        <v>68</v>
      </c>
      <c r="F1450" t="s">
        <v>33</v>
      </c>
      <c r="G1450" t="s">
        <v>67</v>
      </c>
      <c r="H1450" t="s">
        <v>44</v>
      </c>
      <c r="I1450" t="s">
        <v>36</v>
      </c>
      <c r="J1450">
        <v>40</v>
      </c>
      <c r="K1450" s="5">
        <v>213.55</v>
      </c>
      <c r="L1450" s="5">
        <v>320.97000000000003</v>
      </c>
      <c r="M1450">
        <v>47</v>
      </c>
      <c r="N1450">
        <v>31</v>
      </c>
      <c r="O1450">
        <v>4</v>
      </c>
      <c r="P1450">
        <v>1</v>
      </c>
      <c r="Q1450">
        <v>31</v>
      </c>
      <c r="R1450">
        <v>1</v>
      </c>
      <c r="S1450">
        <v>0</v>
      </c>
      <c r="T1450">
        <v>1</v>
      </c>
      <c r="U1450">
        <v>1</v>
      </c>
      <c r="V1450">
        <v>1</v>
      </c>
      <c r="W1450" t="s">
        <v>37</v>
      </c>
      <c r="X1450">
        <v>32</v>
      </c>
      <c r="Y1450">
        <v>0</v>
      </c>
      <c r="Z1450">
        <f t="shared" si="132"/>
        <v>100</v>
      </c>
      <c r="AA1450">
        <f t="shared" si="133"/>
        <v>1.1142857142857143</v>
      </c>
      <c r="AB1450">
        <f t="shared" si="134"/>
        <v>0</v>
      </c>
      <c r="AC1450" t="str">
        <f t="shared" si="135"/>
        <v>Low</v>
      </c>
      <c r="AD1450" t="str">
        <f t="shared" si="136"/>
        <v>Upsell premium bundle</v>
      </c>
      <c r="AE1450">
        <f t="shared" si="137"/>
        <v>0</v>
      </c>
    </row>
    <row r="1451" spans="1:31" x14ac:dyDescent="0.35">
      <c r="A1451" t="s">
        <v>1509</v>
      </c>
      <c r="B1451" s="4">
        <v>45971</v>
      </c>
      <c r="C1451" s="4">
        <v>46143</v>
      </c>
      <c r="D1451" t="s">
        <v>32</v>
      </c>
      <c r="E1451">
        <v>39</v>
      </c>
      <c r="F1451" t="s">
        <v>57</v>
      </c>
      <c r="G1451" t="s">
        <v>85</v>
      </c>
      <c r="H1451" t="s">
        <v>41</v>
      </c>
      <c r="I1451" t="s">
        <v>36</v>
      </c>
      <c r="J1451">
        <v>5</v>
      </c>
      <c r="K1451" s="5">
        <v>1559.28</v>
      </c>
      <c r="L1451" s="5">
        <v>374.78</v>
      </c>
      <c r="M1451">
        <v>33</v>
      </c>
      <c r="N1451">
        <v>22</v>
      </c>
      <c r="O1451">
        <v>6</v>
      </c>
      <c r="P1451">
        <v>1</v>
      </c>
      <c r="Q1451">
        <v>31</v>
      </c>
      <c r="R1451">
        <v>0</v>
      </c>
      <c r="S1451">
        <v>1</v>
      </c>
      <c r="T1451">
        <v>0</v>
      </c>
      <c r="U1451">
        <v>0</v>
      </c>
      <c r="V1451">
        <v>0</v>
      </c>
      <c r="W1451" t="s">
        <v>37</v>
      </c>
      <c r="X1451">
        <v>-26</v>
      </c>
      <c r="Y1451">
        <v>0</v>
      </c>
      <c r="Z1451">
        <f t="shared" si="132"/>
        <v>88</v>
      </c>
      <c r="AA1451">
        <f t="shared" si="133"/>
        <v>1.8285714285714285</v>
      </c>
      <c r="AB1451">
        <f t="shared" si="134"/>
        <v>44</v>
      </c>
      <c r="AC1451" t="str">
        <f t="shared" si="135"/>
        <v>Medium</v>
      </c>
      <c r="AD1451" t="str">
        <f t="shared" si="136"/>
        <v>Nudge core feature adoption</v>
      </c>
      <c r="AE1451">
        <f t="shared" si="137"/>
        <v>12</v>
      </c>
    </row>
    <row r="1452" spans="1:31" x14ac:dyDescent="0.35">
      <c r="A1452" t="s">
        <v>1510</v>
      </c>
      <c r="B1452" s="4">
        <v>45067</v>
      </c>
      <c r="C1452" s="4">
        <v>46143</v>
      </c>
      <c r="D1452" t="s">
        <v>39</v>
      </c>
      <c r="E1452">
        <v>49</v>
      </c>
      <c r="F1452" t="s">
        <v>43</v>
      </c>
      <c r="G1452" t="s">
        <v>40</v>
      </c>
      <c r="H1452" t="s">
        <v>41</v>
      </c>
      <c r="I1452" t="s">
        <v>36</v>
      </c>
      <c r="J1452">
        <v>35</v>
      </c>
      <c r="K1452" s="5">
        <v>115.61</v>
      </c>
      <c r="L1452" s="5">
        <v>60.91</v>
      </c>
      <c r="M1452">
        <v>20</v>
      </c>
      <c r="N1452">
        <v>14</v>
      </c>
      <c r="O1452">
        <v>4</v>
      </c>
      <c r="P1452">
        <v>2</v>
      </c>
      <c r="Q1452">
        <v>7</v>
      </c>
      <c r="R1452">
        <v>2</v>
      </c>
      <c r="S1452">
        <v>1</v>
      </c>
      <c r="T1452">
        <v>1</v>
      </c>
      <c r="U1452">
        <v>0</v>
      </c>
      <c r="V1452">
        <v>0</v>
      </c>
      <c r="W1452" t="s">
        <v>37</v>
      </c>
      <c r="X1452">
        <v>-36</v>
      </c>
      <c r="Y1452">
        <v>1</v>
      </c>
      <c r="Z1452">
        <f t="shared" si="132"/>
        <v>46</v>
      </c>
      <c r="AA1452">
        <f t="shared" si="133"/>
        <v>0.41538461538461541</v>
      </c>
      <c r="AB1452">
        <f t="shared" si="134"/>
        <v>63</v>
      </c>
      <c r="AC1452" t="str">
        <f t="shared" si="135"/>
        <v>Medium</v>
      </c>
      <c r="AD1452" t="str">
        <f t="shared" si="136"/>
        <v>Nudge core feature adoption</v>
      </c>
      <c r="AE1452">
        <f t="shared" si="137"/>
        <v>54</v>
      </c>
    </row>
    <row r="1453" spans="1:31" x14ac:dyDescent="0.35">
      <c r="A1453" t="s">
        <v>1511</v>
      </c>
      <c r="B1453" s="4">
        <v>46108</v>
      </c>
      <c r="C1453" s="4">
        <v>46143</v>
      </c>
      <c r="D1453" t="s">
        <v>32</v>
      </c>
      <c r="E1453">
        <v>60</v>
      </c>
      <c r="F1453" t="s">
        <v>43</v>
      </c>
      <c r="G1453" t="s">
        <v>67</v>
      </c>
      <c r="H1453" t="s">
        <v>41</v>
      </c>
      <c r="I1453" t="s">
        <v>36</v>
      </c>
      <c r="J1453">
        <v>1</v>
      </c>
      <c r="K1453" s="5">
        <v>176.84</v>
      </c>
      <c r="L1453" s="5">
        <v>41.33</v>
      </c>
      <c r="M1453">
        <v>11</v>
      </c>
      <c r="N1453">
        <v>5</v>
      </c>
      <c r="O1453">
        <v>2</v>
      </c>
      <c r="P1453">
        <v>0</v>
      </c>
      <c r="Q1453">
        <v>7</v>
      </c>
      <c r="R1453">
        <v>1</v>
      </c>
      <c r="S1453">
        <v>1</v>
      </c>
      <c r="T1453">
        <v>0</v>
      </c>
      <c r="U1453">
        <v>0</v>
      </c>
      <c r="V1453">
        <v>1</v>
      </c>
      <c r="W1453" t="s">
        <v>50</v>
      </c>
      <c r="X1453">
        <v>-12</v>
      </c>
      <c r="Y1453">
        <v>1</v>
      </c>
      <c r="Z1453">
        <f t="shared" si="132"/>
        <v>31</v>
      </c>
      <c r="AA1453">
        <f t="shared" si="133"/>
        <v>0.58064516129032262</v>
      </c>
      <c r="AB1453">
        <f t="shared" si="134"/>
        <v>58</v>
      </c>
      <c r="AC1453" t="str">
        <f t="shared" si="135"/>
        <v>Medium</v>
      </c>
      <c r="AD1453" t="str">
        <f t="shared" si="136"/>
        <v>Nudge core feature adoption</v>
      </c>
      <c r="AE1453">
        <f t="shared" si="137"/>
        <v>69</v>
      </c>
    </row>
    <row r="1454" spans="1:31" x14ac:dyDescent="0.35">
      <c r="A1454" t="s">
        <v>1512</v>
      </c>
      <c r="B1454" s="4">
        <v>45766</v>
      </c>
      <c r="C1454" s="4">
        <v>46143</v>
      </c>
      <c r="D1454" t="s">
        <v>66</v>
      </c>
      <c r="E1454">
        <v>41</v>
      </c>
      <c r="F1454" t="s">
        <v>61</v>
      </c>
      <c r="G1454" t="s">
        <v>67</v>
      </c>
      <c r="H1454" t="s">
        <v>58</v>
      </c>
      <c r="I1454" t="s">
        <v>36</v>
      </c>
      <c r="J1454">
        <v>12</v>
      </c>
      <c r="K1454" s="5">
        <v>2661.73</v>
      </c>
      <c r="L1454" s="5">
        <v>2531.13</v>
      </c>
      <c r="M1454">
        <v>30</v>
      </c>
      <c r="N1454">
        <v>12</v>
      </c>
      <c r="O1454">
        <v>6</v>
      </c>
      <c r="P1454">
        <v>5</v>
      </c>
      <c r="Q1454">
        <v>24</v>
      </c>
      <c r="R1454">
        <v>3</v>
      </c>
      <c r="S1454">
        <v>1</v>
      </c>
      <c r="T1454">
        <v>1</v>
      </c>
      <c r="U1454">
        <v>0</v>
      </c>
      <c r="V1454">
        <v>0</v>
      </c>
      <c r="W1454" t="s">
        <v>52</v>
      </c>
      <c r="X1454">
        <v>29</v>
      </c>
      <c r="Y1454">
        <v>0</v>
      </c>
      <c r="Z1454">
        <f t="shared" si="132"/>
        <v>77</v>
      </c>
      <c r="AA1454">
        <f t="shared" si="133"/>
        <v>1.2857142857142858</v>
      </c>
      <c r="AB1454">
        <f t="shared" si="134"/>
        <v>0</v>
      </c>
      <c r="AC1454" t="str">
        <f t="shared" si="135"/>
        <v>Low</v>
      </c>
      <c r="AD1454" t="str">
        <f t="shared" si="136"/>
        <v>Upsell premium bundle</v>
      </c>
      <c r="AE1454">
        <f t="shared" si="137"/>
        <v>23</v>
      </c>
    </row>
    <row r="1455" spans="1:31" x14ac:dyDescent="0.35">
      <c r="A1455" t="s">
        <v>1513</v>
      </c>
      <c r="B1455" s="4">
        <v>45086</v>
      </c>
      <c r="C1455" s="4">
        <v>46143</v>
      </c>
      <c r="D1455" t="s">
        <v>60</v>
      </c>
      <c r="E1455">
        <v>24</v>
      </c>
      <c r="F1455" t="s">
        <v>61</v>
      </c>
      <c r="G1455" t="s">
        <v>67</v>
      </c>
      <c r="H1455" t="s">
        <v>41</v>
      </c>
      <c r="I1455" t="s">
        <v>36</v>
      </c>
      <c r="J1455">
        <v>35</v>
      </c>
      <c r="K1455" s="5">
        <v>8326.93</v>
      </c>
      <c r="L1455" s="5">
        <v>0</v>
      </c>
      <c r="M1455">
        <v>32</v>
      </c>
      <c r="N1455">
        <v>17</v>
      </c>
      <c r="O1455">
        <v>9</v>
      </c>
      <c r="P1455">
        <v>6</v>
      </c>
      <c r="Q1455">
        <v>29</v>
      </c>
      <c r="R1455">
        <v>2</v>
      </c>
      <c r="S1455">
        <v>1</v>
      </c>
      <c r="T1455">
        <v>0</v>
      </c>
      <c r="U1455">
        <v>0</v>
      </c>
      <c r="V1455">
        <v>0</v>
      </c>
      <c r="W1455" t="s">
        <v>50</v>
      </c>
      <c r="X1455">
        <v>0</v>
      </c>
      <c r="Y1455">
        <v>0</v>
      </c>
      <c r="Z1455">
        <f t="shared" si="132"/>
        <v>92</v>
      </c>
      <c r="AA1455">
        <f t="shared" si="133"/>
        <v>0.93846153846153846</v>
      </c>
      <c r="AB1455">
        <f t="shared" si="134"/>
        <v>26</v>
      </c>
      <c r="AC1455" t="str">
        <f t="shared" si="135"/>
        <v>Low</v>
      </c>
      <c r="AD1455" t="str">
        <f t="shared" si="136"/>
        <v>Upsell premium bundle</v>
      </c>
      <c r="AE1455">
        <f t="shared" si="137"/>
        <v>8</v>
      </c>
    </row>
    <row r="1456" spans="1:31" x14ac:dyDescent="0.35">
      <c r="A1456" t="s">
        <v>1514</v>
      </c>
      <c r="B1456" s="4">
        <v>45446</v>
      </c>
      <c r="C1456" s="4">
        <v>46143</v>
      </c>
      <c r="D1456" t="s">
        <v>72</v>
      </c>
      <c r="E1456">
        <v>30</v>
      </c>
      <c r="F1456" t="s">
        <v>43</v>
      </c>
      <c r="G1456" t="s">
        <v>40</v>
      </c>
      <c r="H1456" t="s">
        <v>58</v>
      </c>
      <c r="I1456" t="s">
        <v>36</v>
      </c>
      <c r="J1456">
        <v>23</v>
      </c>
      <c r="K1456" s="5">
        <v>0</v>
      </c>
      <c r="L1456" s="5">
        <v>1.68</v>
      </c>
      <c r="M1456">
        <v>24</v>
      </c>
      <c r="N1456">
        <v>15</v>
      </c>
      <c r="O1456">
        <v>3</v>
      </c>
      <c r="P1456">
        <v>0</v>
      </c>
      <c r="Q1456">
        <v>10</v>
      </c>
      <c r="R1456">
        <v>0</v>
      </c>
      <c r="S1456">
        <v>0</v>
      </c>
      <c r="T1456">
        <v>1</v>
      </c>
      <c r="U1456">
        <v>1</v>
      </c>
      <c r="V1456">
        <v>0</v>
      </c>
      <c r="W1456" t="s">
        <v>45</v>
      </c>
      <c r="X1456">
        <v>92</v>
      </c>
      <c r="Y1456">
        <v>0</v>
      </c>
      <c r="Z1456">
        <f t="shared" si="132"/>
        <v>58</v>
      </c>
      <c r="AA1456">
        <f t="shared" si="133"/>
        <v>0.64150943396226412</v>
      </c>
      <c r="AB1456">
        <f t="shared" si="134"/>
        <v>0</v>
      </c>
      <c r="AC1456" t="str">
        <f t="shared" si="135"/>
        <v>Low</v>
      </c>
      <c r="AD1456" t="str">
        <f t="shared" si="136"/>
        <v>Upsell premium bundle</v>
      </c>
      <c r="AE1456">
        <f t="shared" si="137"/>
        <v>42</v>
      </c>
    </row>
    <row r="1457" spans="1:31" x14ac:dyDescent="0.35">
      <c r="A1457" t="s">
        <v>1515</v>
      </c>
      <c r="B1457" s="4">
        <v>46074</v>
      </c>
      <c r="C1457" s="4">
        <v>46143</v>
      </c>
      <c r="D1457" t="s">
        <v>47</v>
      </c>
      <c r="E1457">
        <v>41</v>
      </c>
      <c r="F1457" t="s">
        <v>57</v>
      </c>
      <c r="G1457" t="s">
        <v>40</v>
      </c>
      <c r="H1457" t="s">
        <v>41</v>
      </c>
      <c r="I1457" t="s">
        <v>36</v>
      </c>
      <c r="J1457">
        <v>2</v>
      </c>
      <c r="K1457" s="5">
        <v>1203.3499999999999</v>
      </c>
      <c r="L1457" s="5">
        <v>744.8</v>
      </c>
      <c r="M1457">
        <v>28</v>
      </c>
      <c r="N1457">
        <v>19</v>
      </c>
      <c r="O1457">
        <v>7</v>
      </c>
      <c r="P1457">
        <v>0</v>
      </c>
      <c r="Q1457">
        <v>32</v>
      </c>
      <c r="R1457">
        <v>2</v>
      </c>
      <c r="S1457">
        <v>1</v>
      </c>
      <c r="T1457">
        <v>0</v>
      </c>
      <c r="U1457">
        <v>0</v>
      </c>
      <c r="V1457">
        <v>0</v>
      </c>
      <c r="W1457" t="s">
        <v>45</v>
      </c>
      <c r="X1457">
        <v>51</v>
      </c>
      <c r="Y1457">
        <v>0</v>
      </c>
      <c r="Z1457">
        <f t="shared" si="132"/>
        <v>81</v>
      </c>
      <c r="AA1457">
        <f t="shared" si="133"/>
        <v>1.875</v>
      </c>
      <c r="AB1457">
        <f t="shared" si="134"/>
        <v>5</v>
      </c>
      <c r="AC1457" t="str">
        <f t="shared" si="135"/>
        <v>Low</v>
      </c>
      <c r="AD1457" t="str">
        <f t="shared" si="136"/>
        <v>Upsell premium bundle</v>
      </c>
      <c r="AE1457">
        <f t="shared" si="137"/>
        <v>19</v>
      </c>
    </row>
    <row r="1458" spans="1:31" x14ac:dyDescent="0.35">
      <c r="A1458" t="s">
        <v>1516</v>
      </c>
      <c r="B1458" s="4">
        <v>45437</v>
      </c>
      <c r="C1458" s="4">
        <v>46143</v>
      </c>
      <c r="D1458" t="s">
        <v>32</v>
      </c>
      <c r="E1458">
        <v>60</v>
      </c>
      <c r="F1458" t="s">
        <v>33</v>
      </c>
      <c r="G1458" t="s">
        <v>67</v>
      </c>
      <c r="H1458" t="s">
        <v>44</v>
      </c>
      <c r="I1458" t="s">
        <v>36</v>
      </c>
      <c r="J1458">
        <v>23</v>
      </c>
      <c r="K1458" s="5">
        <v>0</v>
      </c>
      <c r="L1458" s="5">
        <v>338.33</v>
      </c>
      <c r="M1458">
        <v>40</v>
      </c>
      <c r="N1458">
        <v>13</v>
      </c>
      <c r="O1458">
        <v>3</v>
      </c>
      <c r="P1458">
        <v>4</v>
      </c>
      <c r="Q1458">
        <v>20</v>
      </c>
      <c r="R1458">
        <v>2</v>
      </c>
      <c r="S1458">
        <v>0</v>
      </c>
      <c r="T1458">
        <v>0</v>
      </c>
      <c r="U1458">
        <v>0</v>
      </c>
      <c r="V1458">
        <v>0</v>
      </c>
      <c r="W1458" t="s">
        <v>50</v>
      </c>
      <c r="X1458">
        <v>30</v>
      </c>
      <c r="Y1458">
        <v>0</v>
      </c>
      <c r="Z1458">
        <f t="shared" si="132"/>
        <v>80</v>
      </c>
      <c r="AA1458">
        <f t="shared" si="133"/>
        <v>1.1320754716981132</v>
      </c>
      <c r="AB1458">
        <f t="shared" si="134"/>
        <v>0</v>
      </c>
      <c r="AC1458" t="str">
        <f t="shared" si="135"/>
        <v>Low</v>
      </c>
      <c r="AD1458" t="str">
        <f t="shared" si="136"/>
        <v>Upsell premium bundle</v>
      </c>
      <c r="AE1458">
        <f t="shared" si="137"/>
        <v>20</v>
      </c>
    </row>
    <row r="1459" spans="1:31" x14ac:dyDescent="0.35">
      <c r="A1459" t="s">
        <v>1517</v>
      </c>
      <c r="B1459" s="4">
        <v>44950</v>
      </c>
      <c r="C1459" s="4">
        <v>46143</v>
      </c>
      <c r="D1459" t="s">
        <v>66</v>
      </c>
      <c r="E1459">
        <v>32</v>
      </c>
      <c r="F1459" t="s">
        <v>61</v>
      </c>
      <c r="G1459" t="s">
        <v>85</v>
      </c>
      <c r="H1459" t="s">
        <v>41</v>
      </c>
      <c r="I1459" t="s">
        <v>36</v>
      </c>
      <c r="J1459">
        <v>39</v>
      </c>
      <c r="K1459" s="5">
        <v>6605.39</v>
      </c>
      <c r="L1459" s="5">
        <v>82.42</v>
      </c>
      <c r="M1459">
        <v>2</v>
      </c>
      <c r="N1459">
        <v>0</v>
      </c>
      <c r="O1459">
        <v>0</v>
      </c>
      <c r="P1459">
        <v>0</v>
      </c>
      <c r="Q1459">
        <v>2</v>
      </c>
      <c r="R1459">
        <v>0</v>
      </c>
      <c r="S1459">
        <v>0</v>
      </c>
      <c r="T1459">
        <v>0</v>
      </c>
      <c r="U1459">
        <v>0</v>
      </c>
      <c r="V1459">
        <v>1</v>
      </c>
      <c r="W1459" t="s">
        <v>50</v>
      </c>
      <c r="X1459">
        <v>-14</v>
      </c>
      <c r="Y1459">
        <v>1</v>
      </c>
      <c r="Z1459">
        <f t="shared" si="132"/>
        <v>11</v>
      </c>
      <c r="AA1459">
        <f t="shared" si="133"/>
        <v>5.7971014492753624E-2</v>
      </c>
      <c r="AB1459">
        <f t="shared" si="134"/>
        <v>61</v>
      </c>
      <c r="AC1459" t="str">
        <f t="shared" si="135"/>
        <v>Medium</v>
      </c>
      <c r="AD1459" t="str">
        <f t="shared" si="136"/>
        <v>Nudge core feature adoption</v>
      </c>
      <c r="AE1459">
        <f t="shared" si="137"/>
        <v>89</v>
      </c>
    </row>
    <row r="1460" spans="1:31" x14ac:dyDescent="0.35">
      <c r="A1460" t="s">
        <v>1518</v>
      </c>
      <c r="B1460" s="4">
        <v>45704</v>
      </c>
      <c r="C1460" s="4">
        <v>46143</v>
      </c>
      <c r="D1460" t="s">
        <v>47</v>
      </c>
      <c r="E1460">
        <v>50</v>
      </c>
      <c r="F1460" t="s">
        <v>77</v>
      </c>
      <c r="G1460" t="s">
        <v>34</v>
      </c>
      <c r="H1460" t="s">
        <v>41</v>
      </c>
      <c r="I1460" t="s">
        <v>49</v>
      </c>
      <c r="J1460">
        <v>14</v>
      </c>
      <c r="K1460" s="5">
        <v>11267.42</v>
      </c>
      <c r="L1460" s="5">
        <v>8525.31</v>
      </c>
      <c r="M1460">
        <v>0</v>
      </c>
      <c r="N1460">
        <v>0</v>
      </c>
      <c r="O1460">
        <v>0</v>
      </c>
      <c r="P1460">
        <v>0</v>
      </c>
      <c r="Q1460">
        <v>4</v>
      </c>
      <c r="R1460">
        <v>1</v>
      </c>
      <c r="S1460">
        <v>0</v>
      </c>
      <c r="T1460">
        <v>0</v>
      </c>
      <c r="U1460">
        <v>0</v>
      </c>
      <c r="V1460">
        <v>0</v>
      </c>
      <c r="W1460" t="s">
        <v>52</v>
      </c>
      <c r="X1460">
        <v>54</v>
      </c>
      <c r="Y1460">
        <v>0</v>
      </c>
      <c r="Z1460">
        <f t="shared" si="132"/>
        <v>4</v>
      </c>
      <c r="AA1460">
        <f t="shared" si="133"/>
        <v>9.0909090909090912E-2</v>
      </c>
      <c r="AB1460">
        <f t="shared" si="134"/>
        <v>34</v>
      </c>
      <c r="AC1460" t="str">
        <f t="shared" si="135"/>
        <v>Low</v>
      </c>
      <c r="AD1460" t="str">
        <f t="shared" si="136"/>
        <v>Upsell premium bundle</v>
      </c>
      <c r="AE1460">
        <f t="shared" si="137"/>
        <v>96</v>
      </c>
    </row>
    <row r="1461" spans="1:31" x14ac:dyDescent="0.35">
      <c r="A1461" t="s">
        <v>1519</v>
      </c>
      <c r="B1461" s="4">
        <v>45851</v>
      </c>
      <c r="C1461" s="4">
        <v>46143</v>
      </c>
      <c r="D1461" t="s">
        <v>60</v>
      </c>
      <c r="E1461">
        <v>19</v>
      </c>
      <c r="F1461" t="s">
        <v>43</v>
      </c>
      <c r="G1461" t="s">
        <v>34</v>
      </c>
      <c r="H1461" t="s">
        <v>35</v>
      </c>
      <c r="I1461" t="s">
        <v>36</v>
      </c>
      <c r="J1461">
        <v>9</v>
      </c>
      <c r="K1461" s="5">
        <v>0</v>
      </c>
      <c r="L1461" s="5">
        <v>53.8</v>
      </c>
      <c r="M1461">
        <v>17</v>
      </c>
      <c r="N1461">
        <v>6</v>
      </c>
      <c r="O1461">
        <v>0</v>
      </c>
      <c r="P1461">
        <v>0</v>
      </c>
      <c r="Q1461">
        <v>17</v>
      </c>
      <c r="R1461">
        <v>1</v>
      </c>
      <c r="S1461">
        <v>1</v>
      </c>
      <c r="T1461">
        <v>1</v>
      </c>
      <c r="U1461">
        <v>1</v>
      </c>
      <c r="V1461">
        <v>0</v>
      </c>
      <c r="W1461" t="s">
        <v>45</v>
      </c>
      <c r="X1461">
        <v>-1</v>
      </c>
      <c r="Y1461">
        <v>1</v>
      </c>
      <c r="Z1461">
        <f t="shared" si="132"/>
        <v>46</v>
      </c>
      <c r="AA1461">
        <f t="shared" si="133"/>
        <v>0.87179487179487181</v>
      </c>
      <c r="AB1461">
        <f t="shared" si="134"/>
        <v>37</v>
      </c>
      <c r="AC1461" t="str">
        <f t="shared" si="135"/>
        <v>Low</v>
      </c>
      <c r="AD1461" t="str">
        <f t="shared" si="136"/>
        <v>Upsell premium bundle</v>
      </c>
      <c r="AE1461">
        <f t="shared" si="137"/>
        <v>54</v>
      </c>
    </row>
    <row r="1462" spans="1:31" x14ac:dyDescent="0.35">
      <c r="A1462" t="s">
        <v>1520</v>
      </c>
      <c r="B1462" s="4">
        <v>45220</v>
      </c>
      <c r="C1462" s="4">
        <v>46143</v>
      </c>
      <c r="D1462" t="s">
        <v>39</v>
      </c>
      <c r="E1462">
        <v>43</v>
      </c>
      <c r="F1462" t="s">
        <v>61</v>
      </c>
      <c r="G1462" t="s">
        <v>67</v>
      </c>
      <c r="H1462" t="s">
        <v>35</v>
      </c>
      <c r="I1462" t="s">
        <v>36</v>
      </c>
      <c r="J1462">
        <v>30</v>
      </c>
      <c r="K1462" s="5">
        <v>2293.9</v>
      </c>
      <c r="L1462" s="5">
        <v>1801.55</v>
      </c>
      <c r="M1462">
        <v>27</v>
      </c>
      <c r="N1462">
        <v>18</v>
      </c>
      <c r="O1462">
        <v>4</v>
      </c>
      <c r="P1462">
        <v>5</v>
      </c>
      <c r="Q1462">
        <v>24</v>
      </c>
      <c r="R1462">
        <v>0</v>
      </c>
      <c r="S1462">
        <v>0</v>
      </c>
      <c r="T1462">
        <v>1</v>
      </c>
      <c r="U1462">
        <v>1</v>
      </c>
      <c r="V1462">
        <v>1</v>
      </c>
      <c r="W1462" t="s">
        <v>45</v>
      </c>
      <c r="X1462">
        <v>8</v>
      </c>
      <c r="Y1462">
        <v>0</v>
      </c>
      <c r="Z1462">
        <f t="shared" si="132"/>
        <v>91</v>
      </c>
      <c r="AA1462">
        <f t="shared" si="133"/>
        <v>0.85</v>
      </c>
      <c r="AB1462">
        <f t="shared" si="134"/>
        <v>0</v>
      </c>
      <c r="AC1462" t="str">
        <f t="shared" si="135"/>
        <v>Low</v>
      </c>
      <c r="AD1462" t="str">
        <f t="shared" si="136"/>
        <v>Upsell premium bundle</v>
      </c>
      <c r="AE1462">
        <f t="shared" si="137"/>
        <v>9</v>
      </c>
    </row>
    <row r="1463" spans="1:31" x14ac:dyDescent="0.35">
      <c r="A1463" t="s">
        <v>1521</v>
      </c>
      <c r="B1463" s="4">
        <v>45669</v>
      </c>
      <c r="C1463" s="4">
        <v>46143</v>
      </c>
      <c r="D1463" t="s">
        <v>66</v>
      </c>
      <c r="E1463">
        <v>62</v>
      </c>
      <c r="F1463" t="s">
        <v>33</v>
      </c>
      <c r="G1463" t="s">
        <v>85</v>
      </c>
      <c r="H1463" t="s">
        <v>41</v>
      </c>
      <c r="I1463" t="s">
        <v>54</v>
      </c>
      <c r="J1463">
        <v>15</v>
      </c>
      <c r="K1463" s="5">
        <v>498.2</v>
      </c>
      <c r="L1463" s="5">
        <v>110.94</v>
      </c>
      <c r="M1463">
        <v>16</v>
      </c>
      <c r="N1463">
        <v>6</v>
      </c>
      <c r="O1463">
        <v>1</v>
      </c>
      <c r="P1463">
        <v>0</v>
      </c>
      <c r="Q1463">
        <v>4</v>
      </c>
      <c r="R1463">
        <v>2</v>
      </c>
      <c r="S1463">
        <v>1</v>
      </c>
      <c r="T1463">
        <v>1</v>
      </c>
      <c r="U1463">
        <v>0</v>
      </c>
      <c r="V1463">
        <v>0</v>
      </c>
      <c r="W1463" t="s">
        <v>37</v>
      </c>
      <c r="X1463">
        <v>12</v>
      </c>
      <c r="Y1463">
        <v>1</v>
      </c>
      <c r="Z1463">
        <f t="shared" si="132"/>
        <v>27</v>
      </c>
      <c r="AA1463">
        <f t="shared" si="133"/>
        <v>0.44444444444444442</v>
      </c>
      <c r="AB1463">
        <f t="shared" si="134"/>
        <v>62</v>
      </c>
      <c r="AC1463" t="str">
        <f t="shared" si="135"/>
        <v>Medium</v>
      </c>
      <c r="AD1463" t="str">
        <f t="shared" si="136"/>
        <v>Nudge core feature adoption</v>
      </c>
      <c r="AE1463">
        <f t="shared" si="137"/>
        <v>73</v>
      </c>
    </row>
    <row r="1464" spans="1:31" x14ac:dyDescent="0.35">
      <c r="A1464" t="s">
        <v>1522</v>
      </c>
      <c r="B1464" s="4">
        <v>46084</v>
      </c>
      <c r="C1464" s="4">
        <v>46143</v>
      </c>
      <c r="D1464" t="s">
        <v>66</v>
      </c>
      <c r="E1464">
        <v>28</v>
      </c>
      <c r="F1464" t="s">
        <v>33</v>
      </c>
      <c r="G1464" t="s">
        <v>63</v>
      </c>
      <c r="H1464" t="s">
        <v>41</v>
      </c>
      <c r="I1464" t="s">
        <v>36</v>
      </c>
      <c r="J1464">
        <v>1</v>
      </c>
      <c r="K1464" s="5">
        <v>324.83</v>
      </c>
      <c r="L1464" s="5">
        <v>450.44</v>
      </c>
      <c r="M1464">
        <v>15</v>
      </c>
      <c r="N1464">
        <v>10</v>
      </c>
      <c r="O1464">
        <v>3</v>
      </c>
      <c r="P1464">
        <v>0</v>
      </c>
      <c r="Q1464">
        <v>13</v>
      </c>
      <c r="R1464">
        <v>4</v>
      </c>
      <c r="S1464">
        <v>1</v>
      </c>
      <c r="T1464">
        <v>1</v>
      </c>
      <c r="U1464">
        <v>0</v>
      </c>
      <c r="V1464">
        <v>0</v>
      </c>
      <c r="W1464" t="s">
        <v>52</v>
      </c>
      <c r="X1464">
        <v>-10</v>
      </c>
      <c r="Y1464">
        <v>1</v>
      </c>
      <c r="Z1464">
        <f t="shared" si="132"/>
        <v>39</v>
      </c>
      <c r="AA1464">
        <f t="shared" si="133"/>
        <v>0.90322580645161288</v>
      </c>
      <c r="AB1464">
        <f t="shared" si="134"/>
        <v>49</v>
      </c>
      <c r="AC1464" t="str">
        <f t="shared" si="135"/>
        <v>Medium</v>
      </c>
      <c r="AD1464" t="str">
        <f t="shared" si="136"/>
        <v>Nudge core feature adoption</v>
      </c>
      <c r="AE1464">
        <f t="shared" si="137"/>
        <v>61</v>
      </c>
    </row>
    <row r="1465" spans="1:31" x14ac:dyDescent="0.35">
      <c r="A1465" t="s">
        <v>1523</v>
      </c>
      <c r="B1465" s="4">
        <v>45102</v>
      </c>
      <c r="C1465" s="4">
        <v>46143</v>
      </c>
      <c r="D1465" t="s">
        <v>39</v>
      </c>
      <c r="E1465">
        <v>41</v>
      </c>
      <c r="F1465" t="s">
        <v>61</v>
      </c>
      <c r="G1465" t="s">
        <v>63</v>
      </c>
      <c r="H1465" t="s">
        <v>41</v>
      </c>
      <c r="I1465" t="s">
        <v>36</v>
      </c>
      <c r="J1465">
        <v>34</v>
      </c>
      <c r="K1465" s="5">
        <v>3743.79</v>
      </c>
      <c r="L1465" s="5">
        <v>3036.85</v>
      </c>
      <c r="M1465">
        <v>10</v>
      </c>
      <c r="N1465">
        <v>3</v>
      </c>
      <c r="O1465">
        <v>1</v>
      </c>
      <c r="P1465">
        <v>0</v>
      </c>
      <c r="Q1465">
        <v>4</v>
      </c>
      <c r="R1465">
        <v>0</v>
      </c>
      <c r="S1465">
        <v>0</v>
      </c>
      <c r="T1465">
        <v>0</v>
      </c>
      <c r="U1465">
        <v>0</v>
      </c>
      <c r="V1465">
        <v>1</v>
      </c>
      <c r="W1465" t="s">
        <v>37</v>
      </c>
      <c r="X1465">
        <v>55</v>
      </c>
      <c r="Y1465">
        <v>0</v>
      </c>
      <c r="Z1465">
        <f t="shared" si="132"/>
        <v>25</v>
      </c>
      <c r="AA1465">
        <f t="shared" si="133"/>
        <v>0.21875</v>
      </c>
      <c r="AB1465">
        <f t="shared" si="134"/>
        <v>11</v>
      </c>
      <c r="AC1465" t="str">
        <f t="shared" si="135"/>
        <v>Low</v>
      </c>
      <c r="AD1465" t="str">
        <f t="shared" si="136"/>
        <v>Upsell premium bundle</v>
      </c>
      <c r="AE1465">
        <f t="shared" si="137"/>
        <v>75</v>
      </c>
    </row>
    <row r="1466" spans="1:31" x14ac:dyDescent="0.35">
      <c r="A1466" t="s">
        <v>1524</v>
      </c>
      <c r="B1466" s="4">
        <v>45214</v>
      </c>
      <c r="C1466" s="4">
        <v>46143</v>
      </c>
      <c r="D1466" t="s">
        <v>39</v>
      </c>
      <c r="E1466">
        <v>53</v>
      </c>
      <c r="F1466" t="s">
        <v>43</v>
      </c>
      <c r="G1466" t="s">
        <v>85</v>
      </c>
      <c r="H1466" t="s">
        <v>41</v>
      </c>
      <c r="I1466" t="s">
        <v>36</v>
      </c>
      <c r="J1466">
        <v>30</v>
      </c>
      <c r="K1466" s="5">
        <v>0</v>
      </c>
      <c r="L1466" s="5">
        <v>20.95</v>
      </c>
      <c r="M1466">
        <v>28</v>
      </c>
      <c r="N1466">
        <v>8</v>
      </c>
      <c r="O1466">
        <v>5</v>
      </c>
      <c r="P1466">
        <v>3</v>
      </c>
      <c r="Q1466">
        <v>7</v>
      </c>
      <c r="R1466">
        <v>1</v>
      </c>
      <c r="S1466">
        <v>0</v>
      </c>
      <c r="T1466">
        <v>0</v>
      </c>
      <c r="U1466">
        <v>0</v>
      </c>
      <c r="V1466">
        <v>0</v>
      </c>
      <c r="W1466" t="s">
        <v>37</v>
      </c>
      <c r="X1466">
        <v>70</v>
      </c>
      <c r="Y1466">
        <v>0</v>
      </c>
      <c r="Z1466">
        <f t="shared" si="132"/>
        <v>53</v>
      </c>
      <c r="AA1466">
        <f t="shared" si="133"/>
        <v>0.58333333333333337</v>
      </c>
      <c r="AB1466">
        <f t="shared" si="134"/>
        <v>0</v>
      </c>
      <c r="AC1466" t="str">
        <f t="shared" si="135"/>
        <v>Low</v>
      </c>
      <c r="AD1466" t="str">
        <f t="shared" si="136"/>
        <v>Upsell premium bundle</v>
      </c>
      <c r="AE1466">
        <f t="shared" si="137"/>
        <v>47</v>
      </c>
    </row>
    <row r="1467" spans="1:31" x14ac:dyDescent="0.35">
      <c r="A1467" t="s">
        <v>1525</v>
      </c>
      <c r="B1467" s="4">
        <v>45901</v>
      </c>
      <c r="C1467" s="4">
        <v>46143</v>
      </c>
      <c r="D1467" t="s">
        <v>72</v>
      </c>
      <c r="E1467">
        <v>46</v>
      </c>
      <c r="F1467" t="s">
        <v>61</v>
      </c>
      <c r="G1467" t="s">
        <v>34</v>
      </c>
      <c r="H1467" t="s">
        <v>58</v>
      </c>
      <c r="I1467" t="s">
        <v>36</v>
      </c>
      <c r="J1467">
        <v>8</v>
      </c>
      <c r="K1467" s="5">
        <v>379.93</v>
      </c>
      <c r="L1467" s="5">
        <v>3710.73</v>
      </c>
      <c r="M1467">
        <v>29</v>
      </c>
      <c r="N1467">
        <v>15</v>
      </c>
      <c r="O1467">
        <v>3</v>
      </c>
      <c r="P1467">
        <v>1</v>
      </c>
      <c r="Q1467">
        <v>34</v>
      </c>
      <c r="R1467">
        <v>0</v>
      </c>
      <c r="S1467">
        <v>1</v>
      </c>
      <c r="T1467">
        <v>0</v>
      </c>
      <c r="U1467">
        <v>1</v>
      </c>
      <c r="V1467">
        <v>1</v>
      </c>
      <c r="W1467" t="s">
        <v>37</v>
      </c>
      <c r="X1467">
        <v>2</v>
      </c>
      <c r="Y1467">
        <v>0</v>
      </c>
      <c r="Z1467">
        <f t="shared" si="132"/>
        <v>93</v>
      </c>
      <c r="AA1467">
        <f t="shared" si="133"/>
        <v>1.6578947368421053</v>
      </c>
      <c r="AB1467">
        <f t="shared" si="134"/>
        <v>8</v>
      </c>
      <c r="AC1467" t="str">
        <f t="shared" si="135"/>
        <v>Low</v>
      </c>
      <c r="AD1467" t="str">
        <f t="shared" si="136"/>
        <v>Upsell premium bundle</v>
      </c>
      <c r="AE1467">
        <f t="shared" si="137"/>
        <v>7</v>
      </c>
    </row>
    <row r="1468" spans="1:31" x14ac:dyDescent="0.35">
      <c r="A1468" t="s">
        <v>1526</v>
      </c>
      <c r="B1468" s="4">
        <v>45607</v>
      </c>
      <c r="C1468" s="4">
        <v>46143</v>
      </c>
      <c r="D1468" t="s">
        <v>32</v>
      </c>
      <c r="E1468">
        <v>33</v>
      </c>
      <c r="F1468" t="s">
        <v>57</v>
      </c>
      <c r="G1468" t="s">
        <v>63</v>
      </c>
      <c r="H1468" t="s">
        <v>41</v>
      </c>
      <c r="I1468" t="s">
        <v>36</v>
      </c>
      <c r="J1468">
        <v>17</v>
      </c>
      <c r="K1468" s="5">
        <v>1537.16</v>
      </c>
      <c r="L1468" s="5">
        <v>699.67</v>
      </c>
      <c r="M1468">
        <v>16</v>
      </c>
      <c r="N1468">
        <v>11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0</v>
      </c>
      <c r="V1468">
        <v>1</v>
      </c>
      <c r="W1468" t="s">
        <v>55</v>
      </c>
      <c r="X1468">
        <v>6</v>
      </c>
      <c r="Y1468">
        <v>0</v>
      </c>
      <c r="Z1468">
        <f t="shared" si="132"/>
        <v>34</v>
      </c>
      <c r="AA1468">
        <f t="shared" si="133"/>
        <v>0.34042553191489361</v>
      </c>
      <c r="AB1468">
        <f t="shared" si="134"/>
        <v>49</v>
      </c>
      <c r="AC1468" t="str">
        <f t="shared" si="135"/>
        <v>Medium</v>
      </c>
      <c r="AD1468" t="str">
        <f t="shared" si="136"/>
        <v>Nudge core feature adoption</v>
      </c>
      <c r="AE1468">
        <f t="shared" si="137"/>
        <v>66</v>
      </c>
    </row>
    <row r="1469" spans="1:31" x14ac:dyDescent="0.35">
      <c r="A1469" t="s">
        <v>1527</v>
      </c>
      <c r="B1469" s="4">
        <v>45991</v>
      </c>
      <c r="C1469" s="4">
        <v>46143</v>
      </c>
      <c r="D1469" t="s">
        <v>47</v>
      </c>
      <c r="E1469">
        <v>54</v>
      </c>
      <c r="F1469" t="s">
        <v>57</v>
      </c>
      <c r="G1469" t="s">
        <v>63</v>
      </c>
      <c r="H1469" t="s">
        <v>41</v>
      </c>
      <c r="I1469" t="s">
        <v>36</v>
      </c>
      <c r="J1469">
        <v>5</v>
      </c>
      <c r="K1469" s="5">
        <v>580.64</v>
      </c>
      <c r="L1469" s="5">
        <v>815.29</v>
      </c>
      <c r="M1469">
        <v>13</v>
      </c>
      <c r="N1469">
        <v>7</v>
      </c>
      <c r="O1469">
        <v>1</v>
      </c>
      <c r="P1469">
        <v>1</v>
      </c>
      <c r="Q1469">
        <v>17</v>
      </c>
      <c r="R1469">
        <v>0</v>
      </c>
      <c r="S1469">
        <v>1</v>
      </c>
      <c r="T1469">
        <v>0</v>
      </c>
      <c r="U1469">
        <v>0</v>
      </c>
      <c r="V1469">
        <v>1</v>
      </c>
      <c r="W1469" t="s">
        <v>37</v>
      </c>
      <c r="X1469">
        <v>-76</v>
      </c>
      <c r="Y1469">
        <v>1</v>
      </c>
      <c r="Z1469">
        <f t="shared" si="132"/>
        <v>44</v>
      </c>
      <c r="AA1469">
        <f t="shared" si="133"/>
        <v>0.8571428571428571</v>
      </c>
      <c r="AB1469">
        <f t="shared" si="134"/>
        <v>86</v>
      </c>
      <c r="AC1469" t="str">
        <f t="shared" si="135"/>
        <v>High</v>
      </c>
      <c r="AD1469" t="str">
        <f t="shared" si="136"/>
        <v>Retention call</v>
      </c>
      <c r="AE1469">
        <f t="shared" si="137"/>
        <v>56</v>
      </c>
    </row>
    <row r="1470" spans="1:31" x14ac:dyDescent="0.35">
      <c r="A1470" t="s">
        <v>1528</v>
      </c>
      <c r="B1470" s="4">
        <v>45827</v>
      </c>
      <c r="C1470" s="4">
        <v>46143</v>
      </c>
      <c r="D1470" t="s">
        <v>72</v>
      </c>
      <c r="E1470">
        <v>54</v>
      </c>
      <c r="F1470" t="s">
        <v>33</v>
      </c>
      <c r="G1470" t="s">
        <v>63</v>
      </c>
      <c r="H1470" t="s">
        <v>41</v>
      </c>
      <c r="I1470" t="s">
        <v>36</v>
      </c>
      <c r="J1470">
        <v>10</v>
      </c>
      <c r="K1470" s="5">
        <v>638.4</v>
      </c>
      <c r="L1470" s="5">
        <v>394.91</v>
      </c>
      <c r="M1470">
        <v>26</v>
      </c>
      <c r="N1470">
        <v>15</v>
      </c>
      <c r="O1470">
        <v>6</v>
      </c>
      <c r="P1470">
        <v>0</v>
      </c>
      <c r="Q1470">
        <v>23</v>
      </c>
      <c r="R1470">
        <v>1</v>
      </c>
      <c r="S1470">
        <v>0</v>
      </c>
      <c r="T1470">
        <v>0</v>
      </c>
      <c r="U1470">
        <v>0</v>
      </c>
      <c r="V1470">
        <v>0</v>
      </c>
      <c r="W1470" t="s">
        <v>45</v>
      </c>
      <c r="X1470">
        <v>-10</v>
      </c>
      <c r="Y1470">
        <v>1</v>
      </c>
      <c r="Z1470">
        <f t="shared" si="132"/>
        <v>67</v>
      </c>
      <c r="AA1470">
        <f t="shared" si="133"/>
        <v>1.2250000000000001</v>
      </c>
      <c r="AB1470">
        <f t="shared" si="134"/>
        <v>35</v>
      </c>
      <c r="AC1470" t="str">
        <f t="shared" si="135"/>
        <v>Low</v>
      </c>
      <c r="AD1470" t="str">
        <f t="shared" si="136"/>
        <v>Upsell premium bundle</v>
      </c>
      <c r="AE1470">
        <f t="shared" si="137"/>
        <v>33</v>
      </c>
    </row>
    <row r="1471" spans="1:31" x14ac:dyDescent="0.35">
      <c r="A1471" t="s">
        <v>1529</v>
      </c>
      <c r="B1471" s="4">
        <v>45965</v>
      </c>
      <c r="C1471" s="4">
        <v>46143</v>
      </c>
      <c r="D1471" t="s">
        <v>39</v>
      </c>
      <c r="E1471">
        <v>51</v>
      </c>
      <c r="F1471" t="s">
        <v>33</v>
      </c>
      <c r="G1471" t="s">
        <v>48</v>
      </c>
      <c r="H1471" t="s">
        <v>41</v>
      </c>
      <c r="I1471" t="s">
        <v>36</v>
      </c>
      <c r="J1471">
        <v>5</v>
      </c>
      <c r="K1471" s="5">
        <v>468.85</v>
      </c>
      <c r="L1471" s="5">
        <v>0</v>
      </c>
      <c r="M1471">
        <v>18</v>
      </c>
      <c r="N1471">
        <v>12</v>
      </c>
      <c r="O1471">
        <v>3</v>
      </c>
      <c r="P1471">
        <v>1</v>
      </c>
      <c r="Q1471">
        <v>11</v>
      </c>
      <c r="R1471">
        <v>5</v>
      </c>
      <c r="S1471">
        <v>0</v>
      </c>
      <c r="T1471">
        <v>0</v>
      </c>
      <c r="U1471">
        <v>0</v>
      </c>
      <c r="V1471">
        <v>1</v>
      </c>
      <c r="W1471" t="s">
        <v>52</v>
      </c>
      <c r="X1471">
        <v>23</v>
      </c>
      <c r="Y1471">
        <v>1</v>
      </c>
      <c r="Z1471">
        <f t="shared" si="132"/>
        <v>50</v>
      </c>
      <c r="AA1471">
        <f t="shared" si="133"/>
        <v>0.82857142857142863</v>
      </c>
      <c r="AB1471">
        <f t="shared" si="134"/>
        <v>19</v>
      </c>
      <c r="AC1471" t="str">
        <f t="shared" si="135"/>
        <v>Low</v>
      </c>
      <c r="AD1471" t="str">
        <f t="shared" si="136"/>
        <v>Upsell premium bundle</v>
      </c>
      <c r="AE1471">
        <f t="shared" si="137"/>
        <v>50</v>
      </c>
    </row>
    <row r="1472" spans="1:31" x14ac:dyDescent="0.35">
      <c r="A1472" t="s">
        <v>1530</v>
      </c>
      <c r="B1472" s="4">
        <v>46093</v>
      </c>
      <c r="C1472" s="4">
        <v>46143</v>
      </c>
      <c r="D1472" t="s">
        <v>72</v>
      </c>
      <c r="E1472">
        <v>49</v>
      </c>
      <c r="F1472" t="s">
        <v>43</v>
      </c>
      <c r="G1472" t="s">
        <v>63</v>
      </c>
      <c r="H1472" t="s">
        <v>58</v>
      </c>
      <c r="I1472" t="s">
        <v>36</v>
      </c>
      <c r="J1472">
        <v>1</v>
      </c>
      <c r="K1472" s="5">
        <v>6.19</v>
      </c>
      <c r="L1472" s="5">
        <v>31.93</v>
      </c>
      <c r="M1472">
        <v>37</v>
      </c>
      <c r="N1472">
        <v>15</v>
      </c>
      <c r="O1472">
        <v>7</v>
      </c>
      <c r="P1472">
        <v>2</v>
      </c>
      <c r="Q1472">
        <v>25</v>
      </c>
      <c r="R1472">
        <v>2</v>
      </c>
      <c r="S1472">
        <v>2</v>
      </c>
      <c r="T1472">
        <v>1</v>
      </c>
      <c r="U1472">
        <v>1</v>
      </c>
      <c r="V1472">
        <v>0</v>
      </c>
      <c r="W1472" t="s">
        <v>50</v>
      </c>
      <c r="X1472">
        <v>53</v>
      </c>
      <c r="Y1472">
        <v>0</v>
      </c>
      <c r="Z1472">
        <f t="shared" si="132"/>
        <v>93</v>
      </c>
      <c r="AA1472">
        <f t="shared" si="133"/>
        <v>2</v>
      </c>
      <c r="AB1472">
        <f t="shared" si="134"/>
        <v>0</v>
      </c>
      <c r="AC1472" t="str">
        <f t="shared" si="135"/>
        <v>Low</v>
      </c>
      <c r="AD1472" t="str">
        <f t="shared" si="136"/>
        <v>Upsell premium bundle</v>
      </c>
      <c r="AE1472">
        <f t="shared" si="137"/>
        <v>7</v>
      </c>
    </row>
    <row r="1473" spans="1:31" x14ac:dyDescent="0.35">
      <c r="A1473" t="s">
        <v>1531</v>
      </c>
      <c r="B1473" s="4">
        <v>44782</v>
      </c>
      <c r="C1473" s="4">
        <v>46143</v>
      </c>
      <c r="D1473" t="s">
        <v>32</v>
      </c>
      <c r="E1473">
        <v>51</v>
      </c>
      <c r="F1473" t="s">
        <v>43</v>
      </c>
      <c r="G1473" t="s">
        <v>63</v>
      </c>
      <c r="H1473" t="s">
        <v>44</v>
      </c>
      <c r="I1473" t="s">
        <v>36</v>
      </c>
      <c r="J1473">
        <v>45</v>
      </c>
      <c r="K1473" s="5">
        <v>49.15</v>
      </c>
      <c r="L1473" s="5">
        <v>39.5</v>
      </c>
      <c r="M1473">
        <v>36</v>
      </c>
      <c r="N1473">
        <v>22</v>
      </c>
      <c r="O1473">
        <v>6</v>
      </c>
      <c r="P1473">
        <v>5</v>
      </c>
      <c r="Q1473">
        <v>19</v>
      </c>
      <c r="R1473">
        <v>2</v>
      </c>
      <c r="S1473">
        <v>0</v>
      </c>
      <c r="T1473">
        <v>0</v>
      </c>
      <c r="U1473">
        <v>1</v>
      </c>
      <c r="V1473">
        <v>0</v>
      </c>
      <c r="W1473" t="s">
        <v>37</v>
      </c>
      <c r="X1473">
        <v>-9</v>
      </c>
      <c r="Y1473">
        <v>0</v>
      </c>
      <c r="Z1473">
        <f t="shared" si="132"/>
        <v>94</v>
      </c>
      <c r="AA1473">
        <f t="shared" si="133"/>
        <v>0.73333333333333328</v>
      </c>
      <c r="AB1473">
        <f t="shared" si="134"/>
        <v>12</v>
      </c>
      <c r="AC1473" t="str">
        <f t="shared" si="135"/>
        <v>Low</v>
      </c>
      <c r="AD1473" t="str">
        <f t="shared" si="136"/>
        <v>Upsell premium bundle</v>
      </c>
      <c r="AE1473">
        <f t="shared" si="137"/>
        <v>6</v>
      </c>
    </row>
    <row r="1474" spans="1:31" x14ac:dyDescent="0.35">
      <c r="A1474" t="s">
        <v>1532</v>
      </c>
      <c r="B1474" s="4">
        <v>46049</v>
      </c>
      <c r="C1474" s="4">
        <v>46143</v>
      </c>
      <c r="D1474" t="s">
        <v>47</v>
      </c>
      <c r="E1474">
        <v>51</v>
      </c>
      <c r="F1474" t="s">
        <v>33</v>
      </c>
      <c r="G1474" t="s">
        <v>67</v>
      </c>
      <c r="H1474" t="s">
        <v>58</v>
      </c>
      <c r="I1474" t="s">
        <v>49</v>
      </c>
      <c r="J1474">
        <v>3</v>
      </c>
      <c r="K1474" s="5">
        <v>382.5</v>
      </c>
      <c r="L1474" s="5">
        <v>63.49</v>
      </c>
      <c r="M1474">
        <v>38</v>
      </c>
      <c r="N1474">
        <v>20</v>
      </c>
      <c r="O1474">
        <v>8</v>
      </c>
      <c r="P1474">
        <v>4</v>
      </c>
      <c r="Q1474">
        <v>24</v>
      </c>
      <c r="R1474">
        <v>3</v>
      </c>
      <c r="S1474">
        <v>2</v>
      </c>
      <c r="T1474">
        <v>0</v>
      </c>
      <c r="U1474">
        <v>0</v>
      </c>
      <c r="V1474">
        <v>0</v>
      </c>
      <c r="W1474" t="s">
        <v>52</v>
      </c>
      <c r="X1474">
        <v>5</v>
      </c>
      <c r="Y1474">
        <v>0</v>
      </c>
      <c r="Z1474">
        <f t="shared" ref="Z1474:Z1537" si="138">MIN(100,ROUND((M1474*1.1+N1474*0.7+O1474*1.2+P1474*1.4+Q1474*0.9+U1474*8+V1474*7),0))</f>
        <v>93</v>
      </c>
      <c r="AA1474">
        <f t="shared" ref="AA1474:AA1537" si="139">IFERROR((M1474+Q1474)/(30+J1474),0)</f>
        <v>1.8787878787878789</v>
      </c>
      <c r="AB1474">
        <f t="shared" ref="AB1474:AB1537" si="140">ROUND(MIN(100,MAX(0,60-Z1474*0.4-R1474*1.5+S1474*8-IF(L1474&gt;1500,10,0)-X1474*0.5+IF(I1474="Completed",-8,8)+IF(H1474="Free",6,-4))),0)</f>
        <v>36</v>
      </c>
      <c r="AC1474" t="str">
        <f t="shared" ref="AC1474:AC1537" si="141">IF(AB1474&gt;=70,"High",IF(AB1474&gt;=40,"Medium","Low"))</f>
        <v>Low</v>
      </c>
      <c r="AD1474" t="str">
        <f t="shared" ref="AD1474:AD1537" si="142">IF(AC1474="High",IF(Q1474&lt;5,"Re-engage with app usage offer",IF(K1474&lt;100,"Deposit incentive","Retention call")),IF(AC1474="Medium","Nudge core feature adoption","Upsell premium bundle"))</f>
        <v>Upsell premium bundle</v>
      </c>
      <c r="AE1474">
        <f t="shared" ref="AE1474:AE1537" si="143">100-Z1474</f>
        <v>7</v>
      </c>
    </row>
    <row r="1475" spans="1:31" x14ac:dyDescent="0.35">
      <c r="A1475" t="s">
        <v>1533</v>
      </c>
      <c r="B1475" s="4">
        <v>45166</v>
      </c>
      <c r="C1475" s="4">
        <v>46143</v>
      </c>
      <c r="D1475" t="s">
        <v>60</v>
      </c>
      <c r="E1475">
        <v>47</v>
      </c>
      <c r="F1475" t="s">
        <v>57</v>
      </c>
      <c r="G1475" t="s">
        <v>34</v>
      </c>
      <c r="H1475" t="s">
        <v>41</v>
      </c>
      <c r="I1475" t="s">
        <v>36</v>
      </c>
      <c r="J1475">
        <v>32</v>
      </c>
      <c r="K1475" s="5">
        <v>1808.66</v>
      </c>
      <c r="L1475" s="5">
        <v>1374.1</v>
      </c>
      <c r="M1475">
        <v>14</v>
      </c>
      <c r="N1475">
        <v>6</v>
      </c>
      <c r="O1475">
        <v>3</v>
      </c>
      <c r="P1475">
        <v>2</v>
      </c>
      <c r="Q1475">
        <v>22</v>
      </c>
      <c r="R1475">
        <v>0</v>
      </c>
      <c r="S1475">
        <v>0</v>
      </c>
      <c r="T1475">
        <v>1</v>
      </c>
      <c r="U1475">
        <v>0</v>
      </c>
      <c r="V1475">
        <v>0</v>
      </c>
      <c r="W1475" t="s">
        <v>37</v>
      </c>
      <c r="X1475">
        <v>25</v>
      </c>
      <c r="Y1475">
        <v>0</v>
      </c>
      <c r="Z1475">
        <f t="shared" si="138"/>
        <v>46</v>
      </c>
      <c r="AA1475">
        <f t="shared" si="139"/>
        <v>0.58064516129032262</v>
      </c>
      <c r="AB1475">
        <f t="shared" si="140"/>
        <v>27</v>
      </c>
      <c r="AC1475" t="str">
        <f t="shared" si="141"/>
        <v>Low</v>
      </c>
      <c r="AD1475" t="str">
        <f t="shared" si="142"/>
        <v>Upsell premium bundle</v>
      </c>
      <c r="AE1475">
        <f t="shared" si="143"/>
        <v>54</v>
      </c>
    </row>
    <row r="1476" spans="1:31" x14ac:dyDescent="0.35">
      <c r="A1476" t="s">
        <v>1534</v>
      </c>
      <c r="B1476" s="4">
        <v>45754</v>
      </c>
      <c r="C1476" s="4">
        <v>46143</v>
      </c>
      <c r="D1476" t="s">
        <v>47</v>
      </c>
      <c r="E1476">
        <v>33</v>
      </c>
      <c r="F1476" t="s">
        <v>33</v>
      </c>
      <c r="G1476" t="s">
        <v>67</v>
      </c>
      <c r="H1476" t="s">
        <v>58</v>
      </c>
      <c r="I1476" t="s">
        <v>54</v>
      </c>
      <c r="J1476">
        <v>12</v>
      </c>
      <c r="K1476" s="5">
        <v>0</v>
      </c>
      <c r="L1476" s="5">
        <v>95.8</v>
      </c>
      <c r="M1476">
        <v>16</v>
      </c>
      <c r="N1476">
        <v>6</v>
      </c>
      <c r="O1476">
        <v>2</v>
      </c>
      <c r="P1476">
        <v>2</v>
      </c>
      <c r="Q1476">
        <v>13</v>
      </c>
      <c r="R1476">
        <v>1</v>
      </c>
      <c r="S1476">
        <v>2</v>
      </c>
      <c r="T1476">
        <v>1</v>
      </c>
      <c r="U1476">
        <v>0</v>
      </c>
      <c r="V1476">
        <v>0</v>
      </c>
      <c r="W1476" t="s">
        <v>52</v>
      </c>
      <c r="X1476">
        <v>65</v>
      </c>
      <c r="Y1476">
        <v>0</v>
      </c>
      <c r="Z1476">
        <f t="shared" si="138"/>
        <v>39</v>
      </c>
      <c r="AA1476">
        <f t="shared" si="139"/>
        <v>0.69047619047619047</v>
      </c>
      <c r="AB1476">
        <f t="shared" si="140"/>
        <v>30</v>
      </c>
      <c r="AC1476" t="str">
        <f t="shared" si="141"/>
        <v>Low</v>
      </c>
      <c r="AD1476" t="str">
        <f t="shared" si="142"/>
        <v>Upsell premium bundle</v>
      </c>
      <c r="AE1476">
        <f t="shared" si="143"/>
        <v>61</v>
      </c>
    </row>
    <row r="1477" spans="1:31" x14ac:dyDescent="0.35">
      <c r="A1477" t="s">
        <v>1535</v>
      </c>
      <c r="B1477" s="4">
        <v>44900</v>
      </c>
      <c r="C1477" s="4">
        <v>46143</v>
      </c>
      <c r="D1477" t="s">
        <v>66</v>
      </c>
      <c r="E1477">
        <v>34</v>
      </c>
      <c r="F1477" t="s">
        <v>57</v>
      </c>
      <c r="G1477" t="s">
        <v>40</v>
      </c>
      <c r="H1477" t="s">
        <v>44</v>
      </c>
      <c r="I1477" t="s">
        <v>36</v>
      </c>
      <c r="J1477">
        <v>41</v>
      </c>
      <c r="K1477" s="5">
        <v>1673.2</v>
      </c>
      <c r="L1477" s="5">
        <v>814.38</v>
      </c>
      <c r="M1477">
        <v>48</v>
      </c>
      <c r="N1477">
        <v>28</v>
      </c>
      <c r="O1477">
        <v>7</v>
      </c>
      <c r="P1477">
        <v>8</v>
      </c>
      <c r="Q1477">
        <v>37</v>
      </c>
      <c r="R1477">
        <v>2</v>
      </c>
      <c r="S1477">
        <v>1</v>
      </c>
      <c r="T1477">
        <v>0</v>
      </c>
      <c r="U1477">
        <v>1</v>
      </c>
      <c r="V1477">
        <v>0</v>
      </c>
      <c r="W1477" t="s">
        <v>50</v>
      </c>
      <c r="X1477">
        <v>41</v>
      </c>
      <c r="Y1477">
        <v>0</v>
      </c>
      <c r="Z1477">
        <f t="shared" si="138"/>
        <v>100</v>
      </c>
      <c r="AA1477">
        <f t="shared" si="139"/>
        <v>1.1971830985915493</v>
      </c>
      <c r="AB1477">
        <f t="shared" si="140"/>
        <v>0</v>
      </c>
      <c r="AC1477" t="str">
        <f t="shared" si="141"/>
        <v>Low</v>
      </c>
      <c r="AD1477" t="str">
        <f t="shared" si="142"/>
        <v>Upsell premium bundle</v>
      </c>
      <c r="AE1477">
        <f t="shared" si="143"/>
        <v>0</v>
      </c>
    </row>
    <row r="1478" spans="1:31" x14ac:dyDescent="0.35">
      <c r="A1478" t="s">
        <v>1536</v>
      </c>
      <c r="B1478" s="4">
        <v>45277</v>
      </c>
      <c r="C1478" s="4">
        <v>46143</v>
      </c>
      <c r="D1478" t="s">
        <v>60</v>
      </c>
      <c r="E1478">
        <v>19</v>
      </c>
      <c r="F1478" t="s">
        <v>57</v>
      </c>
      <c r="G1478" t="s">
        <v>40</v>
      </c>
      <c r="H1478" t="s">
        <v>44</v>
      </c>
      <c r="I1478" t="s">
        <v>36</v>
      </c>
      <c r="J1478">
        <v>28</v>
      </c>
      <c r="K1478" s="5">
        <v>1589.77</v>
      </c>
      <c r="L1478" s="5">
        <v>0</v>
      </c>
      <c r="M1478">
        <v>22</v>
      </c>
      <c r="N1478">
        <v>7</v>
      </c>
      <c r="O1478">
        <v>2</v>
      </c>
      <c r="P1478">
        <v>2</v>
      </c>
      <c r="Q1478">
        <v>20</v>
      </c>
      <c r="R1478">
        <v>0</v>
      </c>
      <c r="S1478">
        <v>1</v>
      </c>
      <c r="T1478">
        <v>1</v>
      </c>
      <c r="U1478">
        <v>1</v>
      </c>
      <c r="V1478">
        <v>1</v>
      </c>
      <c r="W1478" t="s">
        <v>52</v>
      </c>
      <c r="X1478">
        <v>22</v>
      </c>
      <c r="Y1478">
        <v>0</v>
      </c>
      <c r="Z1478">
        <f t="shared" si="138"/>
        <v>67</v>
      </c>
      <c r="AA1478">
        <f t="shared" si="139"/>
        <v>0.72413793103448276</v>
      </c>
      <c r="AB1478">
        <f t="shared" si="140"/>
        <v>18</v>
      </c>
      <c r="AC1478" t="str">
        <f t="shared" si="141"/>
        <v>Low</v>
      </c>
      <c r="AD1478" t="str">
        <f t="shared" si="142"/>
        <v>Upsell premium bundle</v>
      </c>
      <c r="AE1478">
        <f t="shared" si="143"/>
        <v>33</v>
      </c>
    </row>
    <row r="1479" spans="1:31" x14ac:dyDescent="0.35">
      <c r="A1479" t="s">
        <v>1537</v>
      </c>
      <c r="B1479" s="4">
        <v>45671</v>
      </c>
      <c r="C1479" s="4">
        <v>46143</v>
      </c>
      <c r="D1479" t="s">
        <v>66</v>
      </c>
      <c r="E1479">
        <v>24</v>
      </c>
      <c r="F1479" t="s">
        <v>61</v>
      </c>
      <c r="G1479" t="s">
        <v>67</v>
      </c>
      <c r="H1479" t="s">
        <v>58</v>
      </c>
      <c r="I1479" t="s">
        <v>49</v>
      </c>
      <c r="J1479">
        <v>15</v>
      </c>
      <c r="K1479" s="5">
        <v>1440.13</v>
      </c>
      <c r="L1479" s="5">
        <v>6848.65</v>
      </c>
      <c r="M1479">
        <v>25</v>
      </c>
      <c r="N1479">
        <v>8</v>
      </c>
      <c r="O1479">
        <v>7</v>
      </c>
      <c r="P1479">
        <v>4</v>
      </c>
      <c r="Q1479">
        <v>15</v>
      </c>
      <c r="R1479">
        <v>2</v>
      </c>
      <c r="S1479">
        <v>2</v>
      </c>
      <c r="T1479">
        <v>1</v>
      </c>
      <c r="U1479">
        <v>1</v>
      </c>
      <c r="V1479">
        <v>1</v>
      </c>
      <c r="W1479" t="s">
        <v>52</v>
      </c>
      <c r="X1479">
        <v>-21</v>
      </c>
      <c r="Y1479">
        <v>1</v>
      </c>
      <c r="Z1479">
        <f t="shared" si="138"/>
        <v>76</v>
      </c>
      <c r="AA1479">
        <f t="shared" si="139"/>
        <v>0.88888888888888884</v>
      </c>
      <c r="AB1479">
        <f t="shared" si="140"/>
        <v>47</v>
      </c>
      <c r="AC1479" t="str">
        <f t="shared" si="141"/>
        <v>Medium</v>
      </c>
      <c r="AD1479" t="str">
        <f t="shared" si="142"/>
        <v>Nudge core feature adoption</v>
      </c>
      <c r="AE1479">
        <f t="shared" si="143"/>
        <v>24</v>
      </c>
    </row>
    <row r="1480" spans="1:31" x14ac:dyDescent="0.35">
      <c r="A1480" t="s">
        <v>1538</v>
      </c>
      <c r="B1480" s="4">
        <v>44786</v>
      </c>
      <c r="C1480" s="4">
        <v>46143</v>
      </c>
      <c r="D1480" t="s">
        <v>47</v>
      </c>
      <c r="E1480">
        <v>41</v>
      </c>
      <c r="F1480" t="s">
        <v>33</v>
      </c>
      <c r="G1480" t="s">
        <v>48</v>
      </c>
      <c r="H1480" t="s">
        <v>41</v>
      </c>
      <c r="I1480" t="s">
        <v>36</v>
      </c>
      <c r="J1480">
        <v>45</v>
      </c>
      <c r="K1480" s="5">
        <v>656.42</v>
      </c>
      <c r="L1480" s="5">
        <v>277.58</v>
      </c>
      <c r="M1480">
        <v>21</v>
      </c>
      <c r="N1480">
        <v>8</v>
      </c>
      <c r="O1480">
        <v>1</v>
      </c>
      <c r="P1480">
        <v>0</v>
      </c>
      <c r="Q1480">
        <v>7</v>
      </c>
      <c r="R1480">
        <v>4</v>
      </c>
      <c r="S1480">
        <v>1</v>
      </c>
      <c r="T1480">
        <v>1</v>
      </c>
      <c r="U1480">
        <v>0</v>
      </c>
      <c r="V1480">
        <v>1</v>
      </c>
      <c r="W1480" t="s">
        <v>55</v>
      </c>
      <c r="X1480">
        <v>32</v>
      </c>
      <c r="Y1480">
        <v>1</v>
      </c>
      <c r="Z1480">
        <f t="shared" si="138"/>
        <v>43</v>
      </c>
      <c r="AA1480">
        <f t="shared" si="139"/>
        <v>0.37333333333333335</v>
      </c>
      <c r="AB1480">
        <f t="shared" si="140"/>
        <v>27</v>
      </c>
      <c r="AC1480" t="str">
        <f t="shared" si="141"/>
        <v>Low</v>
      </c>
      <c r="AD1480" t="str">
        <f t="shared" si="142"/>
        <v>Upsell premium bundle</v>
      </c>
      <c r="AE1480">
        <f t="shared" si="143"/>
        <v>57</v>
      </c>
    </row>
    <row r="1481" spans="1:31" x14ac:dyDescent="0.35">
      <c r="A1481" t="s">
        <v>1539</v>
      </c>
      <c r="B1481" s="4">
        <v>45087</v>
      </c>
      <c r="C1481" s="4">
        <v>46143</v>
      </c>
      <c r="D1481" t="s">
        <v>60</v>
      </c>
      <c r="E1481">
        <v>37</v>
      </c>
      <c r="F1481" t="s">
        <v>33</v>
      </c>
      <c r="G1481" t="s">
        <v>34</v>
      </c>
      <c r="H1481" t="s">
        <v>58</v>
      </c>
      <c r="I1481" t="s">
        <v>49</v>
      </c>
      <c r="J1481">
        <v>35</v>
      </c>
      <c r="K1481" s="5">
        <v>361.19</v>
      </c>
      <c r="L1481" s="5">
        <v>335.78</v>
      </c>
      <c r="M1481">
        <v>13</v>
      </c>
      <c r="N1481">
        <v>7</v>
      </c>
      <c r="O1481">
        <v>1</v>
      </c>
      <c r="P1481">
        <v>2</v>
      </c>
      <c r="Q1481">
        <v>12</v>
      </c>
      <c r="R1481">
        <v>3</v>
      </c>
      <c r="S1481">
        <v>1</v>
      </c>
      <c r="T1481">
        <v>1</v>
      </c>
      <c r="U1481">
        <v>0</v>
      </c>
      <c r="V1481">
        <v>1</v>
      </c>
      <c r="W1481" t="s">
        <v>45</v>
      </c>
      <c r="X1481">
        <v>68</v>
      </c>
      <c r="Y1481">
        <v>1</v>
      </c>
      <c r="Z1481">
        <f t="shared" si="138"/>
        <v>41</v>
      </c>
      <c r="AA1481">
        <f t="shared" si="139"/>
        <v>0.38461538461538464</v>
      </c>
      <c r="AB1481">
        <f t="shared" si="140"/>
        <v>17</v>
      </c>
      <c r="AC1481" t="str">
        <f t="shared" si="141"/>
        <v>Low</v>
      </c>
      <c r="AD1481" t="str">
        <f t="shared" si="142"/>
        <v>Upsell premium bundle</v>
      </c>
      <c r="AE1481">
        <f t="shared" si="143"/>
        <v>59</v>
      </c>
    </row>
    <row r="1482" spans="1:31" x14ac:dyDescent="0.35">
      <c r="A1482" t="s">
        <v>1540</v>
      </c>
      <c r="B1482" s="4">
        <v>45486</v>
      </c>
      <c r="C1482" s="4">
        <v>46143</v>
      </c>
      <c r="D1482" t="s">
        <v>66</v>
      </c>
      <c r="E1482">
        <v>65</v>
      </c>
      <c r="F1482" t="s">
        <v>57</v>
      </c>
      <c r="G1482" t="s">
        <v>40</v>
      </c>
      <c r="H1482" t="s">
        <v>41</v>
      </c>
      <c r="I1482" t="s">
        <v>36</v>
      </c>
      <c r="J1482">
        <v>21</v>
      </c>
      <c r="K1482" s="5">
        <v>1646.98</v>
      </c>
      <c r="L1482" s="5">
        <v>914.31</v>
      </c>
      <c r="M1482">
        <v>26</v>
      </c>
      <c r="N1482">
        <v>15</v>
      </c>
      <c r="O1482">
        <v>4</v>
      </c>
      <c r="P1482">
        <v>0</v>
      </c>
      <c r="Q1482">
        <v>15</v>
      </c>
      <c r="R1482">
        <v>0</v>
      </c>
      <c r="S1482">
        <v>0</v>
      </c>
      <c r="T1482">
        <v>1</v>
      </c>
      <c r="U1482">
        <v>0</v>
      </c>
      <c r="V1482">
        <v>0</v>
      </c>
      <c r="W1482" t="s">
        <v>37</v>
      </c>
      <c r="X1482">
        <v>46</v>
      </c>
      <c r="Y1482">
        <v>0</v>
      </c>
      <c r="Z1482">
        <f t="shared" si="138"/>
        <v>57</v>
      </c>
      <c r="AA1482">
        <f t="shared" si="139"/>
        <v>0.80392156862745101</v>
      </c>
      <c r="AB1482">
        <f t="shared" si="140"/>
        <v>12</v>
      </c>
      <c r="AC1482" t="str">
        <f t="shared" si="141"/>
        <v>Low</v>
      </c>
      <c r="AD1482" t="str">
        <f t="shared" si="142"/>
        <v>Upsell premium bundle</v>
      </c>
      <c r="AE1482">
        <f t="shared" si="143"/>
        <v>43</v>
      </c>
    </row>
    <row r="1483" spans="1:31" x14ac:dyDescent="0.35">
      <c r="A1483" t="s">
        <v>1541</v>
      </c>
      <c r="B1483" s="4">
        <v>45390</v>
      </c>
      <c r="C1483" s="4">
        <v>46143</v>
      </c>
      <c r="D1483" t="s">
        <v>72</v>
      </c>
      <c r="E1483">
        <v>18</v>
      </c>
      <c r="F1483" t="s">
        <v>57</v>
      </c>
      <c r="G1483" t="s">
        <v>40</v>
      </c>
      <c r="H1483" t="s">
        <v>58</v>
      </c>
      <c r="I1483" t="s">
        <v>36</v>
      </c>
      <c r="J1483">
        <v>25</v>
      </c>
      <c r="K1483" s="5">
        <v>1281.5999999999999</v>
      </c>
      <c r="L1483" s="5">
        <v>403.31</v>
      </c>
      <c r="M1483">
        <v>33</v>
      </c>
      <c r="N1483">
        <v>20</v>
      </c>
      <c r="O1483">
        <v>9</v>
      </c>
      <c r="P1483">
        <v>4</v>
      </c>
      <c r="Q1483">
        <v>29</v>
      </c>
      <c r="R1483">
        <v>1</v>
      </c>
      <c r="S1483">
        <v>0</v>
      </c>
      <c r="T1483">
        <v>1</v>
      </c>
      <c r="U1483">
        <v>1</v>
      </c>
      <c r="V1483">
        <v>0</v>
      </c>
      <c r="W1483" t="s">
        <v>55</v>
      </c>
      <c r="X1483">
        <v>52</v>
      </c>
      <c r="Y1483">
        <v>0</v>
      </c>
      <c r="Z1483">
        <f t="shared" si="138"/>
        <v>100</v>
      </c>
      <c r="AA1483">
        <f t="shared" si="139"/>
        <v>1.1272727272727272</v>
      </c>
      <c r="AB1483">
        <f t="shared" si="140"/>
        <v>0</v>
      </c>
      <c r="AC1483" t="str">
        <f t="shared" si="141"/>
        <v>Low</v>
      </c>
      <c r="AD1483" t="str">
        <f t="shared" si="142"/>
        <v>Upsell premium bundle</v>
      </c>
      <c r="AE1483">
        <f t="shared" si="143"/>
        <v>0</v>
      </c>
    </row>
    <row r="1484" spans="1:31" x14ac:dyDescent="0.35">
      <c r="A1484" t="s">
        <v>1542</v>
      </c>
      <c r="B1484" s="4">
        <v>45916</v>
      </c>
      <c r="C1484" s="4">
        <v>46143</v>
      </c>
      <c r="D1484" t="s">
        <v>32</v>
      </c>
      <c r="E1484">
        <v>31</v>
      </c>
      <c r="F1484" t="s">
        <v>33</v>
      </c>
      <c r="G1484" t="s">
        <v>40</v>
      </c>
      <c r="H1484" t="s">
        <v>44</v>
      </c>
      <c r="I1484" t="s">
        <v>49</v>
      </c>
      <c r="J1484">
        <v>7</v>
      </c>
      <c r="K1484" s="5">
        <v>286.45999999999998</v>
      </c>
      <c r="L1484" s="5">
        <v>193.31</v>
      </c>
      <c r="M1484">
        <v>39</v>
      </c>
      <c r="N1484">
        <v>18</v>
      </c>
      <c r="O1484">
        <v>11</v>
      </c>
      <c r="P1484">
        <v>7</v>
      </c>
      <c r="Q1484">
        <v>21</v>
      </c>
      <c r="R1484">
        <v>2</v>
      </c>
      <c r="S1484">
        <v>1</v>
      </c>
      <c r="T1484">
        <v>1</v>
      </c>
      <c r="U1484">
        <v>1</v>
      </c>
      <c r="V1484">
        <v>0</v>
      </c>
      <c r="W1484" t="s">
        <v>52</v>
      </c>
      <c r="X1484">
        <v>44</v>
      </c>
      <c r="Y1484">
        <v>0</v>
      </c>
      <c r="Z1484">
        <f t="shared" si="138"/>
        <v>100</v>
      </c>
      <c r="AA1484">
        <f t="shared" si="139"/>
        <v>1.6216216216216217</v>
      </c>
      <c r="AB1484">
        <f t="shared" si="140"/>
        <v>7</v>
      </c>
      <c r="AC1484" t="str">
        <f t="shared" si="141"/>
        <v>Low</v>
      </c>
      <c r="AD1484" t="str">
        <f t="shared" si="142"/>
        <v>Upsell premium bundle</v>
      </c>
      <c r="AE1484">
        <f t="shared" si="143"/>
        <v>0</v>
      </c>
    </row>
    <row r="1485" spans="1:31" x14ac:dyDescent="0.35">
      <c r="A1485" t="s">
        <v>1543</v>
      </c>
      <c r="B1485" s="4">
        <v>45964</v>
      </c>
      <c r="C1485" s="4">
        <v>46143</v>
      </c>
      <c r="D1485" t="s">
        <v>66</v>
      </c>
      <c r="E1485">
        <v>47</v>
      </c>
      <c r="F1485" t="s">
        <v>57</v>
      </c>
      <c r="G1485" t="s">
        <v>85</v>
      </c>
      <c r="H1485" t="s">
        <v>44</v>
      </c>
      <c r="I1485" t="s">
        <v>36</v>
      </c>
      <c r="J1485">
        <v>5</v>
      </c>
      <c r="K1485" s="5">
        <v>2221.65</v>
      </c>
      <c r="L1485" s="5">
        <v>560.35</v>
      </c>
      <c r="M1485">
        <v>16</v>
      </c>
      <c r="N1485">
        <v>6</v>
      </c>
      <c r="O1485">
        <v>3</v>
      </c>
      <c r="P1485">
        <v>3</v>
      </c>
      <c r="Q1485">
        <v>6</v>
      </c>
      <c r="R1485">
        <v>1</v>
      </c>
      <c r="S1485">
        <v>1</v>
      </c>
      <c r="T1485">
        <v>1</v>
      </c>
      <c r="U1485">
        <v>1</v>
      </c>
      <c r="V1485">
        <v>0</v>
      </c>
      <c r="W1485" t="s">
        <v>37</v>
      </c>
      <c r="X1485">
        <v>5</v>
      </c>
      <c r="Y1485">
        <v>0</v>
      </c>
      <c r="Z1485">
        <f t="shared" si="138"/>
        <v>43</v>
      </c>
      <c r="AA1485">
        <f t="shared" si="139"/>
        <v>0.62857142857142856</v>
      </c>
      <c r="AB1485">
        <f t="shared" si="140"/>
        <v>35</v>
      </c>
      <c r="AC1485" t="str">
        <f t="shared" si="141"/>
        <v>Low</v>
      </c>
      <c r="AD1485" t="str">
        <f t="shared" si="142"/>
        <v>Upsell premium bundle</v>
      </c>
      <c r="AE1485">
        <f t="shared" si="143"/>
        <v>57</v>
      </c>
    </row>
    <row r="1486" spans="1:31" x14ac:dyDescent="0.35">
      <c r="A1486" t="s">
        <v>1544</v>
      </c>
      <c r="B1486" s="4">
        <v>44846</v>
      </c>
      <c r="C1486" s="4">
        <v>46143</v>
      </c>
      <c r="D1486" t="s">
        <v>47</v>
      </c>
      <c r="E1486">
        <v>55</v>
      </c>
      <c r="F1486" t="s">
        <v>43</v>
      </c>
      <c r="G1486" t="s">
        <v>85</v>
      </c>
      <c r="H1486" t="s">
        <v>41</v>
      </c>
      <c r="I1486" t="s">
        <v>36</v>
      </c>
      <c r="J1486">
        <v>43</v>
      </c>
      <c r="K1486" s="5">
        <v>37.94</v>
      </c>
      <c r="L1486" s="5">
        <v>48.78</v>
      </c>
      <c r="M1486">
        <v>32</v>
      </c>
      <c r="N1486">
        <v>14</v>
      </c>
      <c r="O1486">
        <v>5</v>
      </c>
      <c r="P1486">
        <v>1</v>
      </c>
      <c r="Q1486">
        <v>29</v>
      </c>
      <c r="R1486">
        <v>0</v>
      </c>
      <c r="S1486">
        <v>0</v>
      </c>
      <c r="T1486">
        <v>1</v>
      </c>
      <c r="U1486">
        <v>0</v>
      </c>
      <c r="V1486">
        <v>0</v>
      </c>
      <c r="W1486" t="s">
        <v>52</v>
      </c>
      <c r="X1486">
        <v>-4</v>
      </c>
      <c r="Y1486">
        <v>0</v>
      </c>
      <c r="Z1486">
        <f t="shared" si="138"/>
        <v>79</v>
      </c>
      <c r="AA1486">
        <f t="shared" si="139"/>
        <v>0.83561643835616439</v>
      </c>
      <c r="AB1486">
        <f t="shared" si="140"/>
        <v>28</v>
      </c>
      <c r="AC1486" t="str">
        <f t="shared" si="141"/>
        <v>Low</v>
      </c>
      <c r="AD1486" t="str">
        <f t="shared" si="142"/>
        <v>Upsell premium bundle</v>
      </c>
      <c r="AE1486">
        <f t="shared" si="143"/>
        <v>21</v>
      </c>
    </row>
    <row r="1487" spans="1:31" x14ac:dyDescent="0.35">
      <c r="A1487" t="s">
        <v>1545</v>
      </c>
      <c r="B1487" s="4">
        <v>46111</v>
      </c>
      <c r="C1487" s="4">
        <v>46143</v>
      </c>
      <c r="D1487" t="s">
        <v>60</v>
      </c>
      <c r="E1487">
        <v>38</v>
      </c>
      <c r="F1487" t="s">
        <v>77</v>
      </c>
      <c r="G1487" t="s">
        <v>63</v>
      </c>
      <c r="H1487" t="s">
        <v>41</v>
      </c>
      <c r="I1487" t="s">
        <v>36</v>
      </c>
      <c r="J1487">
        <v>1</v>
      </c>
      <c r="K1487" s="5">
        <v>15431.74</v>
      </c>
      <c r="L1487" s="5">
        <v>735.51</v>
      </c>
      <c r="M1487">
        <v>24</v>
      </c>
      <c r="N1487">
        <v>16</v>
      </c>
      <c r="O1487">
        <v>3</v>
      </c>
      <c r="P1487">
        <v>4</v>
      </c>
      <c r="Q1487">
        <v>7</v>
      </c>
      <c r="R1487">
        <v>4</v>
      </c>
      <c r="S1487">
        <v>1</v>
      </c>
      <c r="T1487">
        <v>1</v>
      </c>
      <c r="U1487">
        <v>0</v>
      </c>
      <c r="V1487">
        <v>1</v>
      </c>
      <c r="W1487" t="s">
        <v>50</v>
      </c>
      <c r="X1487">
        <v>-6</v>
      </c>
      <c r="Y1487">
        <v>1</v>
      </c>
      <c r="Z1487">
        <f t="shared" si="138"/>
        <v>60</v>
      </c>
      <c r="AA1487">
        <f t="shared" si="139"/>
        <v>1</v>
      </c>
      <c r="AB1487">
        <f t="shared" si="140"/>
        <v>39</v>
      </c>
      <c r="AC1487" t="str">
        <f t="shared" si="141"/>
        <v>Low</v>
      </c>
      <c r="AD1487" t="str">
        <f t="shared" si="142"/>
        <v>Upsell premium bundle</v>
      </c>
      <c r="AE1487">
        <f t="shared" si="143"/>
        <v>40</v>
      </c>
    </row>
    <row r="1488" spans="1:31" x14ac:dyDescent="0.35">
      <c r="A1488" t="s">
        <v>1546</v>
      </c>
      <c r="B1488" s="4">
        <v>45023</v>
      </c>
      <c r="C1488" s="4">
        <v>46143</v>
      </c>
      <c r="D1488" t="s">
        <v>66</v>
      </c>
      <c r="E1488">
        <v>18</v>
      </c>
      <c r="F1488" t="s">
        <v>61</v>
      </c>
      <c r="G1488" t="s">
        <v>63</v>
      </c>
      <c r="H1488" t="s">
        <v>41</v>
      </c>
      <c r="I1488" t="s">
        <v>36</v>
      </c>
      <c r="J1488">
        <v>37</v>
      </c>
      <c r="K1488" s="5">
        <v>642.17999999999995</v>
      </c>
      <c r="L1488" s="5">
        <v>1912.13</v>
      </c>
      <c r="M1488">
        <v>2</v>
      </c>
      <c r="N1488">
        <v>1</v>
      </c>
      <c r="O1488">
        <v>0</v>
      </c>
      <c r="P1488">
        <v>0</v>
      </c>
      <c r="Q1488">
        <v>5</v>
      </c>
      <c r="R1488">
        <v>0</v>
      </c>
      <c r="S1488">
        <v>0</v>
      </c>
      <c r="T1488">
        <v>1</v>
      </c>
      <c r="U1488">
        <v>0</v>
      </c>
      <c r="V1488">
        <v>0</v>
      </c>
      <c r="W1488" t="s">
        <v>45</v>
      </c>
      <c r="X1488">
        <v>28</v>
      </c>
      <c r="Y1488">
        <v>0</v>
      </c>
      <c r="Z1488">
        <f t="shared" si="138"/>
        <v>7</v>
      </c>
      <c r="AA1488">
        <f t="shared" si="139"/>
        <v>0.1044776119402985</v>
      </c>
      <c r="AB1488">
        <f t="shared" si="140"/>
        <v>31</v>
      </c>
      <c r="AC1488" t="str">
        <f t="shared" si="141"/>
        <v>Low</v>
      </c>
      <c r="AD1488" t="str">
        <f t="shared" si="142"/>
        <v>Upsell premium bundle</v>
      </c>
      <c r="AE1488">
        <f t="shared" si="143"/>
        <v>93</v>
      </c>
    </row>
    <row r="1489" spans="1:31" x14ac:dyDescent="0.35">
      <c r="A1489" t="s">
        <v>1547</v>
      </c>
      <c r="B1489" s="4">
        <v>45609</v>
      </c>
      <c r="C1489" s="4">
        <v>46143</v>
      </c>
      <c r="D1489" t="s">
        <v>39</v>
      </c>
      <c r="E1489">
        <v>67</v>
      </c>
      <c r="F1489" t="s">
        <v>43</v>
      </c>
      <c r="G1489" t="s">
        <v>63</v>
      </c>
      <c r="H1489" t="s">
        <v>58</v>
      </c>
      <c r="I1489" t="s">
        <v>36</v>
      </c>
      <c r="J1489">
        <v>17</v>
      </c>
      <c r="K1489" s="5">
        <v>23.46</v>
      </c>
      <c r="L1489" s="5">
        <v>27</v>
      </c>
      <c r="M1489">
        <v>18</v>
      </c>
      <c r="N1489">
        <v>9</v>
      </c>
      <c r="O1489">
        <v>4</v>
      </c>
      <c r="P1489">
        <v>3</v>
      </c>
      <c r="Q1489">
        <v>22</v>
      </c>
      <c r="R1489">
        <v>0</v>
      </c>
      <c r="S1489">
        <v>0</v>
      </c>
      <c r="T1489">
        <v>1</v>
      </c>
      <c r="U1489">
        <v>0</v>
      </c>
      <c r="V1489">
        <v>0</v>
      </c>
      <c r="W1489" t="s">
        <v>52</v>
      </c>
      <c r="X1489">
        <v>33</v>
      </c>
      <c r="Y1489">
        <v>0</v>
      </c>
      <c r="Z1489">
        <f t="shared" si="138"/>
        <v>55</v>
      </c>
      <c r="AA1489">
        <f t="shared" si="139"/>
        <v>0.85106382978723405</v>
      </c>
      <c r="AB1489">
        <f t="shared" si="140"/>
        <v>10</v>
      </c>
      <c r="AC1489" t="str">
        <f t="shared" si="141"/>
        <v>Low</v>
      </c>
      <c r="AD1489" t="str">
        <f t="shared" si="142"/>
        <v>Upsell premium bundle</v>
      </c>
      <c r="AE1489">
        <f t="shared" si="143"/>
        <v>45</v>
      </c>
    </row>
    <row r="1490" spans="1:31" x14ac:dyDescent="0.35">
      <c r="A1490" t="s">
        <v>1548</v>
      </c>
      <c r="B1490" s="4">
        <v>45745</v>
      </c>
      <c r="C1490" s="4">
        <v>46143</v>
      </c>
      <c r="D1490" t="s">
        <v>32</v>
      </c>
      <c r="E1490">
        <v>25</v>
      </c>
      <c r="F1490" t="s">
        <v>33</v>
      </c>
      <c r="G1490" t="s">
        <v>67</v>
      </c>
      <c r="H1490" t="s">
        <v>41</v>
      </c>
      <c r="I1490" t="s">
        <v>36</v>
      </c>
      <c r="J1490">
        <v>13</v>
      </c>
      <c r="K1490" s="5">
        <v>185.24</v>
      </c>
      <c r="L1490" s="5">
        <v>86.23</v>
      </c>
      <c r="M1490">
        <v>18</v>
      </c>
      <c r="N1490">
        <v>6</v>
      </c>
      <c r="O1490">
        <v>2</v>
      </c>
      <c r="P1490">
        <v>3</v>
      </c>
      <c r="Q1490">
        <v>10</v>
      </c>
      <c r="R1490">
        <v>1</v>
      </c>
      <c r="S1490">
        <v>0</v>
      </c>
      <c r="T1490">
        <v>0</v>
      </c>
      <c r="U1490">
        <v>0</v>
      </c>
      <c r="V1490">
        <v>0</v>
      </c>
      <c r="W1490" t="s">
        <v>52</v>
      </c>
      <c r="X1490">
        <v>35</v>
      </c>
      <c r="Y1490">
        <v>0</v>
      </c>
      <c r="Z1490">
        <f t="shared" si="138"/>
        <v>40</v>
      </c>
      <c r="AA1490">
        <f t="shared" si="139"/>
        <v>0.65116279069767447</v>
      </c>
      <c r="AB1490">
        <f t="shared" si="140"/>
        <v>23</v>
      </c>
      <c r="AC1490" t="str">
        <f t="shared" si="141"/>
        <v>Low</v>
      </c>
      <c r="AD1490" t="str">
        <f t="shared" si="142"/>
        <v>Upsell premium bundle</v>
      </c>
      <c r="AE1490">
        <f t="shared" si="143"/>
        <v>60</v>
      </c>
    </row>
    <row r="1491" spans="1:31" x14ac:dyDescent="0.35">
      <c r="A1491" t="s">
        <v>1549</v>
      </c>
      <c r="B1491" s="4">
        <v>45690</v>
      </c>
      <c r="C1491" s="4">
        <v>46143</v>
      </c>
      <c r="D1491" t="s">
        <v>32</v>
      </c>
      <c r="E1491">
        <v>62</v>
      </c>
      <c r="F1491" t="s">
        <v>77</v>
      </c>
      <c r="G1491" t="s">
        <v>67</v>
      </c>
      <c r="H1491" t="s">
        <v>44</v>
      </c>
      <c r="I1491" t="s">
        <v>36</v>
      </c>
      <c r="J1491">
        <v>15</v>
      </c>
      <c r="K1491" s="5">
        <v>6604.7</v>
      </c>
      <c r="L1491" s="5">
        <v>12654.4</v>
      </c>
      <c r="M1491">
        <v>42</v>
      </c>
      <c r="N1491">
        <v>24</v>
      </c>
      <c r="O1491">
        <v>3</v>
      </c>
      <c r="P1491">
        <v>2</v>
      </c>
      <c r="Q1491">
        <v>32</v>
      </c>
      <c r="R1491">
        <v>0</v>
      </c>
      <c r="S1491">
        <v>1</v>
      </c>
      <c r="T1491">
        <v>1</v>
      </c>
      <c r="U1491">
        <v>1</v>
      </c>
      <c r="V1491">
        <v>1</v>
      </c>
      <c r="W1491" t="s">
        <v>55</v>
      </c>
      <c r="X1491">
        <v>13</v>
      </c>
      <c r="Y1491">
        <v>0</v>
      </c>
      <c r="Z1491">
        <f t="shared" si="138"/>
        <v>100</v>
      </c>
      <c r="AA1491">
        <f t="shared" si="139"/>
        <v>1.6444444444444444</v>
      </c>
      <c r="AB1491">
        <f t="shared" si="140"/>
        <v>0</v>
      </c>
      <c r="AC1491" t="str">
        <f t="shared" si="141"/>
        <v>Low</v>
      </c>
      <c r="AD1491" t="str">
        <f t="shared" si="142"/>
        <v>Upsell premium bundle</v>
      </c>
      <c r="AE1491">
        <f t="shared" si="143"/>
        <v>0</v>
      </c>
    </row>
    <row r="1492" spans="1:31" x14ac:dyDescent="0.35">
      <c r="A1492" t="s">
        <v>1550</v>
      </c>
      <c r="B1492" s="4">
        <v>45945</v>
      </c>
      <c r="C1492" s="4">
        <v>46143</v>
      </c>
      <c r="D1492" t="s">
        <v>32</v>
      </c>
      <c r="E1492">
        <v>52</v>
      </c>
      <c r="F1492" t="s">
        <v>77</v>
      </c>
      <c r="G1492" t="s">
        <v>40</v>
      </c>
      <c r="H1492" t="s">
        <v>41</v>
      </c>
      <c r="I1492" t="s">
        <v>36</v>
      </c>
      <c r="J1492">
        <v>6</v>
      </c>
      <c r="K1492" s="5">
        <v>8005.25</v>
      </c>
      <c r="L1492" s="5">
        <v>171.98</v>
      </c>
      <c r="M1492">
        <v>33</v>
      </c>
      <c r="N1492">
        <v>23</v>
      </c>
      <c r="O1492">
        <v>8</v>
      </c>
      <c r="P1492">
        <v>5</v>
      </c>
      <c r="Q1492">
        <v>15</v>
      </c>
      <c r="R1492">
        <v>3</v>
      </c>
      <c r="S1492">
        <v>0</v>
      </c>
      <c r="T1492">
        <v>0</v>
      </c>
      <c r="U1492">
        <v>0</v>
      </c>
      <c r="V1492">
        <v>1</v>
      </c>
      <c r="W1492" t="s">
        <v>45</v>
      </c>
      <c r="X1492">
        <v>11</v>
      </c>
      <c r="Y1492">
        <v>0</v>
      </c>
      <c r="Z1492">
        <f t="shared" si="138"/>
        <v>90</v>
      </c>
      <c r="AA1492">
        <f t="shared" si="139"/>
        <v>1.3333333333333333</v>
      </c>
      <c r="AB1492">
        <f t="shared" si="140"/>
        <v>12</v>
      </c>
      <c r="AC1492" t="str">
        <f t="shared" si="141"/>
        <v>Low</v>
      </c>
      <c r="AD1492" t="str">
        <f t="shared" si="142"/>
        <v>Upsell premium bundle</v>
      </c>
      <c r="AE1492">
        <f t="shared" si="143"/>
        <v>10</v>
      </c>
    </row>
    <row r="1493" spans="1:31" x14ac:dyDescent="0.35">
      <c r="A1493" t="s">
        <v>1551</v>
      </c>
      <c r="B1493" s="4">
        <v>45767</v>
      </c>
      <c r="C1493" s="4">
        <v>46143</v>
      </c>
      <c r="D1493" t="s">
        <v>47</v>
      </c>
      <c r="E1493">
        <v>68</v>
      </c>
      <c r="F1493" t="s">
        <v>43</v>
      </c>
      <c r="G1493" t="s">
        <v>40</v>
      </c>
      <c r="H1493" t="s">
        <v>35</v>
      </c>
      <c r="I1493" t="s">
        <v>36</v>
      </c>
      <c r="J1493">
        <v>12</v>
      </c>
      <c r="K1493" s="5">
        <v>0</v>
      </c>
      <c r="L1493" s="5">
        <v>85.57</v>
      </c>
      <c r="M1493">
        <v>39</v>
      </c>
      <c r="N1493">
        <v>27</v>
      </c>
      <c r="O1493">
        <v>2</v>
      </c>
      <c r="P1493">
        <v>6</v>
      </c>
      <c r="Q1493">
        <v>30</v>
      </c>
      <c r="R1493">
        <v>1</v>
      </c>
      <c r="S1493">
        <v>1</v>
      </c>
      <c r="T1493">
        <v>0</v>
      </c>
      <c r="U1493">
        <v>0</v>
      </c>
      <c r="V1493">
        <v>0</v>
      </c>
      <c r="W1493" t="s">
        <v>45</v>
      </c>
      <c r="X1493">
        <v>14</v>
      </c>
      <c r="Y1493">
        <v>1</v>
      </c>
      <c r="Z1493">
        <f t="shared" si="138"/>
        <v>100</v>
      </c>
      <c r="AA1493">
        <f t="shared" si="139"/>
        <v>1.6428571428571428</v>
      </c>
      <c r="AB1493">
        <f t="shared" si="140"/>
        <v>8</v>
      </c>
      <c r="AC1493" t="str">
        <f t="shared" si="141"/>
        <v>Low</v>
      </c>
      <c r="AD1493" t="str">
        <f t="shared" si="142"/>
        <v>Upsell premium bundle</v>
      </c>
      <c r="AE1493">
        <f t="shared" si="143"/>
        <v>0</v>
      </c>
    </row>
    <row r="1494" spans="1:31" x14ac:dyDescent="0.35">
      <c r="A1494" t="s">
        <v>1552</v>
      </c>
      <c r="B1494" s="4">
        <v>45939</v>
      </c>
      <c r="C1494" s="4">
        <v>46143</v>
      </c>
      <c r="D1494" t="s">
        <v>39</v>
      </c>
      <c r="E1494">
        <v>51</v>
      </c>
      <c r="F1494" t="s">
        <v>61</v>
      </c>
      <c r="G1494" t="s">
        <v>63</v>
      </c>
      <c r="H1494" t="s">
        <v>58</v>
      </c>
      <c r="I1494" t="s">
        <v>36</v>
      </c>
      <c r="J1494">
        <v>6</v>
      </c>
      <c r="K1494" s="5">
        <v>3713.1</v>
      </c>
      <c r="L1494" s="5">
        <v>4139.6499999999996</v>
      </c>
      <c r="M1494">
        <v>37</v>
      </c>
      <c r="N1494">
        <v>18</v>
      </c>
      <c r="O1494">
        <v>10</v>
      </c>
      <c r="P1494">
        <v>3</v>
      </c>
      <c r="Q1494">
        <v>25</v>
      </c>
      <c r="R1494">
        <v>1</v>
      </c>
      <c r="S1494">
        <v>2</v>
      </c>
      <c r="T1494">
        <v>1</v>
      </c>
      <c r="U1494">
        <v>0</v>
      </c>
      <c r="V1494">
        <v>0</v>
      </c>
      <c r="W1494" t="s">
        <v>52</v>
      </c>
      <c r="X1494">
        <v>13</v>
      </c>
      <c r="Y1494">
        <v>0</v>
      </c>
      <c r="Z1494">
        <f t="shared" si="138"/>
        <v>92</v>
      </c>
      <c r="AA1494">
        <f t="shared" si="139"/>
        <v>1.7222222222222223</v>
      </c>
      <c r="AB1494">
        <f t="shared" si="140"/>
        <v>9</v>
      </c>
      <c r="AC1494" t="str">
        <f t="shared" si="141"/>
        <v>Low</v>
      </c>
      <c r="AD1494" t="str">
        <f t="shared" si="142"/>
        <v>Upsell premium bundle</v>
      </c>
      <c r="AE1494">
        <f t="shared" si="143"/>
        <v>8</v>
      </c>
    </row>
    <row r="1495" spans="1:31" x14ac:dyDescent="0.35">
      <c r="A1495" t="s">
        <v>1553</v>
      </c>
      <c r="B1495" s="4">
        <v>44721</v>
      </c>
      <c r="C1495" s="4">
        <v>46143</v>
      </c>
      <c r="D1495" t="s">
        <v>60</v>
      </c>
      <c r="E1495">
        <v>41</v>
      </c>
      <c r="F1495" t="s">
        <v>77</v>
      </c>
      <c r="G1495" t="s">
        <v>63</v>
      </c>
      <c r="H1495" t="s">
        <v>44</v>
      </c>
      <c r="I1495" t="s">
        <v>36</v>
      </c>
      <c r="J1495">
        <v>47</v>
      </c>
      <c r="K1495" s="5">
        <v>2006.32</v>
      </c>
      <c r="L1495" s="5">
        <v>4265.82</v>
      </c>
      <c r="M1495">
        <v>23</v>
      </c>
      <c r="N1495">
        <v>9</v>
      </c>
      <c r="O1495">
        <v>4</v>
      </c>
      <c r="P1495">
        <v>0</v>
      </c>
      <c r="Q1495">
        <v>18</v>
      </c>
      <c r="R1495">
        <v>5</v>
      </c>
      <c r="S1495">
        <v>2</v>
      </c>
      <c r="T1495">
        <v>0</v>
      </c>
      <c r="U1495">
        <v>1</v>
      </c>
      <c r="V1495">
        <v>0</v>
      </c>
      <c r="W1495" t="s">
        <v>55</v>
      </c>
      <c r="X1495">
        <v>-10</v>
      </c>
      <c r="Y1495">
        <v>1</v>
      </c>
      <c r="Z1495">
        <f t="shared" si="138"/>
        <v>61</v>
      </c>
      <c r="AA1495">
        <f t="shared" si="139"/>
        <v>0.53246753246753242</v>
      </c>
      <c r="AB1495">
        <f t="shared" si="140"/>
        <v>27</v>
      </c>
      <c r="AC1495" t="str">
        <f t="shared" si="141"/>
        <v>Low</v>
      </c>
      <c r="AD1495" t="str">
        <f t="shared" si="142"/>
        <v>Upsell premium bundle</v>
      </c>
      <c r="AE1495">
        <f t="shared" si="143"/>
        <v>39</v>
      </c>
    </row>
    <row r="1496" spans="1:31" x14ac:dyDescent="0.35">
      <c r="A1496" t="s">
        <v>1554</v>
      </c>
      <c r="B1496" s="4">
        <v>45793</v>
      </c>
      <c r="C1496" s="4">
        <v>46143</v>
      </c>
      <c r="D1496" t="s">
        <v>60</v>
      </c>
      <c r="E1496">
        <v>69</v>
      </c>
      <c r="F1496" t="s">
        <v>57</v>
      </c>
      <c r="G1496" t="s">
        <v>67</v>
      </c>
      <c r="H1496" t="s">
        <v>41</v>
      </c>
      <c r="I1496" t="s">
        <v>36</v>
      </c>
      <c r="J1496">
        <v>11</v>
      </c>
      <c r="K1496" s="5">
        <v>2258.69</v>
      </c>
      <c r="L1496" s="5">
        <v>1144.44</v>
      </c>
      <c r="M1496">
        <v>32</v>
      </c>
      <c r="N1496">
        <v>16</v>
      </c>
      <c r="O1496">
        <v>9</v>
      </c>
      <c r="P1496">
        <v>1</v>
      </c>
      <c r="Q1496">
        <v>28</v>
      </c>
      <c r="R1496">
        <v>1</v>
      </c>
      <c r="S1496">
        <v>1</v>
      </c>
      <c r="T1496">
        <v>1</v>
      </c>
      <c r="U1496">
        <v>0</v>
      </c>
      <c r="V1496">
        <v>0</v>
      </c>
      <c r="W1496" t="s">
        <v>52</v>
      </c>
      <c r="X1496">
        <v>12</v>
      </c>
      <c r="Y1496">
        <v>0</v>
      </c>
      <c r="Z1496">
        <f t="shared" si="138"/>
        <v>84</v>
      </c>
      <c r="AA1496">
        <f t="shared" si="139"/>
        <v>1.4634146341463414</v>
      </c>
      <c r="AB1496">
        <f t="shared" si="140"/>
        <v>25</v>
      </c>
      <c r="AC1496" t="str">
        <f t="shared" si="141"/>
        <v>Low</v>
      </c>
      <c r="AD1496" t="str">
        <f t="shared" si="142"/>
        <v>Upsell premium bundle</v>
      </c>
      <c r="AE1496">
        <f t="shared" si="143"/>
        <v>16</v>
      </c>
    </row>
    <row r="1497" spans="1:31" x14ac:dyDescent="0.35">
      <c r="A1497" t="s">
        <v>1555</v>
      </c>
      <c r="B1497" s="4">
        <v>44953</v>
      </c>
      <c r="C1497" s="4">
        <v>46143</v>
      </c>
      <c r="D1497" t="s">
        <v>60</v>
      </c>
      <c r="E1497">
        <v>45</v>
      </c>
      <c r="F1497" t="s">
        <v>33</v>
      </c>
      <c r="G1497" t="s">
        <v>40</v>
      </c>
      <c r="H1497" t="s">
        <v>41</v>
      </c>
      <c r="I1497" t="s">
        <v>36</v>
      </c>
      <c r="J1497">
        <v>39</v>
      </c>
      <c r="K1497" s="5">
        <v>92.16</v>
      </c>
      <c r="L1497" s="5">
        <v>567.05999999999995</v>
      </c>
      <c r="M1497">
        <v>0</v>
      </c>
      <c r="N1497">
        <v>0</v>
      </c>
      <c r="O1497">
        <v>0</v>
      </c>
      <c r="P1497">
        <v>0</v>
      </c>
      <c r="Q1497">
        <v>5</v>
      </c>
      <c r="R1497">
        <v>0</v>
      </c>
      <c r="S1497">
        <v>0</v>
      </c>
      <c r="T1497">
        <v>1</v>
      </c>
      <c r="U1497">
        <v>0</v>
      </c>
      <c r="V1497">
        <v>1</v>
      </c>
      <c r="W1497" t="s">
        <v>55</v>
      </c>
      <c r="X1497">
        <v>45</v>
      </c>
      <c r="Y1497">
        <v>0</v>
      </c>
      <c r="Z1497">
        <f t="shared" si="138"/>
        <v>12</v>
      </c>
      <c r="AA1497">
        <f t="shared" si="139"/>
        <v>7.2463768115942032E-2</v>
      </c>
      <c r="AB1497">
        <f t="shared" si="140"/>
        <v>31</v>
      </c>
      <c r="AC1497" t="str">
        <f t="shared" si="141"/>
        <v>Low</v>
      </c>
      <c r="AD1497" t="str">
        <f t="shared" si="142"/>
        <v>Upsell premium bundle</v>
      </c>
      <c r="AE1497">
        <f t="shared" si="143"/>
        <v>88</v>
      </c>
    </row>
    <row r="1498" spans="1:31" x14ac:dyDescent="0.35">
      <c r="A1498" t="s">
        <v>1556</v>
      </c>
      <c r="B1498" s="4">
        <v>45170</v>
      </c>
      <c r="C1498" s="4">
        <v>46143</v>
      </c>
      <c r="D1498" t="s">
        <v>72</v>
      </c>
      <c r="E1498">
        <v>72</v>
      </c>
      <c r="F1498" t="s">
        <v>61</v>
      </c>
      <c r="G1498" t="s">
        <v>63</v>
      </c>
      <c r="H1498" t="s">
        <v>41</v>
      </c>
      <c r="I1498" t="s">
        <v>36</v>
      </c>
      <c r="J1498">
        <v>32</v>
      </c>
      <c r="K1498" s="5">
        <v>5723.85</v>
      </c>
      <c r="L1498" s="5">
        <v>3703.41</v>
      </c>
      <c r="M1498">
        <v>25</v>
      </c>
      <c r="N1498">
        <v>10</v>
      </c>
      <c r="O1498">
        <v>3</v>
      </c>
      <c r="P1498">
        <v>1</v>
      </c>
      <c r="Q1498">
        <v>20</v>
      </c>
      <c r="R1498">
        <v>0</v>
      </c>
      <c r="S1498">
        <v>0</v>
      </c>
      <c r="T1498">
        <v>1</v>
      </c>
      <c r="U1498">
        <v>0</v>
      </c>
      <c r="V1498">
        <v>0</v>
      </c>
      <c r="W1498" t="s">
        <v>37</v>
      </c>
      <c r="X1498">
        <v>61</v>
      </c>
      <c r="Y1498">
        <v>0</v>
      </c>
      <c r="Z1498">
        <f t="shared" si="138"/>
        <v>58</v>
      </c>
      <c r="AA1498">
        <f t="shared" si="139"/>
        <v>0.72580645161290325</v>
      </c>
      <c r="AB1498">
        <f t="shared" si="140"/>
        <v>0</v>
      </c>
      <c r="AC1498" t="str">
        <f t="shared" si="141"/>
        <v>Low</v>
      </c>
      <c r="AD1498" t="str">
        <f t="shared" si="142"/>
        <v>Upsell premium bundle</v>
      </c>
      <c r="AE1498">
        <f t="shared" si="143"/>
        <v>42</v>
      </c>
    </row>
    <row r="1499" spans="1:31" x14ac:dyDescent="0.35">
      <c r="A1499" t="s">
        <v>1557</v>
      </c>
      <c r="B1499" s="4">
        <v>44905</v>
      </c>
      <c r="C1499" s="4">
        <v>46143</v>
      </c>
      <c r="D1499" t="s">
        <v>47</v>
      </c>
      <c r="E1499">
        <v>46</v>
      </c>
      <c r="F1499" t="s">
        <v>57</v>
      </c>
      <c r="G1499" t="s">
        <v>67</v>
      </c>
      <c r="H1499" t="s">
        <v>41</v>
      </c>
      <c r="I1499" t="s">
        <v>36</v>
      </c>
      <c r="J1499">
        <v>41</v>
      </c>
      <c r="K1499" s="5">
        <v>733.58</v>
      </c>
      <c r="L1499" s="5">
        <v>965.61</v>
      </c>
      <c r="M1499">
        <v>23</v>
      </c>
      <c r="N1499">
        <v>16</v>
      </c>
      <c r="O1499">
        <v>5</v>
      </c>
      <c r="P1499">
        <v>4</v>
      </c>
      <c r="Q1499">
        <v>18</v>
      </c>
      <c r="R1499">
        <v>1</v>
      </c>
      <c r="S1499">
        <v>0</v>
      </c>
      <c r="T1499">
        <v>1</v>
      </c>
      <c r="U1499">
        <v>1</v>
      </c>
      <c r="V1499">
        <v>1</v>
      </c>
      <c r="W1499" t="s">
        <v>45</v>
      </c>
      <c r="X1499">
        <v>66</v>
      </c>
      <c r="Y1499">
        <v>0</v>
      </c>
      <c r="Z1499">
        <f t="shared" si="138"/>
        <v>79</v>
      </c>
      <c r="AA1499">
        <f t="shared" si="139"/>
        <v>0.57746478873239437</v>
      </c>
      <c r="AB1499">
        <f t="shared" si="140"/>
        <v>0</v>
      </c>
      <c r="AC1499" t="str">
        <f t="shared" si="141"/>
        <v>Low</v>
      </c>
      <c r="AD1499" t="str">
        <f t="shared" si="142"/>
        <v>Upsell premium bundle</v>
      </c>
      <c r="AE1499">
        <f t="shared" si="143"/>
        <v>21</v>
      </c>
    </row>
    <row r="1500" spans="1:31" x14ac:dyDescent="0.35">
      <c r="A1500" t="s">
        <v>1558</v>
      </c>
      <c r="B1500" s="4">
        <v>45938</v>
      </c>
      <c r="C1500" s="4">
        <v>46143</v>
      </c>
      <c r="D1500" t="s">
        <v>66</v>
      </c>
      <c r="E1500">
        <v>60</v>
      </c>
      <c r="F1500" t="s">
        <v>33</v>
      </c>
      <c r="G1500" t="s">
        <v>67</v>
      </c>
      <c r="H1500" t="s">
        <v>41</v>
      </c>
      <c r="I1500" t="s">
        <v>36</v>
      </c>
      <c r="J1500">
        <v>6</v>
      </c>
      <c r="K1500" s="5">
        <v>477.96</v>
      </c>
      <c r="L1500" s="5">
        <v>40.090000000000003</v>
      </c>
      <c r="M1500">
        <v>12</v>
      </c>
      <c r="N1500">
        <v>7</v>
      </c>
      <c r="O1500">
        <v>0</v>
      </c>
      <c r="P1500">
        <v>0</v>
      </c>
      <c r="Q1500">
        <v>6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55</v>
      </c>
      <c r="X1500">
        <v>12</v>
      </c>
      <c r="Y1500">
        <v>0</v>
      </c>
      <c r="Z1500">
        <f t="shared" si="138"/>
        <v>24</v>
      </c>
      <c r="AA1500">
        <f t="shared" si="139"/>
        <v>0.5</v>
      </c>
      <c r="AB1500">
        <f t="shared" si="140"/>
        <v>42</v>
      </c>
      <c r="AC1500" t="str">
        <f t="shared" si="141"/>
        <v>Medium</v>
      </c>
      <c r="AD1500" t="str">
        <f t="shared" si="142"/>
        <v>Nudge core feature adoption</v>
      </c>
      <c r="AE1500">
        <f t="shared" si="143"/>
        <v>76</v>
      </c>
    </row>
    <row r="1501" spans="1:31" x14ac:dyDescent="0.35">
      <c r="A1501" t="s">
        <v>1559</v>
      </c>
      <c r="B1501" s="4">
        <v>45242</v>
      </c>
      <c r="C1501" s="4">
        <v>46143</v>
      </c>
      <c r="D1501" t="s">
        <v>47</v>
      </c>
      <c r="E1501">
        <v>51</v>
      </c>
      <c r="F1501" t="s">
        <v>33</v>
      </c>
      <c r="G1501" t="s">
        <v>67</v>
      </c>
      <c r="H1501" t="s">
        <v>41</v>
      </c>
      <c r="I1501" t="s">
        <v>36</v>
      </c>
      <c r="J1501">
        <v>30</v>
      </c>
      <c r="K1501" s="5">
        <v>790.86</v>
      </c>
      <c r="L1501" s="5">
        <v>317.27999999999997</v>
      </c>
      <c r="M1501">
        <v>27</v>
      </c>
      <c r="N1501">
        <v>18</v>
      </c>
      <c r="O1501">
        <v>8</v>
      </c>
      <c r="P1501">
        <v>4</v>
      </c>
      <c r="Q1501">
        <v>16</v>
      </c>
      <c r="R1501">
        <v>0</v>
      </c>
      <c r="S1501">
        <v>2</v>
      </c>
      <c r="T1501">
        <v>1</v>
      </c>
      <c r="U1501">
        <v>1</v>
      </c>
      <c r="V1501">
        <v>0</v>
      </c>
      <c r="W1501" t="s">
        <v>55</v>
      </c>
      <c r="X1501">
        <v>41</v>
      </c>
      <c r="Y1501">
        <v>0</v>
      </c>
      <c r="Z1501">
        <f t="shared" si="138"/>
        <v>80</v>
      </c>
      <c r="AA1501">
        <f t="shared" si="139"/>
        <v>0.71666666666666667</v>
      </c>
      <c r="AB1501">
        <f t="shared" si="140"/>
        <v>22</v>
      </c>
      <c r="AC1501" t="str">
        <f t="shared" si="141"/>
        <v>Low</v>
      </c>
      <c r="AD1501" t="str">
        <f t="shared" si="142"/>
        <v>Upsell premium bundle</v>
      </c>
      <c r="AE1501">
        <f t="shared" si="143"/>
        <v>20</v>
      </c>
    </row>
    <row r="1502" spans="1:31" x14ac:dyDescent="0.35">
      <c r="A1502" t="s">
        <v>1560</v>
      </c>
      <c r="B1502" s="4">
        <v>44804</v>
      </c>
      <c r="C1502" s="4">
        <v>46143</v>
      </c>
      <c r="D1502" t="s">
        <v>60</v>
      </c>
      <c r="E1502">
        <v>65</v>
      </c>
      <c r="F1502" t="s">
        <v>33</v>
      </c>
      <c r="G1502" t="s">
        <v>85</v>
      </c>
      <c r="H1502" t="s">
        <v>41</v>
      </c>
      <c r="I1502" t="s">
        <v>54</v>
      </c>
      <c r="J1502">
        <v>44</v>
      </c>
      <c r="K1502" s="5">
        <v>167.81</v>
      </c>
      <c r="L1502" s="5">
        <v>234.36</v>
      </c>
      <c r="M1502">
        <v>40</v>
      </c>
      <c r="N1502">
        <v>20</v>
      </c>
      <c r="O1502">
        <v>7</v>
      </c>
      <c r="P1502">
        <v>2</v>
      </c>
      <c r="Q1502">
        <v>27</v>
      </c>
      <c r="R1502">
        <v>0</v>
      </c>
      <c r="S1502">
        <v>0</v>
      </c>
      <c r="T1502">
        <v>0</v>
      </c>
      <c r="U1502">
        <v>0</v>
      </c>
      <c r="V1502">
        <v>0</v>
      </c>
      <c r="W1502" t="s">
        <v>37</v>
      </c>
      <c r="X1502">
        <v>14</v>
      </c>
      <c r="Y1502">
        <v>1</v>
      </c>
      <c r="Z1502">
        <f t="shared" si="138"/>
        <v>94</v>
      </c>
      <c r="AA1502">
        <f t="shared" si="139"/>
        <v>0.90540540540540537</v>
      </c>
      <c r="AB1502">
        <f t="shared" si="140"/>
        <v>29</v>
      </c>
      <c r="AC1502" t="str">
        <f t="shared" si="141"/>
        <v>Low</v>
      </c>
      <c r="AD1502" t="str">
        <f t="shared" si="142"/>
        <v>Upsell premium bundle</v>
      </c>
      <c r="AE1502">
        <f t="shared" si="143"/>
        <v>6</v>
      </c>
    </row>
    <row r="1503" spans="1:31" x14ac:dyDescent="0.35">
      <c r="A1503" t="s">
        <v>1561</v>
      </c>
      <c r="B1503" s="4">
        <v>45002</v>
      </c>
      <c r="C1503" s="4">
        <v>46143</v>
      </c>
      <c r="D1503" t="s">
        <v>66</v>
      </c>
      <c r="E1503">
        <v>21</v>
      </c>
      <c r="F1503" t="s">
        <v>33</v>
      </c>
      <c r="G1503" t="s">
        <v>63</v>
      </c>
      <c r="H1503" t="s">
        <v>58</v>
      </c>
      <c r="I1503" t="s">
        <v>36</v>
      </c>
      <c r="J1503">
        <v>38</v>
      </c>
      <c r="K1503" s="5">
        <v>326.45</v>
      </c>
      <c r="L1503" s="5">
        <v>72.540000000000006</v>
      </c>
      <c r="M1503">
        <v>31</v>
      </c>
      <c r="N1503">
        <v>10</v>
      </c>
      <c r="O1503">
        <v>3</v>
      </c>
      <c r="P1503">
        <v>6</v>
      </c>
      <c r="Q1503">
        <v>30</v>
      </c>
      <c r="R1503">
        <v>0</v>
      </c>
      <c r="S1503">
        <v>1</v>
      </c>
      <c r="T1503">
        <v>0</v>
      </c>
      <c r="U1503">
        <v>1</v>
      </c>
      <c r="V1503">
        <v>0</v>
      </c>
      <c r="W1503" t="s">
        <v>50</v>
      </c>
      <c r="X1503">
        <v>-32</v>
      </c>
      <c r="Y1503">
        <v>0</v>
      </c>
      <c r="Z1503">
        <f t="shared" si="138"/>
        <v>88</v>
      </c>
      <c r="AA1503">
        <f t="shared" si="139"/>
        <v>0.8970588235294118</v>
      </c>
      <c r="AB1503">
        <f t="shared" si="140"/>
        <v>37</v>
      </c>
      <c r="AC1503" t="str">
        <f t="shared" si="141"/>
        <v>Low</v>
      </c>
      <c r="AD1503" t="str">
        <f t="shared" si="142"/>
        <v>Upsell premium bundle</v>
      </c>
      <c r="AE1503">
        <f t="shared" si="143"/>
        <v>12</v>
      </c>
    </row>
    <row r="1504" spans="1:31" x14ac:dyDescent="0.35">
      <c r="A1504" t="s">
        <v>1562</v>
      </c>
      <c r="B1504" s="4">
        <v>45748</v>
      </c>
      <c r="C1504" s="4">
        <v>46143</v>
      </c>
      <c r="D1504" t="s">
        <v>66</v>
      </c>
      <c r="E1504">
        <v>29</v>
      </c>
      <c r="F1504" t="s">
        <v>57</v>
      </c>
      <c r="G1504" t="s">
        <v>63</v>
      </c>
      <c r="H1504" t="s">
        <v>58</v>
      </c>
      <c r="I1504" t="s">
        <v>36</v>
      </c>
      <c r="J1504">
        <v>13</v>
      </c>
      <c r="K1504" s="5">
        <v>869.72</v>
      </c>
      <c r="L1504" s="5">
        <v>610.42999999999995</v>
      </c>
      <c r="M1504">
        <v>30</v>
      </c>
      <c r="N1504">
        <v>11</v>
      </c>
      <c r="O1504">
        <v>4</v>
      </c>
      <c r="P1504">
        <v>2</v>
      </c>
      <c r="Q1504">
        <v>21</v>
      </c>
      <c r="R1504">
        <v>0</v>
      </c>
      <c r="S1504">
        <v>0</v>
      </c>
      <c r="T1504">
        <v>1</v>
      </c>
      <c r="U1504">
        <v>0</v>
      </c>
      <c r="V1504">
        <v>0</v>
      </c>
      <c r="W1504" t="s">
        <v>45</v>
      </c>
      <c r="X1504">
        <v>35</v>
      </c>
      <c r="Y1504">
        <v>0</v>
      </c>
      <c r="Z1504">
        <f t="shared" si="138"/>
        <v>67</v>
      </c>
      <c r="AA1504">
        <f t="shared" si="139"/>
        <v>1.1860465116279071</v>
      </c>
      <c r="AB1504">
        <f t="shared" si="140"/>
        <v>4</v>
      </c>
      <c r="AC1504" t="str">
        <f t="shared" si="141"/>
        <v>Low</v>
      </c>
      <c r="AD1504" t="str">
        <f t="shared" si="142"/>
        <v>Upsell premium bundle</v>
      </c>
      <c r="AE1504">
        <f t="shared" si="143"/>
        <v>33</v>
      </c>
    </row>
    <row r="1505" spans="1:31" x14ac:dyDescent="0.35">
      <c r="A1505" t="s">
        <v>1563</v>
      </c>
      <c r="B1505" s="4">
        <v>45153</v>
      </c>
      <c r="C1505" s="4">
        <v>46143</v>
      </c>
      <c r="D1505" t="s">
        <v>47</v>
      </c>
      <c r="E1505">
        <v>26</v>
      </c>
      <c r="F1505" t="s">
        <v>33</v>
      </c>
      <c r="G1505" t="s">
        <v>34</v>
      </c>
      <c r="H1505" t="s">
        <v>41</v>
      </c>
      <c r="I1505" t="s">
        <v>36</v>
      </c>
      <c r="J1505">
        <v>33</v>
      </c>
      <c r="K1505" s="5">
        <v>561.55999999999995</v>
      </c>
      <c r="L1505" s="5">
        <v>1.22</v>
      </c>
      <c r="M1505">
        <v>36</v>
      </c>
      <c r="N1505">
        <v>13</v>
      </c>
      <c r="O1505">
        <v>5</v>
      </c>
      <c r="P1505">
        <v>4</v>
      </c>
      <c r="Q1505">
        <v>19</v>
      </c>
      <c r="R1505">
        <v>1</v>
      </c>
      <c r="S1505">
        <v>1</v>
      </c>
      <c r="T1505">
        <v>1</v>
      </c>
      <c r="U1505">
        <v>0</v>
      </c>
      <c r="V1505">
        <v>0</v>
      </c>
      <c r="W1505" t="s">
        <v>45</v>
      </c>
      <c r="X1505">
        <v>33</v>
      </c>
      <c r="Y1505">
        <v>0</v>
      </c>
      <c r="Z1505">
        <f t="shared" si="138"/>
        <v>77</v>
      </c>
      <c r="AA1505">
        <f t="shared" si="139"/>
        <v>0.87301587301587302</v>
      </c>
      <c r="AB1505">
        <f t="shared" si="140"/>
        <v>17</v>
      </c>
      <c r="AC1505" t="str">
        <f t="shared" si="141"/>
        <v>Low</v>
      </c>
      <c r="AD1505" t="str">
        <f t="shared" si="142"/>
        <v>Upsell premium bundle</v>
      </c>
      <c r="AE1505">
        <f t="shared" si="143"/>
        <v>23</v>
      </c>
    </row>
    <row r="1506" spans="1:31" x14ac:dyDescent="0.35">
      <c r="A1506" t="s">
        <v>1564</v>
      </c>
      <c r="B1506" s="4">
        <v>45583</v>
      </c>
      <c r="C1506" s="4">
        <v>46143</v>
      </c>
      <c r="D1506" t="s">
        <v>47</v>
      </c>
      <c r="E1506">
        <v>25</v>
      </c>
      <c r="F1506" t="s">
        <v>57</v>
      </c>
      <c r="G1506" t="s">
        <v>48</v>
      </c>
      <c r="H1506" t="s">
        <v>35</v>
      </c>
      <c r="I1506" t="s">
        <v>36</v>
      </c>
      <c r="J1506">
        <v>18</v>
      </c>
      <c r="K1506" s="5">
        <v>1509.7</v>
      </c>
      <c r="L1506" s="5">
        <v>452.39</v>
      </c>
      <c r="M1506">
        <v>8</v>
      </c>
      <c r="N1506">
        <v>2</v>
      </c>
      <c r="O1506">
        <v>0</v>
      </c>
      <c r="P1506">
        <v>1</v>
      </c>
      <c r="Q1506">
        <v>15</v>
      </c>
      <c r="R1506">
        <v>3</v>
      </c>
      <c r="S1506">
        <v>0</v>
      </c>
      <c r="T1506">
        <v>1</v>
      </c>
      <c r="U1506">
        <v>1</v>
      </c>
      <c r="V1506">
        <v>0</v>
      </c>
      <c r="W1506" t="s">
        <v>52</v>
      </c>
      <c r="X1506">
        <v>14</v>
      </c>
      <c r="Y1506">
        <v>0</v>
      </c>
      <c r="Z1506">
        <f t="shared" si="138"/>
        <v>33</v>
      </c>
      <c r="AA1506">
        <f t="shared" si="139"/>
        <v>0.47916666666666669</v>
      </c>
      <c r="AB1506">
        <f t="shared" si="140"/>
        <v>23</v>
      </c>
      <c r="AC1506" t="str">
        <f t="shared" si="141"/>
        <v>Low</v>
      </c>
      <c r="AD1506" t="str">
        <f t="shared" si="142"/>
        <v>Upsell premium bundle</v>
      </c>
      <c r="AE1506">
        <f t="shared" si="143"/>
        <v>67</v>
      </c>
    </row>
    <row r="1507" spans="1:31" x14ac:dyDescent="0.35">
      <c r="A1507" t="s">
        <v>1565</v>
      </c>
      <c r="B1507" s="4">
        <v>45856</v>
      </c>
      <c r="C1507" s="4">
        <v>46143</v>
      </c>
      <c r="D1507" t="s">
        <v>60</v>
      </c>
      <c r="E1507">
        <v>47</v>
      </c>
      <c r="F1507" t="s">
        <v>61</v>
      </c>
      <c r="G1507" t="s">
        <v>48</v>
      </c>
      <c r="H1507" t="s">
        <v>44</v>
      </c>
      <c r="I1507" t="s">
        <v>36</v>
      </c>
      <c r="J1507">
        <v>9</v>
      </c>
      <c r="K1507" s="5">
        <v>1792.32</v>
      </c>
      <c r="L1507" s="5">
        <v>4788.03</v>
      </c>
      <c r="M1507">
        <v>31</v>
      </c>
      <c r="N1507">
        <v>17</v>
      </c>
      <c r="O1507">
        <v>3</v>
      </c>
      <c r="P1507">
        <v>5</v>
      </c>
      <c r="Q1507">
        <v>16</v>
      </c>
      <c r="R1507">
        <v>1</v>
      </c>
      <c r="S1507">
        <v>1</v>
      </c>
      <c r="T1507">
        <v>1</v>
      </c>
      <c r="U1507">
        <v>1</v>
      </c>
      <c r="V1507">
        <v>0</v>
      </c>
      <c r="W1507" t="s">
        <v>50</v>
      </c>
      <c r="X1507">
        <v>47</v>
      </c>
      <c r="Y1507">
        <v>0</v>
      </c>
      <c r="Z1507">
        <f t="shared" si="138"/>
        <v>79</v>
      </c>
      <c r="AA1507">
        <f t="shared" si="139"/>
        <v>1.2051282051282051</v>
      </c>
      <c r="AB1507">
        <f t="shared" si="140"/>
        <v>0</v>
      </c>
      <c r="AC1507" t="str">
        <f t="shared" si="141"/>
        <v>Low</v>
      </c>
      <c r="AD1507" t="str">
        <f t="shared" si="142"/>
        <v>Upsell premium bundle</v>
      </c>
      <c r="AE1507">
        <f t="shared" si="143"/>
        <v>21</v>
      </c>
    </row>
    <row r="1508" spans="1:31" x14ac:dyDescent="0.35">
      <c r="A1508" t="s">
        <v>1566</v>
      </c>
      <c r="B1508" s="4">
        <v>45408</v>
      </c>
      <c r="C1508" s="4">
        <v>46143</v>
      </c>
      <c r="D1508" t="s">
        <v>60</v>
      </c>
      <c r="E1508">
        <v>36</v>
      </c>
      <c r="F1508" t="s">
        <v>57</v>
      </c>
      <c r="G1508" t="s">
        <v>67</v>
      </c>
      <c r="H1508" t="s">
        <v>41</v>
      </c>
      <c r="I1508" t="s">
        <v>36</v>
      </c>
      <c r="J1508">
        <v>24</v>
      </c>
      <c r="K1508" s="5">
        <v>0</v>
      </c>
      <c r="L1508" s="5">
        <v>824</v>
      </c>
      <c r="M1508">
        <v>27</v>
      </c>
      <c r="N1508">
        <v>15</v>
      </c>
      <c r="O1508">
        <v>7</v>
      </c>
      <c r="P1508">
        <v>0</v>
      </c>
      <c r="Q1508">
        <v>16</v>
      </c>
      <c r="R1508">
        <v>0</v>
      </c>
      <c r="S1508">
        <v>0</v>
      </c>
      <c r="T1508">
        <v>0</v>
      </c>
      <c r="U1508">
        <v>1</v>
      </c>
      <c r="V1508">
        <v>1</v>
      </c>
      <c r="W1508" t="s">
        <v>50</v>
      </c>
      <c r="X1508">
        <v>42</v>
      </c>
      <c r="Y1508">
        <v>0</v>
      </c>
      <c r="Z1508">
        <f t="shared" si="138"/>
        <v>78</v>
      </c>
      <c r="AA1508">
        <f t="shared" si="139"/>
        <v>0.79629629629629628</v>
      </c>
      <c r="AB1508">
        <f t="shared" si="140"/>
        <v>6</v>
      </c>
      <c r="AC1508" t="str">
        <f t="shared" si="141"/>
        <v>Low</v>
      </c>
      <c r="AD1508" t="str">
        <f t="shared" si="142"/>
        <v>Upsell premium bundle</v>
      </c>
      <c r="AE1508">
        <f t="shared" si="143"/>
        <v>22</v>
      </c>
    </row>
    <row r="1509" spans="1:31" x14ac:dyDescent="0.35">
      <c r="A1509" t="s">
        <v>1567</v>
      </c>
      <c r="B1509" s="4">
        <v>45554</v>
      </c>
      <c r="C1509" s="4">
        <v>46143</v>
      </c>
      <c r="D1509" t="s">
        <v>66</v>
      </c>
      <c r="E1509">
        <v>27</v>
      </c>
      <c r="F1509" t="s">
        <v>77</v>
      </c>
      <c r="G1509" t="s">
        <v>67</v>
      </c>
      <c r="H1509" t="s">
        <v>44</v>
      </c>
      <c r="I1509" t="s">
        <v>36</v>
      </c>
      <c r="J1509">
        <v>19</v>
      </c>
      <c r="K1509" s="5">
        <v>10198.44</v>
      </c>
      <c r="L1509" s="5">
        <v>571.19000000000005</v>
      </c>
      <c r="M1509">
        <v>29</v>
      </c>
      <c r="N1509">
        <v>9</v>
      </c>
      <c r="O1509">
        <v>3</v>
      </c>
      <c r="P1509">
        <v>4</v>
      </c>
      <c r="Q1509">
        <v>19</v>
      </c>
      <c r="R1509">
        <v>2</v>
      </c>
      <c r="S1509">
        <v>2</v>
      </c>
      <c r="T1509">
        <v>0</v>
      </c>
      <c r="U1509">
        <v>0</v>
      </c>
      <c r="V1509">
        <v>0</v>
      </c>
      <c r="W1509" t="s">
        <v>50</v>
      </c>
      <c r="X1509">
        <v>-17</v>
      </c>
      <c r="Y1509">
        <v>0</v>
      </c>
      <c r="Z1509">
        <f t="shared" si="138"/>
        <v>65</v>
      </c>
      <c r="AA1509">
        <f t="shared" si="139"/>
        <v>0.97959183673469385</v>
      </c>
      <c r="AB1509">
        <f t="shared" si="140"/>
        <v>44</v>
      </c>
      <c r="AC1509" t="str">
        <f t="shared" si="141"/>
        <v>Medium</v>
      </c>
      <c r="AD1509" t="str">
        <f t="shared" si="142"/>
        <v>Nudge core feature adoption</v>
      </c>
      <c r="AE1509">
        <f t="shared" si="143"/>
        <v>35</v>
      </c>
    </row>
    <row r="1510" spans="1:31" x14ac:dyDescent="0.35">
      <c r="A1510" t="s">
        <v>1568</v>
      </c>
      <c r="B1510" s="4">
        <v>44982</v>
      </c>
      <c r="C1510" s="4">
        <v>46143</v>
      </c>
      <c r="D1510" t="s">
        <v>60</v>
      </c>
      <c r="E1510">
        <v>70</v>
      </c>
      <c r="F1510" t="s">
        <v>57</v>
      </c>
      <c r="G1510" t="s">
        <v>48</v>
      </c>
      <c r="H1510" t="s">
        <v>58</v>
      </c>
      <c r="I1510" t="s">
        <v>36</v>
      </c>
      <c r="J1510">
        <v>38</v>
      </c>
      <c r="K1510" s="5">
        <v>2126.92</v>
      </c>
      <c r="L1510" s="5">
        <v>500.71</v>
      </c>
      <c r="M1510">
        <v>38</v>
      </c>
      <c r="N1510">
        <v>19</v>
      </c>
      <c r="O1510">
        <v>2</v>
      </c>
      <c r="P1510">
        <v>7</v>
      </c>
      <c r="Q1510">
        <v>30</v>
      </c>
      <c r="R1510">
        <v>1</v>
      </c>
      <c r="S1510">
        <v>1</v>
      </c>
      <c r="T1510">
        <v>0</v>
      </c>
      <c r="U1510">
        <v>1</v>
      </c>
      <c r="V1510">
        <v>0</v>
      </c>
      <c r="W1510" t="s">
        <v>37</v>
      </c>
      <c r="X1510">
        <v>35</v>
      </c>
      <c r="Y1510">
        <v>0</v>
      </c>
      <c r="Z1510">
        <f t="shared" si="138"/>
        <v>100</v>
      </c>
      <c r="AA1510">
        <f t="shared" si="139"/>
        <v>1</v>
      </c>
      <c r="AB1510">
        <f t="shared" si="140"/>
        <v>0</v>
      </c>
      <c r="AC1510" t="str">
        <f t="shared" si="141"/>
        <v>Low</v>
      </c>
      <c r="AD1510" t="str">
        <f t="shared" si="142"/>
        <v>Upsell premium bundle</v>
      </c>
      <c r="AE1510">
        <f t="shared" si="143"/>
        <v>0</v>
      </c>
    </row>
    <row r="1511" spans="1:31" x14ac:dyDescent="0.35">
      <c r="A1511" t="s">
        <v>1569</v>
      </c>
      <c r="B1511" s="4">
        <v>45324</v>
      </c>
      <c r="C1511" s="4">
        <v>46143</v>
      </c>
      <c r="D1511" t="s">
        <v>60</v>
      </c>
      <c r="E1511">
        <v>48</v>
      </c>
      <c r="F1511" t="s">
        <v>57</v>
      </c>
      <c r="G1511" t="s">
        <v>85</v>
      </c>
      <c r="H1511" t="s">
        <v>41</v>
      </c>
      <c r="I1511" t="s">
        <v>36</v>
      </c>
      <c r="J1511">
        <v>27</v>
      </c>
      <c r="K1511" s="5">
        <v>420.98</v>
      </c>
      <c r="L1511" s="5">
        <v>0</v>
      </c>
      <c r="M1511">
        <v>39</v>
      </c>
      <c r="N1511">
        <v>11</v>
      </c>
      <c r="O1511">
        <v>9</v>
      </c>
      <c r="P1511">
        <v>6</v>
      </c>
      <c r="Q1511">
        <v>9</v>
      </c>
      <c r="R1511">
        <v>0</v>
      </c>
      <c r="S1511">
        <v>0</v>
      </c>
      <c r="T1511">
        <v>1</v>
      </c>
      <c r="U1511">
        <v>0</v>
      </c>
      <c r="V1511">
        <v>1</v>
      </c>
      <c r="W1511" t="s">
        <v>52</v>
      </c>
      <c r="X1511">
        <v>20</v>
      </c>
      <c r="Y1511">
        <v>1</v>
      </c>
      <c r="Z1511">
        <f t="shared" si="138"/>
        <v>85</v>
      </c>
      <c r="AA1511">
        <f t="shared" si="139"/>
        <v>0.84210526315789469</v>
      </c>
      <c r="AB1511">
        <f t="shared" si="140"/>
        <v>14</v>
      </c>
      <c r="AC1511" t="str">
        <f t="shared" si="141"/>
        <v>Low</v>
      </c>
      <c r="AD1511" t="str">
        <f t="shared" si="142"/>
        <v>Upsell premium bundle</v>
      </c>
      <c r="AE1511">
        <f t="shared" si="143"/>
        <v>15</v>
      </c>
    </row>
    <row r="1512" spans="1:31" x14ac:dyDescent="0.35">
      <c r="A1512" t="s">
        <v>1570</v>
      </c>
      <c r="B1512" s="4">
        <v>45093</v>
      </c>
      <c r="C1512" s="4">
        <v>46143</v>
      </c>
      <c r="D1512" t="s">
        <v>39</v>
      </c>
      <c r="E1512">
        <v>56</v>
      </c>
      <c r="F1512" t="s">
        <v>77</v>
      </c>
      <c r="G1512" t="s">
        <v>85</v>
      </c>
      <c r="H1512" t="s">
        <v>44</v>
      </c>
      <c r="I1512" t="s">
        <v>36</v>
      </c>
      <c r="J1512">
        <v>35</v>
      </c>
      <c r="K1512" s="5">
        <v>3855.16</v>
      </c>
      <c r="L1512" s="5">
        <v>9293.7000000000007</v>
      </c>
      <c r="M1512">
        <v>29</v>
      </c>
      <c r="N1512">
        <v>10</v>
      </c>
      <c r="O1512">
        <v>8</v>
      </c>
      <c r="P1512">
        <v>5</v>
      </c>
      <c r="Q1512">
        <v>14</v>
      </c>
      <c r="R1512">
        <v>0</v>
      </c>
      <c r="S1512">
        <v>0</v>
      </c>
      <c r="T1512">
        <v>1</v>
      </c>
      <c r="U1512">
        <v>1</v>
      </c>
      <c r="V1512">
        <v>0</v>
      </c>
      <c r="W1512" t="s">
        <v>55</v>
      </c>
      <c r="X1512">
        <v>22</v>
      </c>
      <c r="Y1512">
        <v>0</v>
      </c>
      <c r="Z1512">
        <f t="shared" si="138"/>
        <v>76</v>
      </c>
      <c r="AA1512">
        <f t="shared" si="139"/>
        <v>0.66153846153846152</v>
      </c>
      <c r="AB1512">
        <f t="shared" si="140"/>
        <v>0</v>
      </c>
      <c r="AC1512" t="str">
        <f t="shared" si="141"/>
        <v>Low</v>
      </c>
      <c r="AD1512" t="str">
        <f t="shared" si="142"/>
        <v>Upsell premium bundle</v>
      </c>
      <c r="AE1512">
        <f t="shared" si="143"/>
        <v>24</v>
      </c>
    </row>
    <row r="1513" spans="1:31" x14ac:dyDescent="0.35">
      <c r="A1513" t="s">
        <v>1571</v>
      </c>
      <c r="B1513" s="4">
        <v>45977</v>
      </c>
      <c r="C1513" s="4">
        <v>46143</v>
      </c>
      <c r="D1513" t="s">
        <v>66</v>
      </c>
      <c r="E1513">
        <v>69</v>
      </c>
      <c r="F1513" t="s">
        <v>43</v>
      </c>
      <c r="G1513" t="s">
        <v>67</v>
      </c>
      <c r="H1513" t="s">
        <v>58</v>
      </c>
      <c r="I1513" t="s">
        <v>36</v>
      </c>
      <c r="J1513">
        <v>5</v>
      </c>
      <c r="K1513" s="5">
        <v>6.46</v>
      </c>
      <c r="L1513" s="5">
        <v>34.82</v>
      </c>
      <c r="M1513">
        <v>18</v>
      </c>
      <c r="N1513">
        <v>6</v>
      </c>
      <c r="O1513">
        <v>3</v>
      </c>
      <c r="P1513">
        <v>3</v>
      </c>
      <c r="Q1513">
        <v>25</v>
      </c>
      <c r="R1513">
        <v>2</v>
      </c>
      <c r="S1513">
        <v>1</v>
      </c>
      <c r="T1513">
        <v>0</v>
      </c>
      <c r="U1513">
        <v>0</v>
      </c>
      <c r="V1513">
        <v>1</v>
      </c>
      <c r="W1513" t="s">
        <v>52</v>
      </c>
      <c r="X1513">
        <v>17</v>
      </c>
      <c r="Y1513">
        <v>1</v>
      </c>
      <c r="Z1513">
        <f t="shared" si="138"/>
        <v>61</v>
      </c>
      <c r="AA1513">
        <f t="shared" si="139"/>
        <v>1.2285714285714286</v>
      </c>
      <c r="AB1513">
        <f t="shared" si="140"/>
        <v>20</v>
      </c>
      <c r="AC1513" t="str">
        <f t="shared" si="141"/>
        <v>Low</v>
      </c>
      <c r="AD1513" t="str">
        <f t="shared" si="142"/>
        <v>Upsell premium bundle</v>
      </c>
      <c r="AE1513">
        <f t="shared" si="143"/>
        <v>39</v>
      </c>
    </row>
    <row r="1514" spans="1:31" x14ac:dyDescent="0.35">
      <c r="A1514" t="s">
        <v>1572</v>
      </c>
      <c r="B1514" s="4">
        <v>44993</v>
      </c>
      <c r="C1514" s="4">
        <v>46143</v>
      </c>
      <c r="D1514" t="s">
        <v>32</v>
      </c>
      <c r="E1514">
        <v>33</v>
      </c>
      <c r="F1514" t="s">
        <v>33</v>
      </c>
      <c r="G1514" t="s">
        <v>48</v>
      </c>
      <c r="H1514" t="s">
        <v>58</v>
      </c>
      <c r="I1514" t="s">
        <v>36</v>
      </c>
      <c r="J1514">
        <v>38</v>
      </c>
      <c r="K1514" s="5">
        <v>0</v>
      </c>
      <c r="L1514" s="5">
        <v>98.14</v>
      </c>
      <c r="M1514">
        <v>38</v>
      </c>
      <c r="N1514">
        <v>19</v>
      </c>
      <c r="O1514">
        <v>8</v>
      </c>
      <c r="P1514">
        <v>1</v>
      </c>
      <c r="Q1514">
        <v>40</v>
      </c>
      <c r="R1514">
        <v>0</v>
      </c>
      <c r="S1514">
        <v>1</v>
      </c>
      <c r="T1514">
        <v>0</v>
      </c>
      <c r="U1514">
        <v>0</v>
      </c>
      <c r="V1514">
        <v>0</v>
      </c>
      <c r="W1514" t="s">
        <v>50</v>
      </c>
      <c r="X1514">
        <v>44</v>
      </c>
      <c r="Y1514">
        <v>0</v>
      </c>
      <c r="Z1514">
        <f t="shared" si="138"/>
        <v>100</v>
      </c>
      <c r="AA1514">
        <f t="shared" si="139"/>
        <v>1.1470588235294117</v>
      </c>
      <c r="AB1514">
        <f t="shared" si="140"/>
        <v>0</v>
      </c>
      <c r="AC1514" t="str">
        <f t="shared" si="141"/>
        <v>Low</v>
      </c>
      <c r="AD1514" t="str">
        <f t="shared" si="142"/>
        <v>Upsell premium bundle</v>
      </c>
      <c r="AE1514">
        <f t="shared" si="143"/>
        <v>0</v>
      </c>
    </row>
    <row r="1515" spans="1:31" x14ac:dyDescent="0.35">
      <c r="A1515" t="s">
        <v>1573</v>
      </c>
      <c r="B1515" s="4">
        <v>46052</v>
      </c>
      <c r="C1515" s="4">
        <v>46143</v>
      </c>
      <c r="D1515" t="s">
        <v>39</v>
      </c>
      <c r="E1515">
        <v>40</v>
      </c>
      <c r="F1515" t="s">
        <v>57</v>
      </c>
      <c r="G1515" t="s">
        <v>34</v>
      </c>
      <c r="H1515" t="s">
        <v>41</v>
      </c>
      <c r="I1515" t="s">
        <v>36</v>
      </c>
      <c r="J1515">
        <v>3</v>
      </c>
      <c r="K1515" s="5">
        <v>827.24</v>
      </c>
      <c r="L1515" s="5">
        <v>260.41000000000003</v>
      </c>
      <c r="M1515">
        <v>19</v>
      </c>
      <c r="N1515">
        <v>4</v>
      </c>
      <c r="O1515">
        <v>4</v>
      </c>
      <c r="P1515">
        <v>2</v>
      </c>
      <c r="Q1515">
        <v>22</v>
      </c>
      <c r="R1515">
        <v>3</v>
      </c>
      <c r="S1515">
        <v>2</v>
      </c>
      <c r="T1515">
        <v>1</v>
      </c>
      <c r="U1515">
        <v>0</v>
      </c>
      <c r="V1515">
        <v>0</v>
      </c>
      <c r="W1515" t="s">
        <v>55</v>
      </c>
      <c r="X1515">
        <v>24</v>
      </c>
      <c r="Y1515">
        <v>1</v>
      </c>
      <c r="Z1515">
        <f t="shared" si="138"/>
        <v>51</v>
      </c>
      <c r="AA1515">
        <f t="shared" si="139"/>
        <v>1.2424242424242424</v>
      </c>
      <c r="AB1515">
        <f t="shared" si="140"/>
        <v>37</v>
      </c>
      <c r="AC1515" t="str">
        <f t="shared" si="141"/>
        <v>Low</v>
      </c>
      <c r="AD1515" t="str">
        <f t="shared" si="142"/>
        <v>Upsell premium bundle</v>
      </c>
      <c r="AE1515">
        <f t="shared" si="143"/>
        <v>49</v>
      </c>
    </row>
    <row r="1516" spans="1:31" x14ac:dyDescent="0.35">
      <c r="A1516" t="s">
        <v>1574</v>
      </c>
      <c r="B1516" s="4">
        <v>45944</v>
      </c>
      <c r="C1516" s="4">
        <v>46143</v>
      </c>
      <c r="D1516" t="s">
        <v>72</v>
      </c>
      <c r="E1516">
        <v>54</v>
      </c>
      <c r="F1516" t="s">
        <v>77</v>
      </c>
      <c r="G1516" t="s">
        <v>67</v>
      </c>
      <c r="H1516" t="s">
        <v>41</v>
      </c>
      <c r="I1516" t="s">
        <v>36</v>
      </c>
      <c r="J1516">
        <v>6</v>
      </c>
      <c r="K1516" s="5">
        <v>11374.89</v>
      </c>
      <c r="L1516" s="5">
        <v>1318.97</v>
      </c>
      <c r="M1516">
        <v>22</v>
      </c>
      <c r="N1516">
        <v>5</v>
      </c>
      <c r="O1516">
        <v>4</v>
      </c>
      <c r="P1516">
        <v>3</v>
      </c>
      <c r="Q1516">
        <v>15</v>
      </c>
      <c r="R1516">
        <v>0</v>
      </c>
      <c r="S1516">
        <v>0</v>
      </c>
      <c r="T1516">
        <v>1</v>
      </c>
      <c r="U1516">
        <v>1</v>
      </c>
      <c r="V1516">
        <v>0</v>
      </c>
      <c r="W1516" t="s">
        <v>50</v>
      </c>
      <c r="X1516">
        <v>14</v>
      </c>
      <c r="Y1516">
        <v>0</v>
      </c>
      <c r="Z1516">
        <f t="shared" si="138"/>
        <v>58</v>
      </c>
      <c r="AA1516">
        <f t="shared" si="139"/>
        <v>1.0277777777777777</v>
      </c>
      <c r="AB1516">
        <f t="shared" si="140"/>
        <v>28</v>
      </c>
      <c r="AC1516" t="str">
        <f t="shared" si="141"/>
        <v>Low</v>
      </c>
      <c r="AD1516" t="str">
        <f t="shared" si="142"/>
        <v>Upsell premium bundle</v>
      </c>
      <c r="AE1516">
        <f t="shared" si="143"/>
        <v>42</v>
      </c>
    </row>
    <row r="1517" spans="1:31" x14ac:dyDescent="0.35">
      <c r="A1517" t="s">
        <v>1575</v>
      </c>
      <c r="B1517" s="4">
        <v>45461</v>
      </c>
      <c r="C1517" s="4">
        <v>46143</v>
      </c>
      <c r="D1517" t="s">
        <v>66</v>
      </c>
      <c r="E1517">
        <v>30</v>
      </c>
      <c r="F1517" t="s">
        <v>57</v>
      </c>
      <c r="G1517" t="s">
        <v>85</v>
      </c>
      <c r="H1517" t="s">
        <v>44</v>
      </c>
      <c r="I1517" t="s">
        <v>36</v>
      </c>
      <c r="J1517">
        <v>22</v>
      </c>
      <c r="K1517" s="5">
        <v>1103.97</v>
      </c>
      <c r="L1517" s="5">
        <v>170.55</v>
      </c>
      <c r="M1517">
        <v>44</v>
      </c>
      <c r="N1517">
        <v>32</v>
      </c>
      <c r="O1517">
        <v>4</v>
      </c>
      <c r="P1517">
        <v>8</v>
      </c>
      <c r="Q1517">
        <v>20</v>
      </c>
      <c r="R1517">
        <v>1</v>
      </c>
      <c r="S1517">
        <v>2</v>
      </c>
      <c r="T1517">
        <v>1</v>
      </c>
      <c r="U1517">
        <v>1</v>
      </c>
      <c r="V1517">
        <v>1</v>
      </c>
      <c r="W1517" t="s">
        <v>50</v>
      </c>
      <c r="X1517">
        <v>40</v>
      </c>
      <c r="Y1517">
        <v>0</v>
      </c>
      <c r="Z1517">
        <f t="shared" si="138"/>
        <v>100</v>
      </c>
      <c r="AA1517">
        <f t="shared" si="139"/>
        <v>1.2307692307692308</v>
      </c>
      <c r="AB1517">
        <f t="shared" si="140"/>
        <v>3</v>
      </c>
      <c r="AC1517" t="str">
        <f t="shared" si="141"/>
        <v>Low</v>
      </c>
      <c r="AD1517" t="str">
        <f t="shared" si="142"/>
        <v>Upsell premium bundle</v>
      </c>
      <c r="AE1517">
        <f t="shared" si="143"/>
        <v>0</v>
      </c>
    </row>
    <row r="1518" spans="1:31" x14ac:dyDescent="0.35">
      <c r="A1518" t="s">
        <v>1576</v>
      </c>
      <c r="B1518" s="4">
        <v>44976</v>
      </c>
      <c r="C1518" s="4">
        <v>46143</v>
      </c>
      <c r="D1518" t="s">
        <v>39</v>
      </c>
      <c r="E1518">
        <v>61</v>
      </c>
      <c r="F1518" t="s">
        <v>61</v>
      </c>
      <c r="G1518" t="s">
        <v>67</v>
      </c>
      <c r="H1518" t="s">
        <v>35</v>
      </c>
      <c r="I1518" t="s">
        <v>36</v>
      </c>
      <c r="J1518">
        <v>38</v>
      </c>
      <c r="K1518" s="5">
        <v>3736.34</v>
      </c>
      <c r="L1518" s="5">
        <v>2142.5100000000002</v>
      </c>
      <c r="M1518">
        <v>16</v>
      </c>
      <c r="N1518">
        <v>4</v>
      </c>
      <c r="O1518">
        <v>3</v>
      </c>
      <c r="P1518">
        <v>0</v>
      </c>
      <c r="Q1518">
        <v>20</v>
      </c>
      <c r="R1518">
        <v>0</v>
      </c>
      <c r="S1518">
        <v>0</v>
      </c>
      <c r="T1518">
        <v>1</v>
      </c>
      <c r="U1518">
        <v>1</v>
      </c>
      <c r="V1518">
        <v>0</v>
      </c>
      <c r="W1518" t="s">
        <v>37</v>
      </c>
      <c r="X1518">
        <v>49</v>
      </c>
      <c r="Y1518">
        <v>0</v>
      </c>
      <c r="Z1518">
        <f t="shared" si="138"/>
        <v>50</v>
      </c>
      <c r="AA1518">
        <f t="shared" si="139"/>
        <v>0.52941176470588236</v>
      </c>
      <c r="AB1518">
        <f t="shared" si="140"/>
        <v>0</v>
      </c>
      <c r="AC1518" t="str">
        <f t="shared" si="141"/>
        <v>Low</v>
      </c>
      <c r="AD1518" t="str">
        <f t="shared" si="142"/>
        <v>Upsell premium bundle</v>
      </c>
      <c r="AE1518">
        <f t="shared" si="143"/>
        <v>50</v>
      </c>
    </row>
    <row r="1519" spans="1:31" x14ac:dyDescent="0.35">
      <c r="A1519" t="s">
        <v>1577</v>
      </c>
      <c r="B1519" s="4">
        <v>45039</v>
      </c>
      <c r="C1519" s="4">
        <v>46143</v>
      </c>
      <c r="D1519" t="s">
        <v>32</v>
      </c>
      <c r="E1519">
        <v>68</v>
      </c>
      <c r="F1519" t="s">
        <v>61</v>
      </c>
      <c r="G1519" t="s">
        <v>48</v>
      </c>
      <c r="H1519" t="s">
        <v>41</v>
      </c>
      <c r="I1519" t="s">
        <v>49</v>
      </c>
      <c r="J1519">
        <v>36</v>
      </c>
      <c r="K1519" s="5">
        <v>4042.04</v>
      </c>
      <c r="L1519" s="5">
        <v>274.82</v>
      </c>
      <c r="M1519">
        <v>25</v>
      </c>
      <c r="N1519">
        <v>8</v>
      </c>
      <c r="O1519">
        <v>3</v>
      </c>
      <c r="P1519">
        <v>4</v>
      </c>
      <c r="Q1519">
        <v>20</v>
      </c>
      <c r="R1519">
        <v>2</v>
      </c>
      <c r="S1519">
        <v>0</v>
      </c>
      <c r="T1519">
        <v>1</v>
      </c>
      <c r="U1519">
        <v>1</v>
      </c>
      <c r="V1519">
        <v>0</v>
      </c>
      <c r="W1519" t="s">
        <v>37</v>
      </c>
      <c r="X1519">
        <v>29</v>
      </c>
      <c r="Y1519">
        <v>1</v>
      </c>
      <c r="Z1519">
        <f t="shared" si="138"/>
        <v>68</v>
      </c>
      <c r="AA1519">
        <f t="shared" si="139"/>
        <v>0.68181818181818177</v>
      </c>
      <c r="AB1519">
        <f t="shared" si="140"/>
        <v>29</v>
      </c>
      <c r="AC1519" t="str">
        <f t="shared" si="141"/>
        <v>Low</v>
      </c>
      <c r="AD1519" t="str">
        <f t="shared" si="142"/>
        <v>Upsell premium bundle</v>
      </c>
      <c r="AE1519">
        <f t="shared" si="143"/>
        <v>32</v>
      </c>
    </row>
    <row r="1520" spans="1:31" x14ac:dyDescent="0.35">
      <c r="A1520" t="s">
        <v>1578</v>
      </c>
      <c r="B1520" s="4">
        <v>45004</v>
      </c>
      <c r="C1520" s="4">
        <v>46143</v>
      </c>
      <c r="D1520" t="s">
        <v>47</v>
      </c>
      <c r="E1520">
        <v>38</v>
      </c>
      <c r="F1520" t="s">
        <v>57</v>
      </c>
      <c r="G1520" t="s">
        <v>40</v>
      </c>
      <c r="H1520" t="s">
        <v>41</v>
      </c>
      <c r="I1520" t="s">
        <v>36</v>
      </c>
      <c r="J1520">
        <v>37</v>
      </c>
      <c r="K1520" s="5">
        <v>375.31</v>
      </c>
      <c r="L1520" s="5">
        <v>1304.0899999999999</v>
      </c>
      <c r="M1520">
        <v>33</v>
      </c>
      <c r="N1520">
        <v>12</v>
      </c>
      <c r="O1520">
        <v>5</v>
      </c>
      <c r="P1520">
        <v>3</v>
      </c>
      <c r="Q1520">
        <v>19</v>
      </c>
      <c r="R1520">
        <v>0</v>
      </c>
      <c r="S1520">
        <v>0</v>
      </c>
      <c r="T1520">
        <v>0</v>
      </c>
      <c r="U1520">
        <v>0</v>
      </c>
      <c r="V1520">
        <v>0</v>
      </c>
      <c r="W1520" t="s">
        <v>45</v>
      </c>
      <c r="X1520">
        <v>50</v>
      </c>
      <c r="Y1520">
        <v>0</v>
      </c>
      <c r="Z1520">
        <f t="shared" si="138"/>
        <v>72</v>
      </c>
      <c r="AA1520">
        <f t="shared" si="139"/>
        <v>0.77611940298507465</v>
      </c>
      <c r="AB1520">
        <f t="shared" si="140"/>
        <v>4</v>
      </c>
      <c r="AC1520" t="str">
        <f t="shared" si="141"/>
        <v>Low</v>
      </c>
      <c r="AD1520" t="str">
        <f t="shared" si="142"/>
        <v>Upsell premium bundle</v>
      </c>
      <c r="AE1520">
        <f t="shared" si="143"/>
        <v>28</v>
      </c>
    </row>
    <row r="1521" spans="1:31" x14ac:dyDescent="0.35">
      <c r="A1521" t="s">
        <v>1579</v>
      </c>
      <c r="B1521" s="4">
        <v>45755</v>
      </c>
      <c r="C1521" s="4">
        <v>46143</v>
      </c>
      <c r="D1521" t="s">
        <v>60</v>
      </c>
      <c r="E1521">
        <v>72</v>
      </c>
      <c r="F1521" t="s">
        <v>57</v>
      </c>
      <c r="G1521" t="s">
        <v>85</v>
      </c>
      <c r="H1521" t="s">
        <v>41</v>
      </c>
      <c r="I1521" t="s">
        <v>49</v>
      </c>
      <c r="J1521">
        <v>12</v>
      </c>
      <c r="K1521" s="5">
        <v>515.32000000000005</v>
      </c>
      <c r="L1521" s="5">
        <v>484.76</v>
      </c>
      <c r="M1521">
        <v>20</v>
      </c>
      <c r="N1521">
        <v>12</v>
      </c>
      <c r="O1521">
        <v>3</v>
      </c>
      <c r="P1521">
        <v>0</v>
      </c>
      <c r="Q1521">
        <v>21</v>
      </c>
      <c r="R1521">
        <v>0</v>
      </c>
      <c r="S1521">
        <v>0</v>
      </c>
      <c r="T1521">
        <v>1</v>
      </c>
      <c r="U1521">
        <v>0</v>
      </c>
      <c r="V1521">
        <v>1</v>
      </c>
      <c r="W1521" t="s">
        <v>55</v>
      </c>
      <c r="X1521">
        <v>27</v>
      </c>
      <c r="Y1521">
        <v>1</v>
      </c>
      <c r="Z1521">
        <f t="shared" si="138"/>
        <v>60</v>
      </c>
      <c r="AA1521">
        <f t="shared" si="139"/>
        <v>0.97619047619047616</v>
      </c>
      <c r="AB1521">
        <f t="shared" si="140"/>
        <v>37</v>
      </c>
      <c r="AC1521" t="str">
        <f t="shared" si="141"/>
        <v>Low</v>
      </c>
      <c r="AD1521" t="str">
        <f t="shared" si="142"/>
        <v>Upsell premium bundle</v>
      </c>
      <c r="AE1521">
        <f t="shared" si="143"/>
        <v>40</v>
      </c>
    </row>
    <row r="1522" spans="1:31" x14ac:dyDescent="0.35">
      <c r="A1522" t="s">
        <v>1580</v>
      </c>
      <c r="B1522" s="4">
        <v>45517</v>
      </c>
      <c r="C1522" s="4">
        <v>46143</v>
      </c>
      <c r="D1522" t="s">
        <v>72</v>
      </c>
      <c r="E1522">
        <v>34</v>
      </c>
      <c r="F1522" t="s">
        <v>43</v>
      </c>
      <c r="G1522" t="s">
        <v>85</v>
      </c>
      <c r="H1522" t="s">
        <v>58</v>
      </c>
      <c r="I1522" t="s">
        <v>49</v>
      </c>
      <c r="J1522">
        <v>20</v>
      </c>
      <c r="K1522" s="5">
        <v>175.52</v>
      </c>
      <c r="L1522" s="5">
        <v>26.83</v>
      </c>
      <c r="M1522">
        <v>19</v>
      </c>
      <c r="N1522">
        <v>9</v>
      </c>
      <c r="O1522">
        <v>1</v>
      </c>
      <c r="P1522">
        <v>0</v>
      </c>
      <c r="Q1522">
        <v>17</v>
      </c>
      <c r="R1522">
        <v>0</v>
      </c>
      <c r="S1522">
        <v>1</v>
      </c>
      <c r="T1522">
        <v>0</v>
      </c>
      <c r="U1522">
        <v>0</v>
      </c>
      <c r="V1522">
        <v>0</v>
      </c>
      <c r="W1522" t="s">
        <v>50</v>
      </c>
      <c r="X1522">
        <v>83</v>
      </c>
      <c r="Y1522">
        <v>0</v>
      </c>
      <c r="Z1522">
        <f t="shared" si="138"/>
        <v>44</v>
      </c>
      <c r="AA1522">
        <f t="shared" si="139"/>
        <v>0.72</v>
      </c>
      <c r="AB1522">
        <f t="shared" si="140"/>
        <v>13</v>
      </c>
      <c r="AC1522" t="str">
        <f t="shared" si="141"/>
        <v>Low</v>
      </c>
      <c r="AD1522" t="str">
        <f t="shared" si="142"/>
        <v>Upsell premium bundle</v>
      </c>
      <c r="AE1522">
        <f t="shared" si="143"/>
        <v>56</v>
      </c>
    </row>
    <row r="1523" spans="1:31" x14ac:dyDescent="0.35">
      <c r="A1523" t="s">
        <v>1581</v>
      </c>
      <c r="B1523" s="4">
        <v>45487</v>
      </c>
      <c r="C1523" s="4">
        <v>46143</v>
      </c>
      <c r="D1523" t="s">
        <v>66</v>
      </c>
      <c r="E1523">
        <v>45</v>
      </c>
      <c r="F1523" t="s">
        <v>61</v>
      </c>
      <c r="G1523" t="s">
        <v>85</v>
      </c>
      <c r="H1523" t="s">
        <v>41</v>
      </c>
      <c r="I1523" t="s">
        <v>36</v>
      </c>
      <c r="J1523">
        <v>21</v>
      </c>
      <c r="K1523" s="5">
        <v>538.39</v>
      </c>
      <c r="L1523" s="5">
        <v>2083.2399999999998</v>
      </c>
      <c r="M1523">
        <v>13</v>
      </c>
      <c r="N1523">
        <v>7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 t="s">
        <v>52</v>
      </c>
      <c r="X1523">
        <v>-18</v>
      </c>
      <c r="Y1523">
        <v>1</v>
      </c>
      <c r="Z1523">
        <f t="shared" si="138"/>
        <v>37</v>
      </c>
      <c r="AA1523">
        <f t="shared" si="139"/>
        <v>0.25490196078431371</v>
      </c>
      <c r="AB1523">
        <f t="shared" si="140"/>
        <v>42</v>
      </c>
      <c r="AC1523" t="str">
        <f t="shared" si="141"/>
        <v>Medium</v>
      </c>
      <c r="AD1523" t="str">
        <f t="shared" si="142"/>
        <v>Nudge core feature adoption</v>
      </c>
      <c r="AE1523">
        <f t="shared" si="143"/>
        <v>63</v>
      </c>
    </row>
    <row r="1524" spans="1:31" x14ac:dyDescent="0.35">
      <c r="A1524" t="s">
        <v>1582</v>
      </c>
      <c r="B1524" s="4">
        <v>45574</v>
      </c>
      <c r="C1524" s="4">
        <v>46143</v>
      </c>
      <c r="D1524" t="s">
        <v>60</v>
      </c>
      <c r="E1524">
        <v>48</v>
      </c>
      <c r="F1524" t="s">
        <v>57</v>
      </c>
      <c r="G1524" t="s">
        <v>34</v>
      </c>
      <c r="H1524" t="s">
        <v>41</v>
      </c>
      <c r="I1524" t="s">
        <v>36</v>
      </c>
      <c r="J1524">
        <v>18</v>
      </c>
      <c r="K1524" s="5">
        <v>1400.5</v>
      </c>
      <c r="L1524" s="5">
        <v>11.64</v>
      </c>
      <c r="M1524">
        <v>33</v>
      </c>
      <c r="N1524">
        <v>12</v>
      </c>
      <c r="O1524">
        <v>5</v>
      </c>
      <c r="P1524">
        <v>0</v>
      </c>
      <c r="Q1524">
        <v>21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52</v>
      </c>
      <c r="X1524">
        <v>24</v>
      </c>
      <c r="Y1524">
        <v>0</v>
      </c>
      <c r="Z1524">
        <f t="shared" si="138"/>
        <v>70</v>
      </c>
      <c r="AA1524">
        <f t="shared" si="139"/>
        <v>1.125</v>
      </c>
      <c r="AB1524">
        <f t="shared" si="140"/>
        <v>18</v>
      </c>
      <c r="AC1524" t="str">
        <f t="shared" si="141"/>
        <v>Low</v>
      </c>
      <c r="AD1524" t="str">
        <f t="shared" si="142"/>
        <v>Upsell premium bundle</v>
      </c>
      <c r="AE1524">
        <f t="shared" si="143"/>
        <v>30</v>
      </c>
    </row>
    <row r="1525" spans="1:31" x14ac:dyDescent="0.35">
      <c r="A1525" t="s">
        <v>1583</v>
      </c>
      <c r="B1525" s="4">
        <v>45428</v>
      </c>
      <c r="C1525" s="4">
        <v>46143</v>
      </c>
      <c r="D1525" t="s">
        <v>72</v>
      </c>
      <c r="E1525">
        <v>64</v>
      </c>
      <c r="F1525" t="s">
        <v>33</v>
      </c>
      <c r="G1525" t="s">
        <v>48</v>
      </c>
      <c r="H1525" t="s">
        <v>44</v>
      </c>
      <c r="I1525" t="s">
        <v>36</v>
      </c>
      <c r="J1525">
        <v>23</v>
      </c>
      <c r="K1525" s="5">
        <v>427.29</v>
      </c>
      <c r="L1525" s="5">
        <v>182.99</v>
      </c>
      <c r="M1525">
        <v>49</v>
      </c>
      <c r="N1525">
        <v>22</v>
      </c>
      <c r="O1525">
        <v>4</v>
      </c>
      <c r="P1525">
        <v>0</v>
      </c>
      <c r="Q1525">
        <v>27</v>
      </c>
      <c r="R1525">
        <v>0</v>
      </c>
      <c r="S1525">
        <v>0</v>
      </c>
      <c r="T1525">
        <v>0</v>
      </c>
      <c r="U1525">
        <v>0</v>
      </c>
      <c r="V1525">
        <v>0</v>
      </c>
      <c r="W1525" t="s">
        <v>52</v>
      </c>
      <c r="X1525">
        <v>38</v>
      </c>
      <c r="Y1525">
        <v>0</v>
      </c>
      <c r="Z1525">
        <f t="shared" si="138"/>
        <v>98</v>
      </c>
      <c r="AA1525">
        <f t="shared" si="139"/>
        <v>1.4339622641509433</v>
      </c>
      <c r="AB1525">
        <f t="shared" si="140"/>
        <v>0</v>
      </c>
      <c r="AC1525" t="str">
        <f t="shared" si="141"/>
        <v>Low</v>
      </c>
      <c r="AD1525" t="str">
        <f t="shared" si="142"/>
        <v>Upsell premium bundle</v>
      </c>
      <c r="AE1525">
        <f t="shared" si="143"/>
        <v>2</v>
      </c>
    </row>
    <row r="1526" spans="1:31" x14ac:dyDescent="0.35">
      <c r="A1526" t="s">
        <v>1584</v>
      </c>
      <c r="B1526" s="4">
        <v>45886</v>
      </c>
      <c r="C1526" s="4">
        <v>46143</v>
      </c>
      <c r="D1526" t="s">
        <v>32</v>
      </c>
      <c r="E1526">
        <v>66</v>
      </c>
      <c r="F1526" t="s">
        <v>57</v>
      </c>
      <c r="G1526" t="s">
        <v>85</v>
      </c>
      <c r="H1526" t="s">
        <v>41</v>
      </c>
      <c r="I1526" t="s">
        <v>36</v>
      </c>
      <c r="J1526">
        <v>8</v>
      </c>
      <c r="K1526" s="5">
        <v>729.23</v>
      </c>
      <c r="L1526" s="5">
        <v>0</v>
      </c>
      <c r="M1526">
        <v>9</v>
      </c>
      <c r="N1526">
        <v>3</v>
      </c>
      <c r="O1526">
        <v>2</v>
      </c>
      <c r="P1526">
        <v>0</v>
      </c>
      <c r="Q1526">
        <v>1</v>
      </c>
      <c r="R1526">
        <v>3</v>
      </c>
      <c r="S1526">
        <v>0</v>
      </c>
      <c r="T1526">
        <v>0</v>
      </c>
      <c r="U1526">
        <v>0</v>
      </c>
      <c r="V1526">
        <v>0</v>
      </c>
      <c r="W1526" t="s">
        <v>37</v>
      </c>
      <c r="X1526">
        <v>-4</v>
      </c>
      <c r="Y1526">
        <v>1</v>
      </c>
      <c r="Z1526">
        <f t="shared" si="138"/>
        <v>15</v>
      </c>
      <c r="AA1526">
        <f t="shared" si="139"/>
        <v>0.26315789473684209</v>
      </c>
      <c r="AB1526">
        <f t="shared" si="140"/>
        <v>50</v>
      </c>
      <c r="AC1526" t="str">
        <f t="shared" si="141"/>
        <v>Medium</v>
      </c>
      <c r="AD1526" t="str">
        <f t="shared" si="142"/>
        <v>Nudge core feature adoption</v>
      </c>
      <c r="AE1526">
        <f t="shared" si="143"/>
        <v>85</v>
      </c>
    </row>
    <row r="1527" spans="1:31" x14ac:dyDescent="0.35">
      <c r="A1527" t="s">
        <v>1585</v>
      </c>
      <c r="B1527" s="4">
        <v>44924</v>
      </c>
      <c r="C1527" s="4">
        <v>46143</v>
      </c>
      <c r="D1527" t="s">
        <v>60</v>
      </c>
      <c r="E1527">
        <v>54</v>
      </c>
      <c r="F1527" t="s">
        <v>57</v>
      </c>
      <c r="G1527" t="s">
        <v>48</v>
      </c>
      <c r="H1527" t="s">
        <v>58</v>
      </c>
      <c r="I1527" t="s">
        <v>36</v>
      </c>
      <c r="J1527">
        <v>40</v>
      </c>
      <c r="K1527" s="5">
        <v>1472.18</v>
      </c>
      <c r="L1527" s="5">
        <v>0</v>
      </c>
      <c r="M1527">
        <v>44</v>
      </c>
      <c r="N1527">
        <v>27</v>
      </c>
      <c r="O1527">
        <v>4</v>
      </c>
      <c r="P1527">
        <v>2</v>
      </c>
      <c r="Q1527">
        <v>41</v>
      </c>
      <c r="R1527">
        <v>2</v>
      </c>
      <c r="S1527">
        <v>0</v>
      </c>
      <c r="T1527">
        <v>0</v>
      </c>
      <c r="U1527">
        <v>0</v>
      </c>
      <c r="V1527">
        <v>0</v>
      </c>
      <c r="W1527" t="s">
        <v>37</v>
      </c>
      <c r="X1527">
        <v>50</v>
      </c>
      <c r="Y1527">
        <v>1</v>
      </c>
      <c r="Z1527">
        <f t="shared" si="138"/>
        <v>100</v>
      </c>
      <c r="AA1527">
        <f t="shared" si="139"/>
        <v>1.2142857142857142</v>
      </c>
      <c r="AB1527">
        <f t="shared" si="140"/>
        <v>0</v>
      </c>
      <c r="AC1527" t="str">
        <f t="shared" si="141"/>
        <v>Low</v>
      </c>
      <c r="AD1527" t="str">
        <f t="shared" si="142"/>
        <v>Upsell premium bundle</v>
      </c>
      <c r="AE1527">
        <f t="shared" si="143"/>
        <v>0</v>
      </c>
    </row>
    <row r="1528" spans="1:31" x14ac:dyDescent="0.35">
      <c r="A1528" t="s">
        <v>1586</v>
      </c>
      <c r="B1528" s="4">
        <v>45891</v>
      </c>
      <c r="C1528" s="4">
        <v>46143</v>
      </c>
      <c r="D1528" t="s">
        <v>32</v>
      </c>
      <c r="E1528">
        <v>63</v>
      </c>
      <c r="F1528" t="s">
        <v>77</v>
      </c>
      <c r="G1528" t="s">
        <v>48</v>
      </c>
      <c r="H1528" t="s">
        <v>44</v>
      </c>
      <c r="I1528" t="s">
        <v>36</v>
      </c>
      <c r="J1528">
        <v>8</v>
      </c>
      <c r="K1528" s="5">
        <v>0</v>
      </c>
      <c r="L1528" s="5">
        <v>6571.1</v>
      </c>
      <c r="M1528">
        <v>30</v>
      </c>
      <c r="N1528">
        <v>18</v>
      </c>
      <c r="O1528">
        <v>6</v>
      </c>
      <c r="P1528">
        <v>4</v>
      </c>
      <c r="Q1528">
        <v>33</v>
      </c>
      <c r="R1528">
        <v>0</v>
      </c>
      <c r="S1528">
        <v>0</v>
      </c>
      <c r="T1528">
        <v>1</v>
      </c>
      <c r="U1528">
        <v>1</v>
      </c>
      <c r="V1528">
        <v>0</v>
      </c>
      <c r="W1528" t="s">
        <v>52</v>
      </c>
      <c r="X1528">
        <v>-38</v>
      </c>
      <c r="Y1528">
        <v>1</v>
      </c>
      <c r="Z1528">
        <f t="shared" si="138"/>
        <v>96</v>
      </c>
      <c r="AA1528">
        <f t="shared" si="139"/>
        <v>1.6578947368421053</v>
      </c>
      <c r="AB1528">
        <f t="shared" si="140"/>
        <v>19</v>
      </c>
      <c r="AC1528" t="str">
        <f t="shared" si="141"/>
        <v>Low</v>
      </c>
      <c r="AD1528" t="str">
        <f t="shared" si="142"/>
        <v>Upsell premium bundle</v>
      </c>
      <c r="AE1528">
        <f t="shared" si="143"/>
        <v>4</v>
      </c>
    </row>
    <row r="1529" spans="1:31" x14ac:dyDescent="0.35">
      <c r="A1529" t="s">
        <v>1587</v>
      </c>
      <c r="B1529" s="4">
        <v>44739</v>
      </c>
      <c r="C1529" s="4">
        <v>46143</v>
      </c>
      <c r="D1529" t="s">
        <v>32</v>
      </c>
      <c r="E1529">
        <v>55</v>
      </c>
      <c r="F1529" t="s">
        <v>33</v>
      </c>
      <c r="G1529" t="s">
        <v>85</v>
      </c>
      <c r="H1529" t="s">
        <v>44</v>
      </c>
      <c r="I1529" t="s">
        <v>36</v>
      </c>
      <c r="J1529">
        <v>46</v>
      </c>
      <c r="K1529" s="5">
        <v>269.08</v>
      </c>
      <c r="L1529" s="5">
        <v>416.6</v>
      </c>
      <c r="M1529">
        <v>27</v>
      </c>
      <c r="N1529">
        <v>17</v>
      </c>
      <c r="O1529">
        <v>2</v>
      </c>
      <c r="P1529">
        <v>1</v>
      </c>
      <c r="Q1529">
        <v>16</v>
      </c>
      <c r="R1529">
        <v>1</v>
      </c>
      <c r="S1529">
        <v>2</v>
      </c>
      <c r="T1529">
        <v>1</v>
      </c>
      <c r="U1529">
        <v>0</v>
      </c>
      <c r="V1529">
        <v>0</v>
      </c>
      <c r="W1529" t="s">
        <v>52</v>
      </c>
      <c r="X1529">
        <v>26</v>
      </c>
      <c r="Y1529">
        <v>1</v>
      </c>
      <c r="Z1529">
        <f t="shared" si="138"/>
        <v>60</v>
      </c>
      <c r="AA1529">
        <f t="shared" si="139"/>
        <v>0.56578947368421051</v>
      </c>
      <c r="AB1529">
        <f t="shared" si="140"/>
        <v>26</v>
      </c>
      <c r="AC1529" t="str">
        <f t="shared" si="141"/>
        <v>Low</v>
      </c>
      <c r="AD1529" t="str">
        <f t="shared" si="142"/>
        <v>Upsell premium bundle</v>
      </c>
      <c r="AE1529">
        <f t="shared" si="143"/>
        <v>40</v>
      </c>
    </row>
    <row r="1530" spans="1:31" x14ac:dyDescent="0.35">
      <c r="A1530" t="s">
        <v>1588</v>
      </c>
      <c r="B1530" s="4">
        <v>45937</v>
      </c>
      <c r="C1530" s="4">
        <v>46143</v>
      </c>
      <c r="D1530" t="s">
        <v>66</v>
      </c>
      <c r="E1530">
        <v>22</v>
      </c>
      <c r="F1530" t="s">
        <v>33</v>
      </c>
      <c r="G1530" t="s">
        <v>34</v>
      </c>
      <c r="H1530" t="s">
        <v>44</v>
      </c>
      <c r="I1530" t="s">
        <v>36</v>
      </c>
      <c r="J1530">
        <v>6</v>
      </c>
      <c r="K1530" s="5">
        <v>278.10000000000002</v>
      </c>
      <c r="L1530" s="5">
        <v>198.81</v>
      </c>
      <c r="M1530">
        <v>31</v>
      </c>
      <c r="N1530">
        <v>8</v>
      </c>
      <c r="O1530">
        <v>1</v>
      </c>
      <c r="P1530">
        <v>5</v>
      </c>
      <c r="Q1530">
        <v>18</v>
      </c>
      <c r="R1530">
        <v>2</v>
      </c>
      <c r="S1530">
        <v>2</v>
      </c>
      <c r="T1530">
        <v>0</v>
      </c>
      <c r="U1530">
        <v>0</v>
      </c>
      <c r="V1530">
        <v>1</v>
      </c>
      <c r="W1530" t="s">
        <v>52</v>
      </c>
      <c r="X1530">
        <v>22</v>
      </c>
      <c r="Y1530">
        <v>1</v>
      </c>
      <c r="Z1530">
        <f t="shared" si="138"/>
        <v>71</v>
      </c>
      <c r="AA1530">
        <f t="shared" si="139"/>
        <v>1.3611111111111112</v>
      </c>
      <c r="AB1530">
        <f t="shared" si="140"/>
        <v>22</v>
      </c>
      <c r="AC1530" t="str">
        <f t="shared" si="141"/>
        <v>Low</v>
      </c>
      <c r="AD1530" t="str">
        <f t="shared" si="142"/>
        <v>Upsell premium bundle</v>
      </c>
      <c r="AE1530">
        <f t="shared" si="143"/>
        <v>29</v>
      </c>
    </row>
    <row r="1531" spans="1:31" x14ac:dyDescent="0.35">
      <c r="A1531" t="s">
        <v>1589</v>
      </c>
      <c r="B1531" s="4">
        <v>45914</v>
      </c>
      <c r="C1531" s="4">
        <v>46143</v>
      </c>
      <c r="D1531" t="s">
        <v>66</v>
      </c>
      <c r="E1531">
        <v>40</v>
      </c>
      <c r="F1531" t="s">
        <v>77</v>
      </c>
      <c r="G1531" t="s">
        <v>67</v>
      </c>
      <c r="H1531" t="s">
        <v>41</v>
      </c>
      <c r="I1531" t="s">
        <v>36</v>
      </c>
      <c r="J1531">
        <v>7</v>
      </c>
      <c r="K1531" s="5">
        <v>1138.55</v>
      </c>
      <c r="L1531" s="5">
        <v>7580.16</v>
      </c>
      <c r="M1531">
        <v>30</v>
      </c>
      <c r="N1531">
        <v>14</v>
      </c>
      <c r="O1531">
        <v>2</v>
      </c>
      <c r="P1531">
        <v>4</v>
      </c>
      <c r="Q1531">
        <v>9</v>
      </c>
      <c r="R1531">
        <v>2</v>
      </c>
      <c r="S1531">
        <v>0</v>
      </c>
      <c r="T1531">
        <v>0</v>
      </c>
      <c r="U1531">
        <v>0</v>
      </c>
      <c r="V1531">
        <v>0</v>
      </c>
      <c r="W1531" t="s">
        <v>37</v>
      </c>
      <c r="X1531">
        <v>24</v>
      </c>
      <c r="Y1531">
        <v>0</v>
      </c>
      <c r="Z1531">
        <f t="shared" si="138"/>
        <v>59</v>
      </c>
      <c r="AA1531">
        <f t="shared" si="139"/>
        <v>1.0540540540540539</v>
      </c>
      <c r="AB1531">
        <f t="shared" si="140"/>
        <v>9</v>
      </c>
      <c r="AC1531" t="str">
        <f t="shared" si="141"/>
        <v>Low</v>
      </c>
      <c r="AD1531" t="str">
        <f t="shared" si="142"/>
        <v>Upsell premium bundle</v>
      </c>
      <c r="AE1531">
        <f t="shared" si="143"/>
        <v>41</v>
      </c>
    </row>
    <row r="1532" spans="1:31" x14ac:dyDescent="0.35">
      <c r="A1532" t="s">
        <v>1590</v>
      </c>
      <c r="B1532" s="4">
        <v>45442</v>
      </c>
      <c r="C1532" s="4">
        <v>46143</v>
      </c>
      <c r="D1532" t="s">
        <v>32</v>
      </c>
      <c r="E1532">
        <v>20</v>
      </c>
      <c r="F1532" t="s">
        <v>33</v>
      </c>
      <c r="G1532" t="s">
        <v>67</v>
      </c>
      <c r="H1532" t="s">
        <v>41</v>
      </c>
      <c r="I1532" t="s">
        <v>36</v>
      </c>
      <c r="J1532">
        <v>23</v>
      </c>
      <c r="K1532" s="5">
        <v>458</v>
      </c>
      <c r="L1532" s="5">
        <v>97.22</v>
      </c>
      <c r="M1532">
        <v>29</v>
      </c>
      <c r="N1532">
        <v>19</v>
      </c>
      <c r="O1532">
        <v>6</v>
      </c>
      <c r="P1532">
        <v>2</v>
      </c>
      <c r="Q1532">
        <v>23</v>
      </c>
      <c r="R1532">
        <v>2</v>
      </c>
      <c r="S1532">
        <v>0</v>
      </c>
      <c r="T1532">
        <v>1</v>
      </c>
      <c r="U1532">
        <v>1</v>
      </c>
      <c r="V1532">
        <v>1</v>
      </c>
      <c r="W1532" t="s">
        <v>50</v>
      </c>
      <c r="X1532">
        <v>6</v>
      </c>
      <c r="Y1532">
        <v>0</v>
      </c>
      <c r="Z1532">
        <f t="shared" si="138"/>
        <v>91</v>
      </c>
      <c r="AA1532">
        <f t="shared" si="139"/>
        <v>0.98113207547169812</v>
      </c>
      <c r="AB1532">
        <f t="shared" si="140"/>
        <v>16</v>
      </c>
      <c r="AC1532" t="str">
        <f t="shared" si="141"/>
        <v>Low</v>
      </c>
      <c r="AD1532" t="str">
        <f t="shared" si="142"/>
        <v>Upsell premium bundle</v>
      </c>
      <c r="AE1532">
        <f t="shared" si="143"/>
        <v>9</v>
      </c>
    </row>
    <row r="1533" spans="1:31" x14ac:dyDescent="0.35">
      <c r="A1533" t="s">
        <v>1591</v>
      </c>
      <c r="B1533" s="4">
        <v>44732</v>
      </c>
      <c r="C1533" s="4">
        <v>46143</v>
      </c>
      <c r="D1533" t="s">
        <v>60</v>
      </c>
      <c r="E1533">
        <v>59</v>
      </c>
      <c r="F1533" t="s">
        <v>57</v>
      </c>
      <c r="G1533" t="s">
        <v>67</v>
      </c>
      <c r="H1533" t="s">
        <v>41</v>
      </c>
      <c r="I1533" t="s">
        <v>36</v>
      </c>
      <c r="J1533">
        <v>47</v>
      </c>
      <c r="K1533" s="5">
        <v>1360.72</v>
      </c>
      <c r="L1533" s="5">
        <v>1183.32</v>
      </c>
      <c r="M1533">
        <v>23</v>
      </c>
      <c r="N1533">
        <v>12</v>
      </c>
      <c r="O1533">
        <v>4</v>
      </c>
      <c r="P1533">
        <v>0</v>
      </c>
      <c r="Q1533">
        <v>25</v>
      </c>
      <c r="R1533">
        <v>0</v>
      </c>
      <c r="S1533">
        <v>0</v>
      </c>
      <c r="T1533">
        <v>1</v>
      </c>
      <c r="U1533">
        <v>1</v>
      </c>
      <c r="V1533">
        <v>0</v>
      </c>
      <c r="W1533" t="s">
        <v>55</v>
      </c>
      <c r="X1533">
        <v>-1</v>
      </c>
      <c r="Y1533">
        <v>0</v>
      </c>
      <c r="Z1533">
        <f t="shared" si="138"/>
        <v>69</v>
      </c>
      <c r="AA1533">
        <f t="shared" si="139"/>
        <v>0.62337662337662336</v>
      </c>
      <c r="AB1533">
        <f t="shared" si="140"/>
        <v>31</v>
      </c>
      <c r="AC1533" t="str">
        <f t="shared" si="141"/>
        <v>Low</v>
      </c>
      <c r="AD1533" t="str">
        <f t="shared" si="142"/>
        <v>Upsell premium bundle</v>
      </c>
      <c r="AE1533">
        <f t="shared" si="143"/>
        <v>31</v>
      </c>
    </row>
    <row r="1534" spans="1:31" x14ac:dyDescent="0.35">
      <c r="A1534" t="s">
        <v>1592</v>
      </c>
      <c r="B1534" s="4">
        <v>45130</v>
      </c>
      <c r="C1534" s="4">
        <v>46143</v>
      </c>
      <c r="D1534" t="s">
        <v>60</v>
      </c>
      <c r="E1534">
        <v>67</v>
      </c>
      <c r="F1534" t="s">
        <v>43</v>
      </c>
      <c r="G1534" t="s">
        <v>67</v>
      </c>
      <c r="H1534" t="s">
        <v>58</v>
      </c>
      <c r="I1534" t="s">
        <v>36</v>
      </c>
      <c r="J1534">
        <v>33</v>
      </c>
      <c r="K1534" s="5">
        <v>125.05</v>
      </c>
      <c r="L1534" s="5">
        <v>155.1</v>
      </c>
      <c r="M1534">
        <v>34</v>
      </c>
      <c r="N1534">
        <v>21</v>
      </c>
      <c r="O1534">
        <v>3</v>
      </c>
      <c r="P1534">
        <v>7</v>
      </c>
      <c r="Q1534">
        <v>31</v>
      </c>
      <c r="R1534">
        <v>2</v>
      </c>
      <c r="S1534">
        <v>1</v>
      </c>
      <c r="T1534">
        <v>1</v>
      </c>
      <c r="U1534">
        <v>1</v>
      </c>
      <c r="V1534">
        <v>0</v>
      </c>
      <c r="W1534" t="s">
        <v>52</v>
      </c>
      <c r="X1534">
        <v>46</v>
      </c>
      <c r="Y1534">
        <v>0</v>
      </c>
      <c r="Z1534">
        <f t="shared" si="138"/>
        <v>100</v>
      </c>
      <c r="AA1534">
        <f t="shared" si="139"/>
        <v>1.0317460317460319</v>
      </c>
      <c r="AB1534">
        <f t="shared" si="140"/>
        <v>0</v>
      </c>
      <c r="AC1534" t="str">
        <f t="shared" si="141"/>
        <v>Low</v>
      </c>
      <c r="AD1534" t="str">
        <f t="shared" si="142"/>
        <v>Upsell premium bundle</v>
      </c>
      <c r="AE1534">
        <f t="shared" si="143"/>
        <v>0</v>
      </c>
    </row>
    <row r="1535" spans="1:31" x14ac:dyDescent="0.35">
      <c r="A1535" t="s">
        <v>1593</v>
      </c>
      <c r="B1535" s="4">
        <v>45548</v>
      </c>
      <c r="C1535" s="4">
        <v>46143</v>
      </c>
      <c r="D1535" t="s">
        <v>60</v>
      </c>
      <c r="E1535">
        <v>45</v>
      </c>
      <c r="F1535" t="s">
        <v>43</v>
      </c>
      <c r="G1535" t="s">
        <v>40</v>
      </c>
      <c r="H1535" t="s">
        <v>41</v>
      </c>
      <c r="I1535" t="s">
        <v>36</v>
      </c>
      <c r="J1535">
        <v>19</v>
      </c>
      <c r="K1535" s="5">
        <v>68.709999999999994</v>
      </c>
      <c r="L1535" s="5">
        <v>77.33</v>
      </c>
      <c r="M1535">
        <v>26</v>
      </c>
      <c r="N1535">
        <v>17</v>
      </c>
      <c r="O1535">
        <v>6</v>
      </c>
      <c r="P1535">
        <v>2</v>
      </c>
      <c r="Q1535">
        <v>16</v>
      </c>
      <c r="R1535">
        <v>0</v>
      </c>
      <c r="S1535">
        <v>1</v>
      </c>
      <c r="T1535">
        <v>1</v>
      </c>
      <c r="U1535">
        <v>1</v>
      </c>
      <c r="V1535">
        <v>0</v>
      </c>
      <c r="W1535" t="s">
        <v>45</v>
      </c>
      <c r="X1535">
        <v>14</v>
      </c>
      <c r="Y1535">
        <v>1</v>
      </c>
      <c r="Z1535">
        <f t="shared" si="138"/>
        <v>73</v>
      </c>
      <c r="AA1535">
        <f t="shared" si="139"/>
        <v>0.8571428571428571</v>
      </c>
      <c r="AB1535">
        <f t="shared" si="140"/>
        <v>30</v>
      </c>
      <c r="AC1535" t="str">
        <f t="shared" si="141"/>
        <v>Low</v>
      </c>
      <c r="AD1535" t="str">
        <f t="shared" si="142"/>
        <v>Upsell premium bundle</v>
      </c>
      <c r="AE1535">
        <f t="shared" si="143"/>
        <v>27</v>
      </c>
    </row>
    <row r="1536" spans="1:31" x14ac:dyDescent="0.35">
      <c r="A1536" t="s">
        <v>1594</v>
      </c>
      <c r="B1536" s="4">
        <v>44720</v>
      </c>
      <c r="C1536" s="4">
        <v>46143</v>
      </c>
      <c r="D1536" t="s">
        <v>39</v>
      </c>
      <c r="E1536">
        <v>45</v>
      </c>
      <c r="F1536" t="s">
        <v>43</v>
      </c>
      <c r="G1536" t="s">
        <v>63</v>
      </c>
      <c r="H1536" t="s">
        <v>58</v>
      </c>
      <c r="I1536" t="s">
        <v>36</v>
      </c>
      <c r="J1536">
        <v>47</v>
      </c>
      <c r="K1536" s="5">
        <v>109.03</v>
      </c>
      <c r="L1536" s="5">
        <v>11.14</v>
      </c>
      <c r="M1536">
        <v>17</v>
      </c>
      <c r="N1536">
        <v>4</v>
      </c>
      <c r="O1536">
        <v>1</v>
      </c>
      <c r="P1536">
        <v>0</v>
      </c>
      <c r="Q1536">
        <v>19</v>
      </c>
      <c r="R1536">
        <v>2</v>
      </c>
      <c r="S1536">
        <v>0</v>
      </c>
      <c r="T1536">
        <v>0</v>
      </c>
      <c r="U1536">
        <v>0</v>
      </c>
      <c r="V1536">
        <v>1</v>
      </c>
      <c r="W1536" t="s">
        <v>52</v>
      </c>
      <c r="X1536">
        <v>11</v>
      </c>
      <c r="Y1536">
        <v>0</v>
      </c>
      <c r="Z1536">
        <f t="shared" si="138"/>
        <v>47</v>
      </c>
      <c r="AA1536">
        <f t="shared" si="139"/>
        <v>0.46753246753246752</v>
      </c>
      <c r="AB1536">
        <f t="shared" si="140"/>
        <v>21</v>
      </c>
      <c r="AC1536" t="str">
        <f t="shared" si="141"/>
        <v>Low</v>
      </c>
      <c r="AD1536" t="str">
        <f t="shared" si="142"/>
        <v>Upsell premium bundle</v>
      </c>
      <c r="AE1536">
        <f t="shared" si="143"/>
        <v>53</v>
      </c>
    </row>
    <row r="1537" spans="1:31" x14ac:dyDescent="0.35">
      <c r="A1537" t="s">
        <v>1595</v>
      </c>
      <c r="B1537" s="4">
        <v>44923</v>
      </c>
      <c r="C1537" s="4">
        <v>46143</v>
      </c>
      <c r="D1537" t="s">
        <v>32</v>
      </c>
      <c r="E1537">
        <v>38</v>
      </c>
      <c r="F1537" t="s">
        <v>33</v>
      </c>
      <c r="G1537" t="s">
        <v>85</v>
      </c>
      <c r="H1537" t="s">
        <v>58</v>
      </c>
      <c r="I1537" t="s">
        <v>36</v>
      </c>
      <c r="J1537">
        <v>40</v>
      </c>
      <c r="K1537" s="5">
        <v>226.36</v>
      </c>
      <c r="L1537" s="5">
        <v>368.03</v>
      </c>
      <c r="M1537">
        <v>24</v>
      </c>
      <c r="N1537">
        <v>9</v>
      </c>
      <c r="O1537">
        <v>6</v>
      </c>
      <c r="P1537">
        <v>1</v>
      </c>
      <c r="Q1537">
        <v>24</v>
      </c>
      <c r="R1537">
        <v>0</v>
      </c>
      <c r="S1537">
        <v>1</v>
      </c>
      <c r="T1537">
        <v>1</v>
      </c>
      <c r="U1537">
        <v>0</v>
      </c>
      <c r="V1537">
        <v>1</v>
      </c>
      <c r="W1537" t="s">
        <v>55</v>
      </c>
      <c r="X1537">
        <v>10</v>
      </c>
      <c r="Y1537">
        <v>1</v>
      </c>
      <c r="Z1537">
        <f t="shared" si="138"/>
        <v>70</v>
      </c>
      <c r="AA1537">
        <f t="shared" si="139"/>
        <v>0.68571428571428572</v>
      </c>
      <c r="AB1537">
        <f t="shared" si="140"/>
        <v>23</v>
      </c>
      <c r="AC1537" t="str">
        <f t="shared" si="141"/>
        <v>Low</v>
      </c>
      <c r="AD1537" t="str">
        <f t="shared" si="142"/>
        <v>Upsell premium bundle</v>
      </c>
      <c r="AE1537">
        <f t="shared" si="143"/>
        <v>30</v>
      </c>
    </row>
    <row r="1538" spans="1:31" x14ac:dyDescent="0.35">
      <c r="A1538" t="s">
        <v>1596</v>
      </c>
      <c r="B1538" s="4">
        <v>45147</v>
      </c>
      <c r="C1538" s="4">
        <v>46143</v>
      </c>
      <c r="D1538" t="s">
        <v>72</v>
      </c>
      <c r="E1538">
        <v>49</v>
      </c>
      <c r="F1538" t="s">
        <v>33</v>
      </c>
      <c r="G1538" t="s">
        <v>63</v>
      </c>
      <c r="H1538" t="s">
        <v>41</v>
      </c>
      <c r="I1538" t="s">
        <v>49</v>
      </c>
      <c r="J1538">
        <v>33</v>
      </c>
      <c r="K1538" s="5">
        <v>0</v>
      </c>
      <c r="L1538" s="5">
        <v>515.52</v>
      </c>
      <c r="M1538">
        <v>26</v>
      </c>
      <c r="N1538">
        <v>10</v>
      </c>
      <c r="O1538">
        <v>4</v>
      </c>
      <c r="P1538">
        <v>4</v>
      </c>
      <c r="Q1538">
        <v>17</v>
      </c>
      <c r="R1538">
        <v>4</v>
      </c>
      <c r="S1538">
        <v>1</v>
      </c>
      <c r="T1538">
        <v>0</v>
      </c>
      <c r="U1538">
        <v>1</v>
      </c>
      <c r="V1538">
        <v>0</v>
      </c>
      <c r="W1538" t="s">
        <v>52</v>
      </c>
      <c r="X1538">
        <v>-68</v>
      </c>
      <c r="Y1538">
        <v>1</v>
      </c>
      <c r="Z1538">
        <f t="shared" ref="Z1538:Z1601" si="144">MIN(100,ROUND((M1538*1.1+N1538*0.7+O1538*1.2+P1538*1.4+Q1538*0.9+U1538*8+V1538*7),0))</f>
        <v>69</v>
      </c>
      <c r="AA1538">
        <f t="shared" ref="AA1538:AA1601" si="145">IFERROR((M1538+Q1538)/(30+J1538),0)</f>
        <v>0.68253968253968256</v>
      </c>
      <c r="AB1538">
        <f t="shared" ref="AB1538:AB1601" si="146">ROUND(MIN(100,MAX(0,60-Z1538*0.4-R1538*1.5+S1538*8-IF(L1538&gt;1500,10,0)-X1538*0.5+IF(I1538="Completed",-8,8)+IF(H1538="Free",6,-4))),0)</f>
        <v>82</v>
      </c>
      <c r="AC1538" t="str">
        <f t="shared" ref="AC1538:AC1601" si="147">IF(AB1538&gt;=70,"High",IF(AB1538&gt;=40,"Medium","Low"))</f>
        <v>High</v>
      </c>
      <c r="AD1538" t="str">
        <f t="shared" ref="AD1538:AD1601" si="148">IF(AC1538="High",IF(Q1538&lt;5,"Re-engage with app usage offer",IF(K1538&lt;100,"Deposit incentive","Retention call")),IF(AC1538="Medium","Nudge core feature adoption","Upsell premium bundle"))</f>
        <v>Deposit incentive</v>
      </c>
      <c r="AE1538">
        <f t="shared" ref="AE1538:AE1601" si="149">100-Z1538</f>
        <v>31</v>
      </c>
    </row>
    <row r="1539" spans="1:31" x14ac:dyDescent="0.35">
      <c r="A1539" t="s">
        <v>1597</v>
      </c>
      <c r="B1539" s="4">
        <v>46092</v>
      </c>
      <c r="C1539" s="4">
        <v>46143</v>
      </c>
      <c r="D1539" t="s">
        <v>72</v>
      </c>
      <c r="E1539">
        <v>42</v>
      </c>
      <c r="F1539" t="s">
        <v>43</v>
      </c>
      <c r="G1539" t="s">
        <v>40</v>
      </c>
      <c r="H1539" t="s">
        <v>44</v>
      </c>
      <c r="I1539" t="s">
        <v>36</v>
      </c>
      <c r="J1539">
        <v>1</v>
      </c>
      <c r="K1539" s="5">
        <v>80.099999999999994</v>
      </c>
      <c r="L1539" s="5">
        <v>27.74</v>
      </c>
      <c r="M1539">
        <v>29</v>
      </c>
      <c r="N1539">
        <v>19</v>
      </c>
      <c r="O1539">
        <v>4</v>
      </c>
      <c r="P1539">
        <v>4</v>
      </c>
      <c r="Q1539">
        <v>7</v>
      </c>
      <c r="R1539">
        <v>0</v>
      </c>
      <c r="S1539">
        <v>0</v>
      </c>
      <c r="T1539">
        <v>1</v>
      </c>
      <c r="U1539">
        <v>1</v>
      </c>
      <c r="V1539">
        <v>0</v>
      </c>
      <c r="W1539" t="s">
        <v>55</v>
      </c>
      <c r="X1539">
        <v>6</v>
      </c>
      <c r="Y1539">
        <v>0</v>
      </c>
      <c r="Z1539">
        <f t="shared" si="144"/>
        <v>70</v>
      </c>
      <c r="AA1539">
        <f t="shared" si="145"/>
        <v>1.1612903225806452</v>
      </c>
      <c r="AB1539">
        <f t="shared" si="146"/>
        <v>17</v>
      </c>
      <c r="AC1539" t="str">
        <f t="shared" si="147"/>
        <v>Low</v>
      </c>
      <c r="AD1539" t="str">
        <f t="shared" si="148"/>
        <v>Upsell premium bundle</v>
      </c>
      <c r="AE1539">
        <f t="shared" si="149"/>
        <v>30</v>
      </c>
    </row>
    <row r="1540" spans="1:31" x14ac:dyDescent="0.35">
      <c r="A1540" t="s">
        <v>1598</v>
      </c>
      <c r="B1540" s="4">
        <v>46122</v>
      </c>
      <c r="C1540" s="4">
        <v>46143</v>
      </c>
      <c r="D1540" t="s">
        <v>47</v>
      </c>
      <c r="E1540">
        <v>40</v>
      </c>
      <c r="F1540" t="s">
        <v>33</v>
      </c>
      <c r="G1540" t="s">
        <v>85</v>
      </c>
      <c r="H1540" t="s">
        <v>41</v>
      </c>
      <c r="I1540" t="s">
        <v>36</v>
      </c>
      <c r="J1540">
        <v>1</v>
      </c>
      <c r="K1540" s="5">
        <v>183.04</v>
      </c>
      <c r="L1540" s="5">
        <v>245.75</v>
      </c>
      <c r="M1540">
        <v>19</v>
      </c>
      <c r="N1540">
        <v>9</v>
      </c>
      <c r="O1540">
        <v>1</v>
      </c>
      <c r="P1540">
        <v>1</v>
      </c>
      <c r="Q1540">
        <v>14</v>
      </c>
      <c r="R1540">
        <v>0</v>
      </c>
      <c r="S1540">
        <v>2</v>
      </c>
      <c r="T1540">
        <v>1</v>
      </c>
      <c r="U1540">
        <v>1</v>
      </c>
      <c r="V1540">
        <v>1</v>
      </c>
      <c r="W1540" t="s">
        <v>50</v>
      </c>
      <c r="X1540">
        <v>14</v>
      </c>
      <c r="Y1540">
        <v>1</v>
      </c>
      <c r="Z1540">
        <f t="shared" si="144"/>
        <v>57</v>
      </c>
      <c r="AA1540">
        <f t="shared" si="145"/>
        <v>1.064516129032258</v>
      </c>
      <c r="AB1540">
        <f t="shared" si="146"/>
        <v>44</v>
      </c>
      <c r="AC1540" t="str">
        <f t="shared" si="147"/>
        <v>Medium</v>
      </c>
      <c r="AD1540" t="str">
        <f t="shared" si="148"/>
        <v>Nudge core feature adoption</v>
      </c>
      <c r="AE1540">
        <f t="shared" si="149"/>
        <v>43</v>
      </c>
    </row>
    <row r="1541" spans="1:31" x14ac:dyDescent="0.35">
      <c r="A1541" t="s">
        <v>1599</v>
      </c>
      <c r="B1541" s="4">
        <v>45776</v>
      </c>
      <c r="C1541" s="4">
        <v>46143</v>
      </c>
      <c r="D1541" t="s">
        <v>39</v>
      </c>
      <c r="E1541">
        <v>30</v>
      </c>
      <c r="F1541" t="s">
        <v>33</v>
      </c>
      <c r="G1541" t="s">
        <v>67</v>
      </c>
      <c r="H1541" t="s">
        <v>41</v>
      </c>
      <c r="I1541" t="s">
        <v>36</v>
      </c>
      <c r="J1541">
        <v>12</v>
      </c>
      <c r="K1541" s="5">
        <v>448.52</v>
      </c>
      <c r="L1541" s="5">
        <v>456.86</v>
      </c>
      <c r="M1541">
        <v>41</v>
      </c>
      <c r="N1541">
        <v>17</v>
      </c>
      <c r="O1541">
        <v>4</v>
      </c>
      <c r="P1541">
        <v>3</v>
      </c>
      <c r="Q1541">
        <v>25</v>
      </c>
      <c r="R1541">
        <v>0</v>
      </c>
      <c r="S1541">
        <v>0</v>
      </c>
      <c r="T1541">
        <v>1</v>
      </c>
      <c r="U1541">
        <v>1</v>
      </c>
      <c r="V1541">
        <v>1</v>
      </c>
      <c r="W1541" t="s">
        <v>45</v>
      </c>
      <c r="X1541">
        <v>-6</v>
      </c>
      <c r="Y1541">
        <v>0</v>
      </c>
      <c r="Z1541">
        <f t="shared" si="144"/>
        <v>100</v>
      </c>
      <c r="AA1541">
        <f t="shared" si="145"/>
        <v>1.5714285714285714</v>
      </c>
      <c r="AB1541">
        <f t="shared" si="146"/>
        <v>21</v>
      </c>
      <c r="AC1541" t="str">
        <f t="shared" si="147"/>
        <v>Low</v>
      </c>
      <c r="AD1541" t="str">
        <f t="shared" si="148"/>
        <v>Upsell premium bundle</v>
      </c>
      <c r="AE1541">
        <f t="shared" si="149"/>
        <v>0</v>
      </c>
    </row>
    <row r="1542" spans="1:31" x14ac:dyDescent="0.35">
      <c r="A1542" t="s">
        <v>1600</v>
      </c>
      <c r="B1542" s="4">
        <v>44859</v>
      </c>
      <c r="C1542" s="4">
        <v>46143</v>
      </c>
      <c r="D1542" t="s">
        <v>60</v>
      </c>
      <c r="E1542">
        <v>55</v>
      </c>
      <c r="F1542" t="s">
        <v>57</v>
      </c>
      <c r="G1542" t="s">
        <v>48</v>
      </c>
      <c r="H1542" t="s">
        <v>41</v>
      </c>
      <c r="I1542" t="s">
        <v>36</v>
      </c>
      <c r="J1542">
        <v>42</v>
      </c>
      <c r="K1542" s="5">
        <v>1537.01</v>
      </c>
      <c r="L1542" s="5">
        <v>504.91</v>
      </c>
      <c r="M1542">
        <v>21</v>
      </c>
      <c r="N1542">
        <v>7</v>
      </c>
      <c r="O1542">
        <v>6</v>
      </c>
      <c r="P1542">
        <v>0</v>
      </c>
      <c r="Q1542">
        <v>10</v>
      </c>
      <c r="R1542">
        <v>3</v>
      </c>
      <c r="S1542">
        <v>2</v>
      </c>
      <c r="T1542">
        <v>1</v>
      </c>
      <c r="U1542">
        <v>1</v>
      </c>
      <c r="V1542">
        <v>1</v>
      </c>
      <c r="W1542" t="s">
        <v>50</v>
      </c>
      <c r="X1542">
        <v>-30</v>
      </c>
      <c r="Y1542">
        <v>1</v>
      </c>
      <c r="Z1542">
        <f t="shared" si="144"/>
        <v>59</v>
      </c>
      <c r="AA1542">
        <f t="shared" si="145"/>
        <v>0.43055555555555558</v>
      </c>
      <c r="AB1542">
        <f t="shared" si="146"/>
        <v>61</v>
      </c>
      <c r="AC1542" t="str">
        <f t="shared" si="147"/>
        <v>Medium</v>
      </c>
      <c r="AD1542" t="str">
        <f t="shared" si="148"/>
        <v>Nudge core feature adoption</v>
      </c>
      <c r="AE1542">
        <f t="shared" si="149"/>
        <v>41</v>
      </c>
    </row>
    <row r="1543" spans="1:31" x14ac:dyDescent="0.35">
      <c r="A1543" t="s">
        <v>1601</v>
      </c>
      <c r="B1543" s="4">
        <v>45029</v>
      </c>
      <c r="C1543" s="4">
        <v>46143</v>
      </c>
      <c r="D1543" t="s">
        <v>60</v>
      </c>
      <c r="E1543">
        <v>45</v>
      </c>
      <c r="F1543" t="s">
        <v>57</v>
      </c>
      <c r="G1543" t="s">
        <v>85</v>
      </c>
      <c r="H1543" t="s">
        <v>58</v>
      </c>
      <c r="I1543" t="s">
        <v>36</v>
      </c>
      <c r="J1543">
        <v>37</v>
      </c>
      <c r="K1543" s="5">
        <v>1109.81</v>
      </c>
      <c r="L1543" s="5">
        <v>1065.96</v>
      </c>
      <c r="M1543">
        <v>28</v>
      </c>
      <c r="N1543">
        <v>15</v>
      </c>
      <c r="O1543">
        <v>7</v>
      </c>
      <c r="P1543">
        <v>0</v>
      </c>
      <c r="Q1543">
        <v>23</v>
      </c>
      <c r="R1543">
        <v>0</v>
      </c>
      <c r="S1543">
        <v>0</v>
      </c>
      <c r="T1543">
        <v>0</v>
      </c>
      <c r="U1543">
        <v>1</v>
      </c>
      <c r="V1543">
        <v>1</v>
      </c>
      <c r="W1543" t="s">
        <v>55</v>
      </c>
      <c r="X1543">
        <v>27</v>
      </c>
      <c r="Y1543">
        <v>0</v>
      </c>
      <c r="Z1543">
        <f t="shared" si="144"/>
        <v>85</v>
      </c>
      <c r="AA1543">
        <f t="shared" si="145"/>
        <v>0.76119402985074625</v>
      </c>
      <c r="AB1543">
        <f t="shared" si="146"/>
        <v>1</v>
      </c>
      <c r="AC1543" t="str">
        <f t="shared" si="147"/>
        <v>Low</v>
      </c>
      <c r="AD1543" t="str">
        <f t="shared" si="148"/>
        <v>Upsell premium bundle</v>
      </c>
      <c r="AE1543">
        <f t="shared" si="149"/>
        <v>15</v>
      </c>
    </row>
    <row r="1544" spans="1:31" x14ac:dyDescent="0.35">
      <c r="A1544" t="s">
        <v>1602</v>
      </c>
      <c r="B1544" s="4">
        <v>45697</v>
      </c>
      <c r="C1544" s="4">
        <v>46143</v>
      </c>
      <c r="D1544" t="s">
        <v>39</v>
      </c>
      <c r="E1544">
        <v>30</v>
      </c>
      <c r="F1544" t="s">
        <v>61</v>
      </c>
      <c r="G1544" t="s">
        <v>85</v>
      </c>
      <c r="H1544" t="s">
        <v>41</v>
      </c>
      <c r="I1544" t="s">
        <v>36</v>
      </c>
      <c r="J1544">
        <v>14</v>
      </c>
      <c r="K1544" s="5">
        <v>362.8</v>
      </c>
      <c r="L1544" s="5">
        <v>2236.13</v>
      </c>
      <c r="M1544">
        <v>19</v>
      </c>
      <c r="N1544">
        <v>11</v>
      </c>
      <c r="O1544">
        <v>4</v>
      </c>
      <c r="P1544">
        <v>2</v>
      </c>
      <c r="Q1544">
        <v>15</v>
      </c>
      <c r="R1544">
        <v>0</v>
      </c>
      <c r="S1544">
        <v>0</v>
      </c>
      <c r="T1544">
        <v>1</v>
      </c>
      <c r="U1544">
        <v>0</v>
      </c>
      <c r="V1544">
        <v>0</v>
      </c>
      <c r="W1544" t="s">
        <v>45</v>
      </c>
      <c r="X1544">
        <v>76</v>
      </c>
      <c r="Y1544">
        <v>0</v>
      </c>
      <c r="Z1544">
        <f t="shared" si="144"/>
        <v>50</v>
      </c>
      <c r="AA1544">
        <f t="shared" si="145"/>
        <v>0.77272727272727271</v>
      </c>
      <c r="AB1544">
        <f t="shared" si="146"/>
        <v>0</v>
      </c>
      <c r="AC1544" t="str">
        <f t="shared" si="147"/>
        <v>Low</v>
      </c>
      <c r="AD1544" t="str">
        <f t="shared" si="148"/>
        <v>Upsell premium bundle</v>
      </c>
      <c r="AE1544">
        <f t="shared" si="149"/>
        <v>50</v>
      </c>
    </row>
    <row r="1545" spans="1:31" x14ac:dyDescent="0.35">
      <c r="A1545" t="s">
        <v>1603</v>
      </c>
      <c r="B1545" s="4">
        <v>45329</v>
      </c>
      <c r="C1545" s="4">
        <v>46143</v>
      </c>
      <c r="D1545" t="s">
        <v>72</v>
      </c>
      <c r="E1545">
        <v>38</v>
      </c>
      <c r="F1545" t="s">
        <v>43</v>
      </c>
      <c r="G1545" t="s">
        <v>40</v>
      </c>
      <c r="H1545" t="s">
        <v>41</v>
      </c>
      <c r="I1545" t="s">
        <v>49</v>
      </c>
      <c r="J1545">
        <v>27</v>
      </c>
      <c r="K1545" s="5">
        <v>126.31</v>
      </c>
      <c r="L1545" s="5">
        <v>71.61</v>
      </c>
      <c r="M1545">
        <v>17</v>
      </c>
      <c r="N1545">
        <v>6</v>
      </c>
      <c r="O1545">
        <v>2</v>
      </c>
      <c r="P1545">
        <v>1</v>
      </c>
      <c r="Q1545">
        <v>6</v>
      </c>
      <c r="R1545">
        <v>0</v>
      </c>
      <c r="S1545">
        <v>0</v>
      </c>
      <c r="T1545">
        <v>1</v>
      </c>
      <c r="U1545">
        <v>1</v>
      </c>
      <c r="V1545">
        <v>0</v>
      </c>
      <c r="W1545" t="s">
        <v>50</v>
      </c>
      <c r="X1545">
        <v>27</v>
      </c>
      <c r="Y1545">
        <v>1</v>
      </c>
      <c r="Z1545">
        <f t="shared" si="144"/>
        <v>40</v>
      </c>
      <c r="AA1545">
        <f t="shared" si="145"/>
        <v>0.40350877192982454</v>
      </c>
      <c r="AB1545">
        <f t="shared" si="146"/>
        <v>45</v>
      </c>
      <c r="AC1545" t="str">
        <f t="shared" si="147"/>
        <v>Medium</v>
      </c>
      <c r="AD1545" t="str">
        <f t="shared" si="148"/>
        <v>Nudge core feature adoption</v>
      </c>
      <c r="AE1545">
        <f t="shared" si="149"/>
        <v>60</v>
      </c>
    </row>
    <row r="1546" spans="1:31" x14ac:dyDescent="0.35">
      <c r="A1546" t="s">
        <v>1604</v>
      </c>
      <c r="B1546" s="4">
        <v>44890</v>
      </c>
      <c r="C1546" s="4">
        <v>46143</v>
      </c>
      <c r="D1546" t="s">
        <v>66</v>
      </c>
      <c r="E1546">
        <v>56</v>
      </c>
      <c r="F1546" t="s">
        <v>57</v>
      </c>
      <c r="G1546" t="s">
        <v>40</v>
      </c>
      <c r="H1546" t="s">
        <v>41</v>
      </c>
      <c r="I1546" t="s">
        <v>36</v>
      </c>
      <c r="J1546">
        <v>41</v>
      </c>
      <c r="K1546" s="5">
        <v>559.53</v>
      </c>
      <c r="L1546" s="5">
        <v>850.07</v>
      </c>
      <c r="M1546">
        <v>24</v>
      </c>
      <c r="N1546">
        <v>11</v>
      </c>
      <c r="O1546">
        <v>2</v>
      </c>
      <c r="P1546">
        <v>1</v>
      </c>
      <c r="Q1546">
        <v>21</v>
      </c>
      <c r="R1546">
        <v>1</v>
      </c>
      <c r="S1546">
        <v>0</v>
      </c>
      <c r="T1546">
        <v>0</v>
      </c>
      <c r="U1546">
        <v>0</v>
      </c>
      <c r="V1546">
        <v>1</v>
      </c>
      <c r="W1546" t="s">
        <v>55</v>
      </c>
      <c r="X1546">
        <v>98</v>
      </c>
      <c r="Y1546">
        <v>0</v>
      </c>
      <c r="Z1546">
        <f t="shared" si="144"/>
        <v>64</v>
      </c>
      <c r="AA1546">
        <f t="shared" si="145"/>
        <v>0.63380281690140849</v>
      </c>
      <c r="AB1546">
        <f t="shared" si="146"/>
        <v>0</v>
      </c>
      <c r="AC1546" t="str">
        <f t="shared" si="147"/>
        <v>Low</v>
      </c>
      <c r="AD1546" t="str">
        <f t="shared" si="148"/>
        <v>Upsell premium bundle</v>
      </c>
      <c r="AE1546">
        <f t="shared" si="149"/>
        <v>36</v>
      </c>
    </row>
    <row r="1547" spans="1:31" x14ac:dyDescent="0.35">
      <c r="A1547" t="s">
        <v>1605</v>
      </c>
      <c r="B1547" s="4">
        <v>45506</v>
      </c>
      <c r="C1547" s="4">
        <v>46143</v>
      </c>
      <c r="D1547" t="s">
        <v>72</v>
      </c>
      <c r="E1547">
        <v>67</v>
      </c>
      <c r="F1547" t="s">
        <v>33</v>
      </c>
      <c r="G1547" t="s">
        <v>40</v>
      </c>
      <c r="H1547" t="s">
        <v>44</v>
      </c>
      <c r="I1547" t="s">
        <v>49</v>
      </c>
      <c r="J1547">
        <v>21</v>
      </c>
      <c r="K1547" s="5">
        <v>282.61</v>
      </c>
      <c r="L1547" s="5">
        <v>122.69</v>
      </c>
      <c r="M1547">
        <v>42</v>
      </c>
      <c r="N1547">
        <v>23</v>
      </c>
      <c r="O1547">
        <v>6</v>
      </c>
      <c r="P1547">
        <v>3</v>
      </c>
      <c r="Q1547">
        <v>15</v>
      </c>
      <c r="R1547">
        <v>0</v>
      </c>
      <c r="S1547">
        <v>0</v>
      </c>
      <c r="T1547">
        <v>1</v>
      </c>
      <c r="U1547">
        <v>1</v>
      </c>
      <c r="V1547">
        <v>1</v>
      </c>
      <c r="W1547" t="s">
        <v>52</v>
      </c>
      <c r="X1547">
        <v>67</v>
      </c>
      <c r="Y1547">
        <v>0</v>
      </c>
      <c r="Z1547">
        <f t="shared" si="144"/>
        <v>100</v>
      </c>
      <c r="AA1547">
        <f t="shared" si="145"/>
        <v>1.1176470588235294</v>
      </c>
      <c r="AB1547">
        <f t="shared" si="146"/>
        <v>0</v>
      </c>
      <c r="AC1547" t="str">
        <f t="shared" si="147"/>
        <v>Low</v>
      </c>
      <c r="AD1547" t="str">
        <f t="shared" si="148"/>
        <v>Upsell premium bundle</v>
      </c>
      <c r="AE1547">
        <f t="shared" si="149"/>
        <v>0</v>
      </c>
    </row>
    <row r="1548" spans="1:31" x14ac:dyDescent="0.35">
      <c r="A1548" t="s">
        <v>1606</v>
      </c>
      <c r="B1548" s="4">
        <v>45973</v>
      </c>
      <c r="C1548" s="4">
        <v>46143</v>
      </c>
      <c r="D1548" t="s">
        <v>32</v>
      </c>
      <c r="E1548">
        <v>38</v>
      </c>
      <c r="F1548" t="s">
        <v>57</v>
      </c>
      <c r="G1548" t="s">
        <v>34</v>
      </c>
      <c r="H1548" t="s">
        <v>41</v>
      </c>
      <c r="I1548" t="s">
        <v>36</v>
      </c>
      <c r="J1548">
        <v>5</v>
      </c>
      <c r="K1548" s="5">
        <v>679.77</v>
      </c>
      <c r="L1548" s="5">
        <v>973.11</v>
      </c>
      <c r="M1548">
        <v>19</v>
      </c>
      <c r="N1548">
        <v>13</v>
      </c>
      <c r="O1548">
        <v>2</v>
      </c>
      <c r="P1548">
        <v>4</v>
      </c>
      <c r="Q1548">
        <v>13</v>
      </c>
      <c r="R1548">
        <v>0</v>
      </c>
      <c r="S1548">
        <v>0</v>
      </c>
      <c r="T1548">
        <v>1</v>
      </c>
      <c r="U1548">
        <v>0</v>
      </c>
      <c r="V1548">
        <v>0</v>
      </c>
      <c r="W1548" t="s">
        <v>55</v>
      </c>
      <c r="X1548">
        <v>15</v>
      </c>
      <c r="Y1548">
        <v>0</v>
      </c>
      <c r="Z1548">
        <f t="shared" si="144"/>
        <v>50</v>
      </c>
      <c r="AA1548">
        <f t="shared" si="145"/>
        <v>0.91428571428571426</v>
      </c>
      <c r="AB1548">
        <f t="shared" si="146"/>
        <v>31</v>
      </c>
      <c r="AC1548" t="str">
        <f t="shared" si="147"/>
        <v>Low</v>
      </c>
      <c r="AD1548" t="str">
        <f t="shared" si="148"/>
        <v>Upsell premium bundle</v>
      </c>
      <c r="AE1548">
        <f t="shared" si="149"/>
        <v>50</v>
      </c>
    </row>
    <row r="1549" spans="1:31" x14ac:dyDescent="0.35">
      <c r="A1549" t="s">
        <v>1607</v>
      </c>
      <c r="B1549" s="4">
        <v>45797</v>
      </c>
      <c r="C1549" s="4">
        <v>46143</v>
      </c>
      <c r="D1549" t="s">
        <v>60</v>
      </c>
      <c r="E1549">
        <v>50</v>
      </c>
      <c r="F1549" t="s">
        <v>57</v>
      </c>
      <c r="G1549" t="s">
        <v>63</v>
      </c>
      <c r="H1549" t="s">
        <v>41</v>
      </c>
      <c r="I1549" t="s">
        <v>36</v>
      </c>
      <c r="J1549">
        <v>11</v>
      </c>
      <c r="K1549" s="5">
        <v>542.71</v>
      </c>
      <c r="L1549" s="5">
        <v>1888.59</v>
      </c>
      <c r="M1549">
        <v>16</v>
      </c>
      <c r="N1549">
        <v>4</v>
      </c>
      <c r="O1549">
        <v>2</v>
      </c>
      <c r="P1549">
        <v>0</v>
      </c>
      <c r="Q1549">
        <v>1</v>
      </c>
      <c r="R1549">
        <v>0</v>
      </c>
      <c r="S1549">
        <v>1</v>
      </c>
      <c r="T1549">
        <v>1</v>
      </c>
      <c r="U1549">
        <v>0</v>
      </c>
      <c r="V1549">
        <v>1</v>
      </c>
      <c r="W1549" t="s">
        <v>50</v>
      </c>
      <c r="X1549">
        <v>-9</v>
      </c>
      <c r="Y1549">
        <v>1</v>
      </c>
      <c r="Z1549">
        <f t="shared" si="144"/>
        <v>31</v>
      </c>
      <c r="AA1549">
        <f t="shared" si="145"/>
        <v>0.41463414634146339</v>
      </c>
      <c r="AB1549">
        <f t="shared" si="146"/>
        <v>48</v>
      </c>
      <c r="AC1549" t="str">
        <f t="shared" si="147"/>
        <v>Medium</v>
      </c>
      <c r="AD1549" t="str">
        <f t="shared" si="148"/>
        <v>Nudge core feature adoption</v>
      </c>
      <c r="AE1549">
        <f t="shared" si="149"/>
        <v>69</v>
      </c>
    </row>
    <row r="1550" spans="1:31" x14ac:dyDescent="0.35">
      <c r="A1550" t="s">
        <v>1608</v>
      </c>
      <c r="B1550" s="4">
        <v>44967</v>
      </c>
      <c r="C1550" s="4">
        <v>46143</v>
      </c>
      <c r="D1550" t="s">
        <v>66</v>
      </c>
      <c r="E1550">
        <v>31</v>
      </c>
      <c r="F1550" t="s">
        <v>77</v>
      </c>
      <c r="G1550" t="s">
        <v>67</v>
      </c>
      <c r="H1550" t="s">
        <v>41</v>
      </c>
      <c r="I1550" t="s">
        <v>49</v>
      </c>
      <c r="J1550">
        <v>39</v>
      </c>
      <c r="K1550" s="5">
        <v>14764.93</v>
      </c>
      <c r="L1550" s="5">
        <v>1546.8</v>
      </c>
      <c r="M1550">
        <v>26</v>
      </c>
      <c r="N1550">
        <v>15</v>
      </c>
      <c r="O1550">
        <v>1</v>
      </c>
      <c r="P1550">
        <v>4</v>
      </c>
      <c r="Q1550">
        <v>27</v>
      </c>
      <c r="R1550">
        <v>0</v>
      </c>
      <c r="S1550">
        <v>0</v>
      </c>
      <c r="T1550">
        <v>1</v>
      </c>
      <c r="U1550">
        <v>1</v>
      </c>
      <c r="V1550">
        <v>1</v>
      </c>
      <c r="W1550" t="s">
        <v>45</v>
      </c>
      <c r="X1550">
        <v>63</v>
      </c>
      <c r="Y1550">
        <v>0</v>
      </c>
      <c r="Z1550">
        <f t="shared" si="144"/>
        <v>85</v>
      </c>
      <c r="AA1550">
        <f t="shared" si="145"/>
        <v>0.76811594202898548</v>
      </c>
      <c r="AB1550">
        <f t="shared" si="146"/>
        <v>0</v>
      </c>
      <c r="AC1550" t="str">
        <f t="shared" si="147"/>
        <v>Low</v>
      </c>
      <c r="AD1550" t="str">
        <f t="shared" si="148"/>
        <v>Upsell premium bundle</v>
      </c>
      <c r="AE1550">
        <f t="shared" si="149"/>
        <v>15</v>
      </c>
    </row>
    <row r="1551" spans="1:31" x14ac:dyDescent="0.35">
      <c r="A1551" t="s">
        <v>1609</v>
      </c>
      <c r="B1551" s="4">
        <v>44890</v>
      </c>
      <c r="C1551" s="4">
        <v>46143</v>
      </c>
      <c r="D1551" t="s">
        <v>72</v>
      </c>
      <c r="E1551">
        <v>64</v>
      </c>
      <c r="F1551" t="s">
        <v>43</v>
      </c>
      <c r="G1551" t="s">
        <v>40</v>
      </c>
      <c r="H1551" t="s">
        <v>41</v>
      </c>
      <c r="I1551" t="s">
        <v>36</v>
      </c>
      <c r="J1551">
        <v>41</v>
      </c>
      <c r="K1551" s="5">
        <v>30.9</v>
      </c>
      <c r="L1551" s="5">
        <v>58.12</v>
      </c>
      <c r="M1551">
        <v>18</v>
      </c>
      <c r="N1551">
        <v>5</v>
      </c>
      <c r="O1551">
        <v>4</v>
      </c>
      <c r="P1551">
        <v>1</v>
      </c>
      <c r="Q1551">
        <v>8</v>
      </c>
      <c r="R1551">
        <v>0</v>
      </c>
      <c r="S1551">
        <v>2</v>
      </c>
      <c r="T1551">
        <v>0</v>
      </c>
      <c r="U1551">
        <v>1</v>
      </c>
      <c r="V1551">
        <v>0</v>
      </c>
      <c r="W1551" t="s">
        <v>55</v>
      </c>
      <c r="X1551">
        <v>-17</v>
      </c>
      <c r="Y1551">
        <v>1</v>
      </c>
      <c r="Z1551">
        <f t="shared" si="144"/>
        <v>45</v>
      </c>
      <c r="AA1551">
        <f t="shared" si="145"/>
        <v>0.36619718309859156</v>
      </c>
      <c r="AB1551">
        <f t="shared" si="146"/>
        <v>65</v>
      </c>
      <c r="AC1551" t="str">
        <f t="shared" si="147"/>
        <v>Medium</v>
      </c>
      <c r="AD1551" t="str">
        <f t="shared" si="148"/>
        <v>Nudge core feature adoption</v>
      </c>
      <c r="AE1551">
        <f t="shared" si="149"/>
        <v>55</v>
      </c>
    </row>
    <row r="1552" spans="1:31" x14ac:dyDescent="0.35">
      <c r="A1552" t="s">
        <v>1610</v>
      </c>
      <c r="B1552" s="4">
        <v>45167</v>
      </c>
      <c r="C1552" s="4">
        <v>46143</v>
      </c>
      <c r="D1552" t="s">
        <v>60</v>
      </c>
      <c r="E1552">
        <v>45</v>
      </c>
      <c r="F1552" t="s">
        <v>33</v>
      </c>
      <c r="G1552" t="s">
        <v>67</v>
      </c>
      <c r="H1552" t="s">
        <v>58</v>
      </c>
      <c r="I1552" t="s">
        <v>36</v>
      </c>
      <c r="J1552">
        <v>32</v>
      </c>
      <c r="K1552" s="5">
        <v>227.78</v>
      </c>
      <c r="L1552" s="5">
        <v>56.96</v>
      </c>
      <c r="M1552">
        <v>21</v>
      </c>
      <c r="N1552">
        <v>13</v>
      </c>
      <c r="O1552">
        <v>5</v>
      </c>
      <c r="P1552">
        <v>4</v>
      </c>
      <c r="Q1552">
        <v>9</v>
      </c>
      <c r="R1552">
        <v>1</v>
      </c>
      <c r="S1552">
        <v>0</v>
      </c>
      <c r="T1552">
        <v>1</v>
      </c>
      <c r="U1552">
        <v>1</v>
      </c>
      <c r="V1552">
        <v>0</v>
      </c>
      <c r="W1552" t="s">
        <v>45</v>
      </c>
      <c r="X1552">
        <v>3</v>
      </c>
      <c r="Y1552">
        <v>0</v>
      </c>
      <c r="Z1552">
        <f t="shared" si="144"/>
        <v>60</v>
      </c>
      <c r="AA1552">
        <f t="shared" si="145"/>
        <v>0.4838709677419355</v>
      </c>
      <c r="AB1552">
        <f t="shared" si="146"/>
        <v>21</v>
      </c>
      <c r="AC1552" t="str">
        <f t="shared" si="147"/>
        <v>Low</v>
      </c>
      <c r="AD1552" t="str">
        <f t="shared" si="148"/>
        <v>Upsell premium bundle</v>
      </c>
      <c r="AE1552">
        <f t="shared" si="149"/>
        <v>40</v>
      </c>
    </row>
    <row r="1553" spans="1:31" x14ac:dyDescent="0.35">
      <c r="A1553" t="s">
        <v>1611</v>
      </c>
      <c r="B1553" s="4">
        <v>45624</v>
      </c>
      <c r="C1553" s="4">
        <v>46143</v>
      </c>
      <c r="D1553" t="s">
        <v>60</v>
      </c>
      <c r="E1553">
        <v>41</v>
      </c>
      <c r="F1553" t="s">
        <v>33</v>
      </c>
      <c r="G1553" t="s">
        <v>63</v>
      </c>
      <c r="H1553" t="s">
        <v>41</v>
      </c>
      <c r="I1553" t="s">
        <v>36</v>
      </c>
      <c r="J1553">
        <v>17</v>
      </c>
      <c r="K1553" s="5">
        <v>619.96</v>
      </c>
      <c r="L1553" s="5">
        <v>253.94</v>
      </c>
      <c r="M1553">
        <v>31</v>
      </c>
      <c r="N1553">
        <v>14</v>
      </c>
      <c r="O1553">
        <v>5</v>
      </c>
      <c r="P1553">
        <v>2</v>
      </c>
      <c r="Q1553">
        <v>13</v>
      </c>
      <c r="R1553">
        <v>0</v>
      </c>
      <c r="S1553">
        <v>0</v>
      </c>
      <c r="T1553">
        <v>0</v>
      </c>
      <c r="U1553">
        <v>1</v>
      </c>
      <c r="V1553">
        <v>0</v>
      </c>
      <c r="W1553" t="s">
        <v>52</v>
      </c>
      <c r="X1553">
        <v>5</v>
      </c>
      <c r="Y1553">
        <v>0</v>
      </c>
      <c r="Z1553">
        <f t="shared" si="144"/>
        <v>72</v>
      </c>
      <c r="AA1553">
        <f t="shared" si="145"/>
        <v>0.93617021276595747</v>
      </c>
      <c r="AB1553">
        <f t="shared" si="146"/>
        <v>27</v>
      </c>
      <c r="AC1553" t="str">
        <f t="shared" si="147"/>
        <v>Low</v>
      </c>
      <c r="AD1553" t="str">
        <f t="shared" si="148"/>
        <v>Upsell premium bundle</v>
      </c>
      <c r="AE1553">
        <f t="shared" si="149"/>
        <v>28</v>
      </c>
    </row>
    <row r="1554" spans="1:31" x14ac:dyDescent="0.35">
      <c r="A1554" t="s">
        <v>1612</v>
      </c>
      <c r="B1554" s="4">
        <v>45338</v>
      </c>
      <c r="C1554" s="4">
        <v>46143</v>
      </c>
      <c r="D1554" t="s">
        <v>66</v>
      </c>
      <c r="E1554">
        <v>51</v>
      </c>
      <c r="F1554" t="s">
        <v>43</v>
      </c>
      <c r="G1554" t="s">
        <v>48</v>
      </c>
      <c r="H1554" t="s">
        <v>44</v>
      </c>
      <c r="I1554" t="s">
        <v>36</v>
      </c>
      <c r="J1554">
        <v>26</v>
      </c>
      <c r="K1554" s="5">
        <v>55.04</v>
      </c>
      <c r="L1554" s="5">
        <v>40.44</v>
      </c>
      <c r="M1554">
        <v>31</v>
      </c>
      <c r="N1554">
        <v>20</v>
      </c>
      <c r="O1554">
        <v>3</v>
      </c>
      <c r="P1554">
        <v>5</v>
      </c>
      <c r="Q1554">
        <v>16</v>
      </c>
      <c r="R1554">
        <v>2</v>
      </c>
      <c r="S1554">
        <v>0</v>
      </c>
      <c r="T1554">
        <v>1</v>
      </c>
      <c r="U1554">
        <v>1</v>
      </c>
      <c r="V1554">
        <v>0</v>
      </c>
      <c r="W1554" t="s">
        <v>37</v>
      </c>
      <c r="X1554">
        <v>-6</v>
      </c>
      <c r="Y1554">
        <v>1</v>
      </c>
      <c r="Z1554">
        <f t="shared" si="144"/>
        <v>81</v>
      </c>
      <c r="AA1554">
        <f t="shared" si="145"/>
        <v>0.8392857142857143</v>
      </c>
      <c r="AB1554">
        <f t="shared" si="146"/>
        <v>16</v>
      </c>
      <c r="AC1554" t="str">
        <f t="shared" si="147"/>
        <v>Low</v>
      </c>
      <c r="AD1554" t="str">
        <f t="shared" si="148"/>
        <v>Upsell premium bundle</v>
      </c>
      <c r="AE1554">
        <f t="shared" si="149"/>
        <v>19</v>
      </c>
    </row>
    <row r="1555" spans="1:31" x14ac:dyDescent="0.35">
      <c r="A1555" t="s">
        <v>1613</v>
      </c>
      <c r="B1555" s="4">
        <v>44768</v>
      </c>
      <c r="C1555" s="4">
        <v>46143</v>
      </c>
      <c r="D1555" t="s">
        <v>39</v>
      </c>
      <c r="E1555">
        <v>34</v>
      </c>
      <c r="F1555" t="s">
        <v>57</v>
      </c>
      <c r="G1555" t="s">
        <v>40</v>
      </c>
      <c r="H1555" t="s">
        <v>41</v>
      </c>
      <c r="I1555" t="s">
        <v>49</v>
      </c>
      <c r="J1555">
        <v>45</v>
      </c>
      <c r="K1555" s="5">
        <v>115.63</v>
      </c>
      <c r="L1555" s="5">
        <v>544.04999999999995</v>
      </c>
      <c r="M1555">
        <v>38</v>
      </c>
      <c r="N1555">
        <v>16</v>
      </c>
      <c r="O1555">
        <v>8</v>
      </c>
      <c r="P1555">
        <v>2</v>
      </c>
      <c r="Q1555">
        <v>25</v>
      </c>
      <c r="R1555">
        <v>0</v>
      </c>
      <c r="S1555">
        <v>0</v>
      </c>
      <c r="T1555">
        <v>1</v>
      </c>
      <c r="U1555">
        <v>0</v>
      </c>
      <c r="V1555">
        <v>1</v>
      </c>
      <c r="W1555" t="s">
        <v>52</v>
      </c>
      <c r="X1555">
        <v>28</v>
      </c>
      <c r="Y1555">
        <v>0</v>
      </c>
      <c r="Z1555">
        <f t="shared" si="144"/>
        <v>95</v>
      </c>
      <c r="AA1555">
        <f t="shared" si="145"/>
        <v>0.84</v>
      </c>
      <c r="AB1555">
        <f t="shared" si="146"/>
        <v>22</v>
      </c>
      <c r="AC1555" t="str">
        <f t="shared" si="147"/>
        <v>Low</v>
      </c>
      <c r="AD1555" t="str">
        <f t="shared" si="148"/>
        <v>Upsell premium bundle</v>
      </c>
      <c r="AE1555">
        <f t="shared" si="149"/>
        <v>5</v>
      </c>
    </row>
    <row r="1556" spans="1:31" x14ac:dyDescent="0.35">
      <c r="A1556" t="s">
        <v>1614</v>
      </c>
      <c r="B1556" s="4">
        <v>45763</v>
      </c>
      <c r="C1556" s="4">
        <v>46143</v>
      </c>
      <c r="D1556" t="s">
        <v>66</v>
      </c>
      <c r="E1556">
        <v>31</v>
      </c>
      <c r="F1556" t="s">
        <v>43</v>
      </c>
      <c r="G1556" t="s">
        <v>67</v>
      </c>
      <c r="H1556" t="s">
        <v>41</v>
      </c>
      <c r="I1556" t="s">
        <v>36</v>
      </c>
      <c r="J1556">
        <v>12</v>
      </c>
      <c r="K1556" s="5">
        <v>2.95</v>
      </c>
      <c r="L1556" s="5">
        <v>18.28</v>
      </c>
      <c r="M1556">
        <v>35</v>
      </c>
      <c r="N1556">
        <v>17</v>
      </c>
      <c r="O1556">
        <v>4</v>
      </c>
      <c r="P1556">
        <v>2</v>
      </c>
      <c r="Q1556">
        <v>20</v>
      </c>
      <c r="R1556">
        <v>1</v>
      </c>
      <c r="S1556">
        <v>0</v>
      </c>
      <c r="T1556">
        <v>1</v>
      </c>
      <c r="U1556">
        <v>0</v>
      </c>
      <c r="V1556">
        <v>1</v>
      </c>
      <c r="W1556" t="s">
        <v>37</v>
      </c>
      <c r="X1556">
        <v>-18</v>
      </c>
      <c r="Y1556">
        <v>1</v>
      </c>
      <c r="Z1556">
        <f t="shared" si="144"/>
        <v>83</v>
      </c>
      <c r="AA1556">
        <f t="shared" si="145"/>
        <v>1.3095238095238095</v>
      </c>
      <c r="AB1556">
        <f t="shared" si="146"/>
        <v>32</v>
      </c>
      <c r="AC1556" t="str">
        <f t="shared" si="147"/>
        <v>Low</v>
      </c>
      <c r="AD1556" t="str">
        <f t="shared" si="148"/>
        <v>Upsell premium bundle</v>
      </c>
      <c r="AE1556">
        <f t="shared" si="149"/>
        <v>17</v>
      </c>
    </row>
    <row r="1557" spans="1:31" x14ac:dyDescent="0.35">
      <c r="A1557" t="s">
        <v>1615</v>
      </c>
      <c r="B1557" s="4">
        <v>45854</v>
      </c>
      <c r="C1557" s="4">
        <v>46143</v>
      </c>
      <c r="D1557" t="s">
        <v>47</v>
      </c>
      <c r="E1557">
        <v>66</v>
      </c>
      <c r="F1557" t="s">
        <v>57</v>
      </c>
      <c r="G1557" t="s">
        <v>63</v>
      </c>
      <c r="H1557" t="s">
        <v>41</v>
      </c>
      <c r="I1557" t="s">
        <v>36</v>
      </c>
      <c r="J1557">
        <v>9</v>
      </c>
      <c r="K1557" s="5">
        <v>1989.63</v>
      </c>
      <c r="L1557" s="5">
        <v>80.47</v>
      </c>
      <c r="M1557">
        <v>41</v>
      </c>
      <c r="N1557">
        <v>26</v>
      </c>
      <c r="O1557">
        <v>2</v>
      </c>
      <c r="P1557">
        <v>1</v>
      </c>
      <c r="Q1557">
        <v>20</v>
      </c>
      <c r="R1557">
        <v>0</v>
      </c>
      <c r="S1557">
        <v>0</v>
      </c>
      <c r="T1557">
        <v>0</v>
      </c>
      <c r="U1557">
        <v>0</v>
      </c>
      <c r="V1557">
        <v>0</v>
      </c>
      <c r="W1557" t="s">
        <v>37</v>
      </c>
      <c r="X1557">
        <v>33</v>
      </c>
      <c r="Y1557">
        <v>0</v>
      </c>
      <c r="Z1557">
        <f t="shared" si="144"/>
        <v>85</v>
      </c>
      <c r="AA1557">
        <f t="shared" si="145"/>
        <v>1.5641025641025641</v>
      </c>
      <c r="AB1557">
        <f t="shared" si="146"/>
        <v>8</v>
      </c>
      <c r="AC1557" t="str">
        <f t="shared" si="147"/>
        <v>Low</v>
      </c>
      <c r="AD1557" t="str">
        <f t="shared" si="148"/>
        <v>Upsell premium bundle</v>
      </c>
      <c r="AE1557">
        <f t="shared" si="149"/>
        <v>15</v>
      </c>
    </row>
    <row r="1558" spans="1:31" x14ac:dyDescent="0.35">
      <c r="A1558" t="s">
        <v>1616</v>
      </c>
      <c r="B1558" s="4">
        <v>45204</v>
      </c>
      <c r="C1558" s="4">
        <v>46143</v>
      </c>
      <c r="D1558" t="s">
        <v>47</v>
      </c>
      <c r="E1558">
        <v>22</v>
      </c>
      <c r="F1558" t="s">
        <v>61</v>
      </c>
      <c r="G1558" t="s">
        <v>48</v>
      </c>
      <c r="H1558" t="s">
        <v>35</v>
      </c>
      <c r="I1558" t="s">
        <v>36</v>
      </c>
      <c r="J1558">
        <v>31</v>
      </c>
      <c r="K1558" s="5">
        <v>2141.6</v>
      </c>
      <c r="L1558" s="5">
        <v>2495.89</v>
      </c>
      <c r="M1558">
        <v>44</v>
      </c>
      <c r="N1558">
        <v>30</v>
      </c>
      <c r="O1558">
        <v>10</v>
      </c>
      <c r="P1558">
        <v>1</v>
      </c>
      <c r="Q1558">
        <v>34</v>
      </c>
      <c r="R1558">
        <v>3</v>
      </c>
      <c r="S1558">
        <v>1</v>
      </c>
      <c r="T1558">
        <v>0</v>
      </c>
      <c r="U1558">
        <v>1</v>
      </c>
      <c r="V1558">
        <v>0</v>
      </c>
      <c r="W1558" t="s">
        <v>45</v>
      </c>
      <c r="X1558">
        <v>63</v>
      </c>
      <c r="Y1558">
        <v>0</v>
      </c>
      <c r="Z1558">
        <f t="shared" si="144"/>
        <v>100</v>
      </c>
      <c r="AA1558">
        <f t="shared" si="145"/>
        <v>1.278688524590164</v>
      </c>
      <c r="AB1558">
        <f t="shared" si="146"/>
        <v>0</v>
      </c>
      <c r="AC1558" t="str">
        <f t="shared" si="147"/>
        <v>Low</v>
      </c>
      <c r="AD1558" t="str">
        <f t="shared" si="148"/>
        <v>Upsell premium bundle</v>
      </c>
      <c r="AE1558">
        <f t="shared" si="149"/>
        <v>0</v>
      </c>
    </row>
    <row r="1559" spans="1:31" x14ac:dyDescent="0.35">
      <c r="A1559" t="s">
        <v>1617</v>
      </c>
      <c r="B1559" s="4">
        <v>45412</v>
      </c>
      <c r="C1559" s="4">
        <v>46143</v>
      </c>
      <c r="D1559" t="s">
        <v>60</v>
      </c>
      <c r="E1559">
        <v>37</v>
      </c>
      <c r="F1559" t="s">
        <v>57</v>
      </c>
      <c r="G1559" t="s">
        <v>85</v>
      </c>
      <c r="H1559" t="s">
        <v>41</v>
      </c>
      <c r="I1559" t="s">
        <v>36</v>
      </c>
      <c r="J1559">
        <v>24</v>
      </c>
      <c r="K1559" s="5">
        <v>1338.14</v>
      </c>
      <c r="L1559" s="5">
        <v>522.34</v>
      </c>
      <c r="M1559">
        <v>34</v>
      </c>
      <c r="N1559">
        <v>9</v>
      </c>
      <c r="O1559">
        <v>1</v>
      </c>
      <c r="P1559">
        <v>6</v>
      </c>
      <c r="Q1559">
        <v>32</v>
      </c>
      <c r="R1559">
        <v>3</v>
      </c>
      <c r="S1559">
        <v>1</v>
      </c>
      <c r="T1559">
        <v>0</v>
      </c>
      <c r="U1559">
        <v>0</v>
      </c>
      <c r="V1559">
        <v>1</v>
      </c>
      <c r="W1559" t="s">
        <v>50</v>
      </c>
      <c r="X1559">
        <v>4</v>
      </c>
      <c r="Y1559">
        <v>0</v>
      </c>
      <c r="Z1559">
        <f t="shared" si="144"/>
        <v>89</v>
      </c>
      <c r="AA1559">
        <f t="shared" si="145"/>
        <v>1.2222222222222223</v>
      </c>
      <c r="AB1559">
        <f t="shared" si="146"/>
        <v>24</v>
      </c>
      <c r="AC1559" t="str">
        <f t="shared" si="147"/>
        <v>Low</v>
      </c>
      <c r="AD1559" t="str">
        <f t="shared" si="148"/>
        <v>Upsell premium bundle</v>
      </c>
      <c r="AE1559">
        <f t="shared" si="149"/>
        <v>11</v>
      </c>
    </row>
    <row r="1560" spans="1:31" x14ac:dyDescent="0.35">
      <c r="A1560" t="s">
        <v>1618</v>
      </c>
      <c r="B1560" s="4">
        <v>45858</v>
      </c>
      <c r="C1560" s="4">
        <v>46143</v>
      </c>
      <c r="D1560" t="s">
        <v>72</v>
      </c>
      <c r="E1560">
        <v>27</v>
      </c>
      <c r="F1560" t="s">
        <v>33</v>
      </c>
      <c r="G1560" t="s">
        <v>67</v>
      </c>
      <c r="H1560" t="s">
        <v>58</v>
      </c>
      <c r="I1560" t="s">
        <v>49</v>
      </c>
      <c r="J1560">
        <v>9</v>
      </c>
      <c r="K1560" s="5">
        <v>120.64</v>
      </c>
      <c r="L1560" s="5">
        <v>342.96</v>
      </c>
      <c r="M1560">
        <v>23</v>
      </c>
      <c r="N1560">
        <v>15</v>
      </c>
      <c r="O1560">
        <v>2</v>
      </c>
      <c r="P1560">
        <v>0</v>
      </c>
      <c r="Q1560">
        <v>21</v>
      </c>
      <c r="R1560">
        <v>1</v>
      </c>
      <c r="S1560">
        <v>0</v>
      </c>
      <c r="T1560">
        <v>1</v>
      </c>
      <c r="U1560">
        <v>0</v>
      </c>
      <c r="V1560">
        <v>0</v>
      </c>
      <c r="W1560" t="s">
        <v>55</v>
      </c>
      <c r="X1560">
        <v>41</v>
      </c>
      <c r="Y1560">
        <v>1</v>
      </c>
      <c r="Z1560">
        <f t="shared" si="144"/>
        <v>57</v>
      </c>
      <c r="AA1560">
        <f t="shared" si="145"/>
        <v>1.1282051282051282</v>
      </c>
      <c r="AB1560">
        <f t="shared" si="146"/>
        <v>19</v>
      </c>
      <c r="AC1560" t="str">
        <f t="shared" si="147"/>
        <v>Low</v>
      </c>
      <c r="AD1560" t="str">
        <f t="shared" si="148"/>
        <v>Upsell premium bundle</v>
      </c>
      <c r="AE1560">
        <f t="shared" si="149"/>
        <v>43</v>
      </c>
    </row>
    <row r="1561" spans="1:31" x14ac:dyDescent="0.35">
      <c r="A1561" t="s">
        <v>1619</v>
      </c>
      <c r="B1561" s="4">
        <v>45892</v>
      </c>
      <c r="C1561" s="4">
        <v>46143</v>
      </c>
      <c r="D1561" t="s">
        <v>32</v>
      </c>
      <c r="E1561">
        <v>66</v>
      </c>
      <c r="F1561" t="s">
        <v>43</v>
      </c>
      <c r="G1561" t="s">
        <v>40</v>
      </c>
      <c r="H1561" t="s">
        <v>41</v>
      </c>
      <c r="I1561" t="s">
        <v>36</v>
      </c>
      <c r="J1561">
        <v>8</v>
      </c>
      <c r="K1561" s="5">
        <v>62.85</v>
      </c>
      <c r="L1561" s="5">
        <v>67.47</v>
      </c>
      <c r="M1561">
        <v>9</v>
      </c>
      <c r="N1561">
        <v>2</v>
      </c>
      <c r="O1561">
        <v>1</v>
      </c>
      <c r="P1561">
        <v>1</v>
      </c>
      <c r="Q1561">
        <v>14</v>
      </c>
      <c r="R1561">
        <v>2</v>
      </c>
      <c r="S1561">
        <v>2</v>
      </c>
      <c r="T1561">
        <v>0</v>
      </c>
      <c r="U1561">
        <v>0</v>
      </c>
      <c r="V1561">
        <v>0</v>
      </c>
      <c r="W1561" t="s">
        <v>45</v>
      </c>
      <c r="X1561">
        <v>69</v>
      </c>
      <c r="Y1561">
        <v>1</v>
      </c>
      <c r="Z1561">
        <f t="shared" si="144"/>
        <v>27</v>
      </c>
      <c r="AA1561">
        <f t="shared" si="145"/>
        <v>0.60526315789473684</v>
      </c>
      <c r="AB1561">
        <f t="shared" si="146"/>
        <v>26</v>
      </c>
      <c r="AC1561" t="str">
        <f t="shared" si="147"/>
        <v>Low</v>
      </c>
      <c r="AD1561" t="str">
        <f t="shared" si="148"/>
        <v>Upsell premium bundle</v>
      </c>
      <c r="AE1561">
        <f t="shared" si="149"/>
        <v>73</v>
      </c>
    </row>
    <row r="1562" spans="1:31" x14ac:dyDescent="0.35">
      <c r="A1562" t="s">
        <v>1620</v>
      </c>
      <c r="B1562" s="4">
        <v>46093</v>
      </c>
      <c r="C1562" s="4">
        <v>46143</v>
      </c>
      <c r="D1562" t="s">
        <v>32</v>
      </c>
      <c r="E1562">
        <v>22</v>
      </c>
      <c r="F1562" t="s">
        <v>57</v>
      </c>
      <c r="G1562" t="s">
        <v>48</v>
      </c>
      <c r="H1562" t="s">
        <v>41</v>
      </c>
      <c r="I1562" t="s">
        <v>36</v>
      </c>
      <c r="J1562">
        <v>1</v>
      </c>
      <c r="K1562" s="5">
        <v>1798.56</v>
      </c>
      <c r="L1562" s="5">
        <v>0</v>
      </c>
      <c r="M1562">
        <v>28</v>
      </c>
      <c r="N1562">
        <v>12</v>
      </c>
      <c r="O1562">
        <v>1</v>
      </c>
      <c r="P1562">
        <v>2</v>
      </c>
      <c r="Q1562">
        <v>13</v>
      </c>
      <c r="R1562">
        <v>2</v>
      </c>
      <c r="S1562">
        <v>0</v>
      </c>
      <c r="T1562">
        <v>0</v>
      </c>
      <c r="U1562">
        <v>0</v>
      </c>
      <c r="V1562">
        <v>0</v>
      </c>
      <c r="W1562" t="s">
        <v>50</v>
      </c>
      <c r="X1562">
        <v>18</v>
      </c>
      <c r="Y1562">
        <v>1</v>
      </c>
      <c r="Z1562">
        <f t="shared" si="144"/>
        <v>55</v>
      </c>
      <c r="AA1562">
        <f t="shared" si="145"/>
        <v>1.3225806451612903</v>
      </c>
      <c r="AB1562">
        <f t="shared" si="146"/>
        <v>24</v>
      </c>
      <c r="AC1562" t="str">
        <f t="shared" si="147"/>
        <v>Low</v>
      </c>
      <c r="AD1562" t="str">
        <f t="shared" si="148"/>
        <v>Upsell premium bundle</v>
      </c>
      <c r="AE1562">
        <f t="shared" si="149"/>
        <v>45</v>
      </c>
    </row>
    <row r="1563" spans="1:31" x14ac:dyDescent="0.35">
      <c r="A1563" t="s">
        <v>1621</v>
      </c>
      <c r="B1563" s="4">
        <v>45844</v>
      </c>
      <c r="C1563" s="4">
        <v>46143</v>
      </c>
      <c r="D1563" t="s">
        <v>66</v>
      </c>
      <c r="E1563">
        <v>49</v>
      </c>
      <c r="F1563" t="s">
        <v>61</v>
      </c>
      <c r="G1563" t="s">
        <v>67</v>
      </c>
      <c r="H1563" t="s">
        <v>41</v>
      </c>
      <c r="I1563" t="s">
        <v>36</v>
      </c>
      <c r="J1563">
        <v>9</v>
      </c>
      <c r="K1563" s="5">
        <v>1367.43</v>
      </c>
      <c r="L1563" s="5">
        <v>2716.55</v>
      </c>
      <c r="M1563">
        <v>31</v>
      </c>
      <c r="N1563">
        <v>20</v>
      </c>
      <c r="O1563">
        <v>7</v>
      </c>
      <c r="P1563">
        <v>3</v>
      </c>
      <c r="Q1563">
        <v>5</v>
      </c>
      <c r="R1563">
        <v>1</v>
      </c>
      <c r="S1563">
        <v>1</v>
      </c>
      <c r="T1563">
        <v>1</v>
      </c>
      <c r="U1563">
        <v>0</v>
      </c>
      <c r="V1563">
        <v>0</v>
      </c>
      <c r="W1563" t="s">
        <v>52</v>
      </c>
      <c r="X1563">
        <v>-22</v>
      </c>
      <c r="Y1563">
        <v>0</v>
      </c>
      <c r="Z1563">
        <f t="shared" si="144"/>
        <v>65</v>
      </c>
      <c r="AA1563">
        <f t="shared" si="145"/>
        <v>0.92307692307692313</v>
      </c>
      <c r="AB1563">
        <f t="shared" si="146"/>
        <v>40</v>
      </c>
      <c r="AC1563" t="str">
        <f t="shared" si="147"/>
        <v>Medium</v>
      </c>
      <c r="AD1563" t="str">
        <f t="shared" si="148"/>
        <v>Nudge core feature adoption</v>
      </c>
      <c r="AE1563">
        <f t="shared" si="149"/>
        <v>35</v>
      </c>
    </row>
    <row r="1564" spans="1:31" x14ac:dyDescent="0.35">
      <c r="A1564" t="s">
        <v>1622</v>
      </c>
      <c r="B1564" s="4">
        <v>45330</v>
      </c>
      <c r="C1564" s="4">
        <v>46143</v>
      </c>
      <c r="D1564" t="s">
        <v>72</v>
      </c>
      <c r="E1564">
        <v>56</v>
      </c>
      <c r="F1564" t="s">
        <v>57</v>
      </c>
      <c r="G1564" t="s">
        <v>40</v>
      </c>
      <c r="H1564" t="s">
        <v>41</v>
      </c>
      <c r="I1564" t="s">
        <v>36</v>
      </c>
      <c r="J1564">
        <v>27</v>
      </c>
      <c r="K1564" s="5">
        <v>600.71</v>
      </c>
      <c r="L1564" s="5">
        <v>406.72</v>
      </c>
      <c r="M1564">
        <v>14</v>
      </c>
      <c r="N1564">
        <v>5</v>
      </c>
      <c r="O1564">
        <v>1</v>
      </c>
      <c r="P1564">
        <v>0</v>
      </c>
      <c r="Q1564">
        <v>14</v>
      </c>
      <c r="R1564">
        <v>1</v>
      </c>
      <c r="S1564">
        <v>1</v>
      </c>
      <c r="T1564">
        <v>0</v>
      </c>
      <c r="U1564">
        <v>0</v>
      </c>
      <c r="V1564">
        <v>0</v>
      </c>
      <c r="W1564" t="s">
        <v>45</v>
      </c>
      <c r="X1564">
        <v>13</v>
      </c>
      <c r="Y1564">
        <v>1</v>
      </c>
      <c r="Z1564">
        <f t="shared" si="144"/>
        <v>33</v>
      </c>
      <c r="AA1564">
        <f t="shared" si="145"/>
        <v>0.49122807017543857</v>
      </c>
      <c r="AB1564">
        <f t="shared" si="146"/>
        <v>45</v>
      </c>
      <c r="AC1564" t="str">
        <f t="shared" si="147"/>
        <v>Medium</v>
      </c>
      <c r="AD1564" t="str">
        <f t="shared" si="148"/>
        <v>Nudge core feature adoption</v>
      </c>
      <c r="AE1564">
        <f t="shared" si="149"/>
        <v>67</v>
      </c>
    </row>
    <row r="1565" spans="1:31" x14ac:dyDescent="0.35">
      <c r="A1565" t="s">
        <v>1623</v>
      </c>
      <c r="B1565" s="4">
        <v>45736</v>
      </c>
      <c r="C1565" s="4">
        <v>46143</v>
      </c>
      <c r="D1565" t="s">
        <v>47</v>
      </c>
      <c r="E1565">
        <v>57</v>
      </c>
      <c r="F1565" t="s">
        <v>61</v>
      </c>
      <c r="G1565" t="s">
        <v>63</v>
      </c>
      <c r="H1565" t="s">
        <v>41</v>
      </c>
      <c r="I1565" t="s">
        <v>36</v>
      </c>
      <c r="J1565">
        <v>13</v>
      </c>
      <c r="K1565" s="5">
        <v>5517.02</v>
      </c>
      <c r="L1565" s="5">
        <v>496.13</v>
      </c>
      <c r="M1565">
        <v>18</v>
      </c>
      <c r="N1565">
        <v>7</v>
      </c>
      <c r="O1565">
        <v>1</v>
      </c>
      <c r="P1565">
        <v>2</v>
      </c>
      <c r="Q1565">
        <v>4</v>
      </c>
      <c r="R1565">
        <v>0</v>
      </c>
      <c r="S1565">
        <v>1</v>
      </c>
      <c r="T1565">
        <v>0</v>
      </c>
      <c r="U1565">
        <v>1</v>
      </c>
      <c r="V1565">
        <v>0</v>
      </c>
      <c r="W1565" t="s">
        <v>50</v>
      </c>
      <c r="X1565">
        <v>-15</v>
      </c>
      <c r="Y1565">
        <v>1</v>
      </c>
      <c r="Z1565">
        <f t="shared" si="144"/>
        <v>40</v>
      </c>
      <c r="AA1565">
        <f t="shared" si="145"/>
        <v>0.51162790697674421</v>
      </c>
      <c r="AB1565">
        <f t="shared" si="146"/>
        <v>58</v>
      </c>
      <c r="AC1565" t="str">
        <f t="shared" si="147"/>
        <v>Medium</v>
      </c>
      <c r="AD1565" t="str">
        <f t="shared" si="148"/>
        <v>Nudge core feature adoption</v>
      </c>
      <c r="AE1565">
        <f t="shared" si="149"/>
        <v>60</v>
      </c>
    </row>
    <row r="1566" spans="1:31" x14ac:dyDescent="0.35">
      <c r="A1566" t="s">
        <v>1624</v>
      </c>
      <c r="B1566" s="4">
        <v>45783</v>
      </c>
      <c r="C1566" s="4">
        <v>46143</v>
      </c>
      <c r="D1566" t="s">
        <v>66</v>
      </c>
      <c r="E1566">
        <v>48</v>
      </c>
      <c r="F1566" t="s">
        <v>77</v>
      </c>
      <c r="G1566" t="s">
        <v>63</v>
      </c>
      <c r="H1566" t="s">
        <v>41</v>
      </c>
      <c r="I1566" t="s">
        <v>36</v>
      </c>
      <c r="J1566">
        <v>12</v>
      </c>
      <c r="K1566" s="5">
        <v>9351.51</v>
      </c>
      <c r="L1566" s="5">
        <v>689.9</v>
      </c>
      <c r="M1566">
        <v>25</v>
      </c>
      <c r="N1566">
        <v>17</v>
      </c>
      <c r="O1566">
        <v>4</v>
      </c>
      <c r="P1566">
        <v>1</v>
      </c>
      <c r="Q1566">
        <v>15</v>
      </c>
      <c r="R1566">
        <v>0</v>
      </c>
      <c r="S1566">
        <v>0</v>
      </c>
      <c r="T1566">
        <v>1</v>
      </c>
      <c r="U1566">
        <v>0</v>
      </c>
      <c r="V1566">
        <v>0</v>
      </c>
      <c r="W1566" t="s">
        <v>52</v>
      </c>
      <c r="X1566">
        <v>7</v>
      </c>
      <c r="Y1566">
        <v>0</v>
      </c>
      <c r="Z1566">
        <f t="shared" si="144"/>
        <v>59</v>
      </c>
      <c r="AA1566">
        <f t="shared" si="145"/>
        <v>0.95238095238095233</v>
      </c>
      <c r="AB1566">
        <f t="shared" si="146"/>
        <v>31</v>
      </c>
      <c r="AC1566" t="str">
        <f t="shared" si="147"/>
        <v>Low</v>
      </c>
      <c r="AD1566" t="str">
        <f t="shared" si="148"/>
        <v>Upsell premium bundle</v>
      </c>
      <c r="AE1566">
        <f t="shared" si="149"/>
        <v>41</v>
      </c>
    </row>
    <row r="1567" spans="1:31" x14ac:dyDescent="0.35">
      <c r="A1567" t="s">
        <v>1625</v>
      </c>
      <c r="B1567" s="4">
        <v>45573</v>
      </c>
      <c r="C1567" s="4">
        <v>46143</v>
      </c>
      <c r="D1567" t="s">
        <v>66</v>
      </c>
      <c r="E1567">
        <v>38</v>
      </c>
      <c r="F1567" t="s">
        <v>57</v>
      </c>
      <c r="G1567" t="s">
        <v>34</v>
      </c>
      <c r="H1567" t="s">
        <v>35</v>
      </c>
      <c r="I1567" t="s">
        <v>36</v>
      </c>
      <c r="J1567">
        <v>19</v>
      </c>
      <c r="K1567" s="5">
        <v>1760.78</v>
      </c>
      <c r="L1567" s="5">
        <v>939.99</v>
      </c>
      <c r="M1567">
        <v>2</v>
      </c>
      <c r="N1567">
        <v>0</v>
      </c>
      <c r="O1567">
        <v>0</v>
      </c>
      <c r="P1567">
        <v>0</v>
      </c>
      <c r="Q1567">
        <v>9</v>
      </c>
      <c r="R1567">
        <v>2</v>
      </c>
      <c r="S1567">
        <v>1</v>
      </c>
      <c r="T1567">
        <v>0</v>
      </c>
      <c r="U1567">
        <v>1</v>
      </c>
      <c r="V1567">
        <v>0</v>
      </c>
      <c r="W1567" t="s">
        <v>55</v>
      </c>
      <c r="X1567">
        <v>30</v>
      </c>
      <c r="Y1567">
        <v>1</v>
      </c>
      <c r="Z1567">
        <f t="shared" si="144"/>
        <v>18</v>
      </c>
      <c r="AA1567">
        <f t="shared" si="145"/>
        <v>0.22448979591836735</v>
      </c>
      <c r="AB1567">
        <f t="shared" si="146"/>
        <v>31</v>
      </c>
      <c r="AC1567" t="str">
        <f t="shared" si="147"/>
        <v>Low</v>
      </c>
      <c r="AD1567" t="str">
        <f t="shared" si="148"/>
        <v>Upsell premium bundle</v>
      </c>
      <c r="AE1567">
        <f t="shared" si="149"/>
        <v>82</v>
      </c>
    </row>
    <row r="1568" spans="1:31" x14ac:dyDescent="0.35">
      <c r="A1568" t="s">
        <v>1626</v>
      </c>
      <c r="B1568" s="4">
        <v>44764</v>
      </c>
      <c r="C1568" s="4">
        <v>46143</v>
      </c>
      <c r="D1568" t="s">
        <v>72</v>
      </c>
      <c r="E1568">
        <v>38</v>
      </c>
      <c r="F1568" t="s">
        <v>33</v>
      </c>
      <c r="G1568" t="s">
        <v>48</v>
      </c>
      <c r="H1568" t="s">
        <v>41</v>
      </c>
      <c r="I1568" t="s">
        <v>36</v>
      </c>
      <c r="J1568">
        <v>45</v>
      </c>
      <c r="K1568" s="5">
        <v>288.88</v>
      </c>
      <c r="L1568" s="5">
        <v>512.57000000000005</v>
      </c>
      <c r="M1568">
        <v>20</v>
      </c>
      <c r="N1568">
        <v>11</v>
      </c>
      <c r="O1568">
        <v>5</v>
      </c>
      <c r="P1568">
        <v>2</v>
      </c>
      <c r="Q1568">
        <v>13</v>
      </c>
      <c r="R1568">
        <v>1</v>
      </c>
      <c r="S1568">
        <v>0</v>
      </c>
      <c r="T1568">
        <v>0</v>
      </c>
      <c r="U1568">
        <v>0</v>
      </c>
      <c r="V1568">
        <v>0</v>
      </c>
      <c r="W1568" t="s">
        <v>37</v>
      </c>
      <c r="X1568">
        <v>51</v>
      </c>
      <c r="Y1568">
        <v>1</v>
      </c>
      <c r="Z1568">
        <f t="shared" si="144"/>
        <v>50</v>
      </c>
      <c r="AA1568">
        <f t="shared" si="145"/>
        <v>0.44</v>
      </c>
      <c r="AB1568">
        <f t="shared" si="146"/>
        <v>11</v>
      </c>
      <c r="AC1568" t="str">
        <f t="shared" si="147"/>
        <v>Low</v>
      </c>
      <c r="AD1568" t="str">
        <f t="shared" si="148"/>
        <v>Upsell premium bundle</v>
      </c>
      <c r="AE1568">
        <f t="shared" si="149"/>
        <v>50</v>
      </c>
    </row>
    <row r="1569" spans="1:31" x14ac:dyDescent="0.35">
      <c r="A1569" t="s">
        <v>1627</v>
      </c>
      <c r="B1569" s="4">
        <v>46099</v>
      </c>
      <c r="C1569" s="4">
        <v>46143</v>
      </c>
      <c r="D1569" t="s">
        <v>47</v>
      </c>
      <c r="E1569">
        <v>50</v>
      </c>
      <c r="F1569" t="s">
        <v>33</v>
      </c>
      <c r="G1569" t="s">
        <v>48</v>
      </c>
      <c r="H1569" t="s">
        <v>35</v>
      </c>
      <c r="I1569" t="s">
        <v>36</v>
      </c>
      <c r="J1569">
        <v>1</v>
      </c>
      <c r="K1569" s="5">
        <v>631.57000000000005</v>
      </c>
      <c r="L1569" s="5">
        <v>261.67</v>
      </c>
      <c r="M1569">
        <v>27</v>
      </c>
      <c r="N1569">
        <v>10</v>
      </c>
      <c r="O1569">
        <v>2</v>
      </c>
      <c r="P1569">
        <v>4</v>
      </c>
      <c r="Q1569">
        <v>13</v>
      </c>
      <c r="R1569">
        <v>0</v>
      </c>
      <c r="S1569">
        <v>0</v>
      </c>
      <c r="T1569">
        <v>0</v>
      </c>
      <c r="U1569">
        <v>1</v>
      </c>
      <c r="V1569">
        <v>0</v>
      </c>
      <c r="W1569" t="s">
        <v>37</v>
      </c>
      <c r="X1569">
        <v>36</v>
      </c>
      <c r="Y1569">
        <v>0</v>
      </c>
      <c r="Z1569">
        <f t="shared" si="144"/>
        <v>64</v>
      </c>
      <c r="AA1569">
        <f t="shared" si="145"/>
        <v>1.2903225806451613</v>
      </c>
      <c r="AB1569">
        <f t="shared" si="146"/>
        <v>4</v>
      </c>
      <c r="AC1569" t="str">
        <f t="shared" si="147"/>
        <v>Low</v>
      </c>
      <c r="AD1569" t="str">
        <f t="shared" si="148"/>
        <v>Upsell premium bundle</v>
      </c>
      <c r="AE1569">
        <f t="shared" si="149"/>
        <v>36</v>
      </c>
    </row>
    <row r="1570" spans="1:31" x14ac:dyDescent="0.35">
      <c r="A1570" t="s">
        <v>1628</v>
      </c>
      <c r="B1570" s="4">
        <v>45156</v>
      </c>
      <c r="C1570" s="4">
        <v>46143</v>
      </c>
      <c r="D1570" t="s">
        <v>32</v>
      </c>
      <c r="E1570">
        <v>62</v>
      </c>
      <c r="F1570" t="s">
        <v>57</v>
      </c>
      <c r="G1570" t="s">
        <v>63</v>
      </c>
      <c r="H1570" t="s">
        <v>58</v>
      </c>
      <c r="I1570" t="s">
        <v>36</v>
      </c>
      <c r="J1570">
        <v>32</v>
      </c>
      <c r="K1570" s="5">
        <v>544.66</v>
      </c>
      <c r="L1570" s="5">
        <v>1271.54</v>
      </c>
      <c r="M1570">
        <v>40</v>
      </c>
      <c r="N1570">
        <v>28</v>
      </c>
      <c r="O1570">
        <v>10</v>
      </c>
      <c r="P1570">
        <v>3</v>
      </c>
      <c r="Q1570">
        <v>20</v>
      </c>
      <c r="R1570">
        <v>0</v>
      </c>
      <c r="S1570">
        <v>0</v>
      </c>
      <c r="T1570">
        <v>0</v>
      </c>
      <c r="U1570">
        <v>1</v>
      </c>
      <c r="V1570">
        <v>1</v>
      </c>
      <c r="W1570" t="s">
        <v>55</v>
      </c>
      <c r="X1570">
        <v>54</v>
      </c>
      <c r="Y1570">
        <v>0</v>
      </c>
      <c r="Z1570">
        <f t="shared" si="144"/>
        <v>100</v>
      </c>
      <c r="AA1570">
        <f t="shared" si="145"/>
        <v>0.967741935483871</v>
      </c>
      <c r="AB1570">
        <f t="shared" si="146"/>
        <v>0</v>
      </c>
      <c r="AC1570" t="str">
        <f t="shared" si="147"/>
        <v>Low</v>
      </c>
      <c r="AD1570" t="str">
        <f t="shared" si="148"/>
        <v>Upsell premium bundle</v>
      </c>
      <c r="AE1570">
        <f t="shared" si="149"/>
        <v>0</v>
      </c>
    </row>
    <row r="1571" spans="1:31" x14ac:dyDescent="0.35">
      <c r="A1571" t="s">
        <v>1629</v>
      </c>
      <c r="B1571" s="4">
        <v>45428</v>
      </c>
      <c r="C1571" s="4">
        <v>46143</v>
      </c>
      <c r="D1571" t="s">
        <v>47</v>
      </c>
      <c r="E1571">
        <v>70</v>
      </c>
      <c r="F1571" t="s">
        <v>57</v>
      </c>
      <c r="G1571" t="s">
        <v>34</v>
      </c>
      <c r="H1571" t="s">
        <v>41</v>
      </c>
      <c r="I1571" t="s">
        <v>49</v>
      </c>
      <c r="J1571">
        <v>23</v>
      </c>
      <c r="K1571" s="5">
        <v>2017.46</v>
      </c>
      <c r="L1571" s="5">
        <v>1763.79</v>
      </c>
      <c r="M1571">
        <v>25</v>
      </c>
      <c r="N1571">
        <v>7</v>
      </c>
      <c r="O1571">
        <v>3</v>
      </c>
      <c r="P1571">
        <v>2</v>
      </c>
      <c r="Q1571">
        <v>25</v>
      </c>
      <c r="R1571">
        <v>1</v>
      </c>
      <c r="S1571">
        <v>2</v>
      </c>
      <c r="T1571">
        <v>0</v>
      </c>
      <c r="U1571">
        <v>1</v>
      </c>
      <c r="V1571">
        <v>1</v>
      </c>
      <c r="W1571" t="s">
        <v>52</v>
      </c>
      <c r="X1571">
        <v>18</v>
      </c>
      <c r="Y1571">
        <v>0</v>
      </c>
      <c r="Z1571">
        <f t="shared" si="144"/>
        <v>76</v>
      </c>
      <c r="AA1571">
        <f t="shared" si="145"/>
        <v>0.94339622641509435</v>
      </c>
      <c r="AB1571">
        <f t="shared" si="146"/>
        <v>39</v>
      </c>
      <c r="AC1571" t="str">
        <f t="shared" si="147"/>
        <v>Low</v>
      </c>
      <c r="AD1571" t="str">
        <f t="shared" si="148"/>
        <v>Upsell premium bundle</v>
      </c>
      <c r="AE1571">
        <f t="shared" si="149"/>
        <v>24</v>
      </c>
    </row>
    <row r="1572" spans="1:31" x14ac:dyDescent="0.35">
      <c r="A1572" t="s">
        <v>1630</v>
      </c>
      <c r="B1572" s="4">
        <v>44916</v>
      </c>
      <c r="C1572" s="4">
        <v>46143</v>
      </c>
      <c r="D1572" t="s">
        <v>32</v>
      </c>
      <c r="E1572">
        <v>31</v>
      </c>
      <c r="F1572" t="s">
        <v>43</v>
      </c>
      <c r="G1572" t="s">
        <v>48</v>
      </c>
      <c r="H1572" t="s">
        <v>58</v>
      </c>
      <c r="I1572" t="s">
        <v>36</v>
      </c>
      <c r="J1572">
        <v>40</v>
      </c>
      <c r="K1572" s="5">
        <v>72.319999999999993</v>
      </c>
      <c r="L1572" s="5">
        <v>79.38</v>
      </c>
      <c r="M1572">
        <v>30</v>
      </c>
      <c r="N1572">
        <v>8</v>
      </c>
      <c r="O1572">
        <v>8</v>
      </c>
      <c r="P1572">
        <v>3</v>
      </c>
      <c r="Q1572">
        <v>16</v>
      </c>
      <c r="R1572">
        <v>0</v>
      </c>
      <c r="S1572">
        <v>0</v>
      </c>
      <c r="T1572">
        <v>0</v>
      </c>
      <c r="U1572">
        <v>0</v>
      </c>
      <c r="V1572">
        <v>1</v>
      </c>
      <c r="W1572" t="s">
        <v>37</v>
      </c>
      <c r="X1572">
        <v>24</v>
      </c>
      <c r="Y1572">
        <v>0</v>
      </c>
      <c r="Z1572">
        <f t="shared" si="144"/>
        <v>74</v>
      </c>
      <c r="AA1572">
        <f t="shared" si="145"/>
        <v>0.65714285714285714</v>
      </c>
      <c r="AB1572">
        <f t="shared" si="146"/>
        <v>6</v>
      </c>
      <c r="AC1572" t="str">
        <f t="shared" si="147"/>
        <v>Low</v>
      </c>
      <c r="AD1572" t="str">
        <f t="shared" si="148"/>
        <v>Upsell premium bundle</v>
      </c>
      <c r="AE1572">
        <f t="shared" si="149"/>
        <v>26</v>
      </c>
    </row>
    <row r="1573" spans="1:31" x14ac:dyDescent="0.35">
      <c r="A1573" t="s">
        <v>1631</v>
      </c>
      <c r="B1573" s="4">
        <v>45180</v>
      </c>
      <c r="C1573" s="4">
        <v>46143</v>
      </c>
      <c r="D1573" t="s">
        <v>32</v>
      </c>
      <c r="E1573">
        <v>19</v>
      </c>
      <c r="F1573" t="s">
        <v>43</v>
      </c>
      <c r="G1573" t="s">
        <v>85</v>
      </c>
      <c r="H1573" t="s">
        <v>41</v>
      </c>
      <c r="I1573" t="s">
        <v>36</v>
      </c>
      <c r="J1573">
        <v>32</v>
      </c>
      <c r="K1573" s="5">
        <v>86.88</v>
      </c>
      <c r="L1573" s="5">
        <v>18.93</v>
      </c>
      <c r="M1573">
        <v>43</v>
      </c>
      <c r="N1573">
        <v>29</v>
      </c>
      <c r="O1573">
        <v>9</v>
      </c>
      <c r="P1573">
        <v>3</v>
      </c>
      <c r="Q1573">
        <v>28</v>
      </c>
      <c r="R1573">
        <v>4</v>
      </c>
      <c r="S1573">
        <v>2</v>
      </c>
      <c r="T1573">
        <v>1</v>
      </c>
      <c r="U1573">
        <v>0</v>
      </c>
      <c r="V1573">
        <v>1</v>
      </c>
      <c r="W1573" t="s">
        <v>52</v>
      </c>
      <c r="X1573">
        <v>-46</v>
      </c>
      <c r="Y1573">
        <v>1</v>
      </c>
      <c r="Z1573">
        <f t="shared" si="144"/>
        <v>100</v>
      </c>
      <c r="AA1573">
        <f t="shared" si="145"/>
        <v>1.1451612903225807</v>
      </c>
      <c r="AB1573">
        <f t="shared" si="146"/>
        <v>51</v>
      </c>
      <c r="AC1573" t="str">
        <f t="shared" si="147"/>
        <v>Medium</v>
      </c>
      <c r="AD1573" t="str">
        <f t="shared" si="148"/>
        <v>Nudge core feature adoption</v>
      </c>
      <c r="AE1573">
        <f t="shared" si="149"/>
        <v>0</v>
      </c>
    </row>
    <row r="1574" spans="1:31" x14ac:dyDescent="0.35">
      <c r="A1574" t="s">
        <v>1632</v>
      </c>
      <c r="B1574" s="4">
        <v>44933</v>
      </c>
      <c r="C1574" s="4">
        <v>46143</v>
      </c>
      <c r="D1574" t="s">
        <v>32</v>
      </c>
      <c r="E1574">
        <v>58</v>
      </c>
      <c r="F1574" t="s">
        <v>57</v>
      </c>
      <c r="G1574" t="s">
        <v>48</v>
      </c>
      <c r="H1574" t="s">
        <v>44</v>
      </c>
      <c r="I1574" t="s">
        <v>36</v>
      </c>
      <c r="J1574">
        <v>40</v>
      </c>
      <c r="K1574" s="5">
        <v>1443.37</v>
      </c>
      <c r="L1574" s="5">
        <v>0</v>
      </c>
      <c r="M1574">
        <v>34</v>
      </c>
      <c r="N1574">
        <v>21</v>
      </c>
      <c r="O1574">
        <v>2</v>
      </c>
      <c r="P1574">
        <v>0</v>
      </c>
      <c r="Q1574">
        <v>21</v>
      </c>
      <c r="R1574">
        <v>1</v>
      </c>
      <c r="S1574">
        <v>0</v>
      </c>
      <c r="T1574">
        <v>0</v>
      </c>
      <c r="U1574">
        <v>1</v>
      </c>
      <c r="V1574">
        <v>0</v>
      </c>
      <c r="W1574" t="s">
        <v>55</v>
      </c>
      <c r="X1574">
        <v>24</v>
      </c>
      <c r="Y1574">
        <v>0</v>
      </c>
      <c r="Z1574">
        <f t="shared" si="144"/>
        <v>81</v>
      </c>
      <c r="AA1574">
        <f t="shared" si="145"/>
        <v>0.7857142857142857</v>
      </c>
      <c r="AB1574">
        <f t="shared" si="146"/>
        <v>2</v>
      </c>
      <c r="AC1574" t="str">
        <f t="shared" si="147"/>
        <v>Low</v>
      </c>
      <c r="AD1574" t="str">
        <f t="shared" si="148"/>
        <v>Upsell premium bundle</v>
      </c>
      <c r="AE1574">
        <f t="shared" si="149"/>
        <v>19</v>
      </c>
    </row>
    <row r="1575" spans="1:31" x14ac:dyDescent="0.35">
      <c r="A1575" t="s">
        <v>1633</v>
      </c>
      <c r="B1575" s="4">
        <v>44937</v>
      </c>
      <c r="C1575" s="4">
        <v>46143</v>
      </c>
      <c r="D1575" t="s">
        <v>72</v>
      </c>
      <c r="E1575">
        <v>63</v>
      </c>
      <c r="F1575" t="s">
        <v>61</v>
      </c>
      <c r="G1575" t="s">
        <v>67</v>
      </c>
      <c r="H1575" t="s">
        <v>41</v>
      </c>
      <c r="I1575" t="s">
        <v>36</v>
      </c>
      <c r="J1575">
        <v>40</v>
      </c>
      <c r="K1575" s="5">
        <v>1474.32</v>
      </c>
      <c r="L1575" s="5">
        <v>2139.73</v>
      </c>
      <c r="M1575">
        <v>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0</v>
      </c>
      <c r="V1575">
        <v>0</v>
      </c>
      <c r="W1575" t="s">
        <v>45</v>
      </c>
      <c r="X1575">
        <v>-5</v>
      </c>
      <c r="Y1575">
        <v>1</v>
      </c>
      <c r="Z1575">
        <f t="shared" si="144"/>
        <v>2</v>
      </c>
      <c r="AA1575">
        <f t="shared" si="145"/>
        <v>2.8571428571428571E-2</v>
      </c>
      <c r="AB1575">
        <f t="shared" si="146"/>
        <v>58</v>
      </c>
      <c r="AC1575" t="str">
        <f t="shared" si="147"/>
        <v>Medium</v>
      </c>
      <c r="AD1575" t="str">
        <f t="shared" si="148"/>
        <v>Nudge core feature adoption</v>
      </c>
      <c r="AE1575">
        <f t="shared" si="149"/>
        <v>98</v>
      </c>
    </row>
    <row r="1576" spans="1:31" x14ac:dyDescent="0.35">
      <c r="A1576" t="s">
        <v>1634</v>
      </c>
      <c r="B1576" s="4">
        <v>46031</v>
      </c>
      <c r="C1576" s="4">
        <v>46143</v>
      </c>
      <c r="D1576" t="s">
        <v>47</v>
      </c>
      <c r="E1576">
        <v>38</v>
      </c>
      <c r="F1576" t="s">
        <v>43</v>
      </c>
      <c r="G1576" t="s">
        <v>63</v>
      </c>
      <c r="H1576" t="s">
        <v>41</v>
      </c>
      <c r="I1576" t="s">
        <v>36</v>
      </c>
      <c r="J1576">
        <v>3</v>
      </c>
      <c r="K1576" s="5">
        <v>74.12</v>
      </c>
      <c r="L1576" s="5">
        <v>26.67</v>
      </c>
      <c r="M1576">
        <v>2</v>
      </c>
      <c r="N1576">
        <v>1</v>
      </c>
      <c r="O1576">
        <v>0</v>
      </c>
      <c r="P1576">
        <v>0</v>
      </c>
      <c r="Q1576">
        <v>8</v>
      </c>
      <c r="R1576">
        <v>0</v>
      </c>
      <c r="S1576">
        <v>0</v>
      </c>
      <c r="T1576">
        <v>1</v>
      </c>
      <c r="U1576">
        <v>0</v>
      </c>
      <c r="V1576">
        <v>1</v>
      </c>
      <c r="W1576" t="s">
        <v>52</v>
      </c>
      <c r="X1576">
        <v>7</v>
      </c>
      <c r="Y1576">
        <v>1</v>
      </c>
      <c r="Z1576">
        <f t="shared" si="144"/>
        <v>17</v>
      </c>
      <c r="AA1576">
        <f t="shared" si="145"/>
        <v>0.30303030303030304</v>
      </c>
      <c r="AB1576">
        <f t="shared" si="146"/>
        <v>48</v>
      </c>
      <c r="AC1576" t="str">
        <f t="shared" si="147"/>
        <v>Medium</v>
      </c>
      <c r="AD1576" t="str">
        <f t="shared" si="148"/>
        <v>Nudge core feature adoption</v>
      </c>
      <c r="AE1576">
        <f t="shared" si="149"/>
        <v>83</v>
      </c>
    </row>
    <row r="1577" spans="1:31" x14ac:dyDescent="0.35">
      <c r="A1577" t="s">
        <v>1635</v>
      </c>
      <c r="B1577" s="4">
        <v>45360</v>
      </c>
      <c r="C1577" s="4">
        <v>46143</v>
      </c>
      <c r="D1577" t="s">
        <v>60</v>
      </c>
      <c r="E1577">
        <v>71</v>
      </c>
      <c r="F1577" t="s">
        <v>57</v>
      </c>
      <c r="G1577" t="s">
        <v>85</v>
      </c>
      <c r="H1577" t="s">
        <v>58</v>
      </c>
      <c r="I1577" t="s">
        <v>36</v>
      </c>
      <c r="J1577">
        <v>26</v>
      </c>
      <c r="K1577" s="5">
        <v>1233.0999999999999</v>
      </c>
      <c r="L1577" s="5">
        <v>688.58</v>
      </c>
      <c r="M1577">
        <v>29</v>
      </c>
      <c r="N1577">
        <v>10</v>
      </c>
      <c r="O1577">
        <v>2</v>
      </c>
      <c r="P1577">
        <v>4</v>
      </c>
      <c r="Q1577">
        <v>25</v>
      </c>
      <c r="R1577">
        <v>0</v>
      </c>
      <c r="S1577">
        <v>2</v>
      </c>
      <c r="T1577">
        <v>1</v>
      </c>
      <c r="U1577">
        <v>1</v>
      </c>
      <c r="V1577">
        <v>0</v>
      </c>
      <c r="W1577" t="s">
        <v>45</v>
      </c>
      <c r="X1577">
        <v>20</v>
      </c>
      <c r="Y1577">
        <v>0</v>
      </c>
      <c r="Z1577">
        <f t="shared" si="144"/>
        <v>77</v>
      </c>
      <c r="AA1577">
        <f t="shared" si="145"/>
        <v>0.9642857142857143</v>
      </c>
      <c r="AB1577">
        <f t="shared" si="146"/>
        <v>23</v>
      </c>
      <c r="AC1577" t="str">
        <f t="shared" si="147"/>
        <v>Low</v>
      </c>
      <c r="AD1577" t="str">
        <f t="shared" si="148"/>
        <v>Upsell premium bundle</v>
      </c>
      <c r="AE1577">
        <f t="shared" si="149"/>
        <v>23</v>
      </c>
    </row>
    <row r="1578" spans="1:31" x14ac:dyDescent="0.35">
      <c r="A1578" t="s">
        <v>1636</v>
      </c>
      <c r="B1578" s="4">
        <v>45183</v>
      </c>
      <c r="C1578" s="4">
        <v>46143</v>
      </c>
      <c r="D1578" t="s">
        <v>60</v>
      </c>
      <c r="E1578">
        <v>35</v>
      </c>
      <c r="F1578" t="s">
        <v>61</v>
      </c>
      <c r="G1578" t="s">
        <v>67</v>
      </c>
      <c r="H1578" t="s">
        <v>35</v>
      </c>
      <c r="I1578" t="s">
        <v>36</v>
      </c>
      <c r="J1578">
        <v>32</v>
      </c>
      <c r="K1578" s="5">
        <v>4615.13</v>
      </c>
      <c r="L1578" s="5">
        <v>3231.96</v>
      </c>
      <c r="M1578">
        <v>40</v>
      </c>
      <c r="N1578">
        <v>25</v>
      </c>
      <c r="O1578">
        <v>3</v>
      </c>
      <c r="P1578">
        <v>2</v>
      </c>
      <c r="Q1578">
        <v>34</v>
      </c>
      <c r="R1578">
        <v>3</v>
      </c>
      <c r="S1578">
        <v>2</v>
      </c>
      <c r="T1578">
        <v>1</v>
      </c>
      <c r="U1578">
        <v>0</v>
      </c>
      <c r="V1578">
        <v>1</v>
      </c>
      <c r="W1578" t="s">
        <v>50</v>
      </c>
      <c r="X1578">
        <v>-3</v>
      </c>
      <c r="Y1578">
        <v>0</v>
      </c>
      <c r="Z1578">
        <f t="shared" si="144"/>
        <v>100</v>
      </c>
      <c r="AA1578">
        <f t="shared" si="145"/>
        <v>1.1935483870967742</v>
      </c>
      <c r="AB1578">
        <f t="shared" si="146"/>
        <v>11</v>
      </c>
      <c r="AC1578" t="str">
        <f t="shared" si="147"/>
        <v>Low</v>
      </c>
      <c r="AD1578" t="str">
        <f t="shared" si="148"/>
        <v>Upsell premium bundle</v>
      </c>
      <c r="AE1578">
        <f t="shared" si="149"/>
        <v>0</v>
      </c>
    </row>
    <row r="1579" spans="1:31" x14ac:dyDescent="0.35">
      <c r="A1579" t="s">
        <v>1637</v>
      </c>
      <c r="B1579" s="4">
        <v>45590</v>
      </c>
      <c r="C1579" s="4">
        <v>46143</v>
      </c>
      <c r="D1579" t="s">
        <v>60</v>
      </c>
      <c r="E1579">
        <v>24</v>
      </c>
      <c r="F1579" t="s">
        <v>57</v>
      </c>
      <c r="G1579" t="s">
        <v>63</v>
      </c>
      <c r="H1579" t="s">
        <v>58</v>
      </c>
      <c r="I1579" t="s">
        <v>36</v>
      </c>
      <c r="J1579">
        <v>18</v>
      </c>
      <c r="K1579" s="5">
        <v>0</v>
      </c>
      <c r="L1579" s="5">
        <v>631.98</v>
      </c>
      <c r="M1579">
        <v>21</v>
      </c>
      <c r="N1579">
        <v>5</v>
      </c>
      <c r="O1579">
        <v>4</v>
      </c>
      <c r="P1579">
        <v>2</v>
      </c>
      <c r="Q1579">
        <v>16</v>
      </c>
      <c r="R1579">
        <v>1</v>
      </c>
      <c r="S1579">
        <v>0</v>
      </c>
      <c r="T1579">
        <v>1</v>
      </c>
      <c r="U1579">
        <v>0</v>
      </c>
      <c r="V1579">
        <v>0</v>
      </c>
      <c r="W1579" t="s">
        <v>55</v>
      </c>
      <c r="X1579">
        <v>19</v>
      </c>
      <c r="Y1579">
        <v>0</v>
      </c>
      <c r="Z1579">
        <f t="shared" si="144"/>
        <v>49</v>
      </c>
      <c r="AA1579">
        <f t="shared" si="145"/>
        <v>0.77083333333333337</v>
      </c>
      <c r="AB1579">
        <f t="shared" si="146"/>
        <v>17</v>
      </c>
      <c r="AC1579" t="str">
        <f t="shared" si="147"/>
        <v>Low</v>
      </c>
      <c r="AD1579" t="str">
        <f t="shared" si="148"/>
        <v>Upsell premium bundle</v>
      </c>
      <c r="AE1579">
        <f t="shared" si="149"/>
        <v>51</v>
      </c>
    </row>
    <row r="1580" spans="1:31" x14ac:dyDescent="0.35">
      <c r="A1580" t="s">
        <v>1638</v>
      </c>
      <c r="B1580" s="4">
        <v>45996</v>
      </c>
      <c r="C1580" s="4">
        <v>46143</v>
      </c>
      <c r="D1580" t="s">
        <v>47</v>
      </c>
      <c r="E1580">
        <v>48</v>
      </c>
      <c r="F1580" t="s">
        <v>57</v>
      </c>
      <c r="G1580" t="s">
        <v>34</v>
      </c>
      <c r="H1580" t="s">
        <v>58</v>
      </c>
      <c r="I1580" t="s">
        <v>36</v>
      </c>
      <c r="J1580">
        <v>4</v>
      </c>
      <c r="K1580" s="5">
        <v>258.14</v>
      </c>
      <c r="L1580" s="5">
        <v>0</v>
      </c>
      <c r="M1580">
        <v>23</v>
      </c>
      <c r="N1580">
        <v>14</v>
      </c>
      <c r="O1580">
        <v>3</v>
      </c>
      <c r="P1580">
        <v>4</v>
      </c>
      <c r="Q1580">
        <v>17</v>
      </c>
      <c r="R1580">
        <v>1</v>
      </c>
      <c r="S1580">
        <v>0</v>
      </c>
      <c r="T1580">
        <v>1</v>
      </c>
      <c r="U1580">
        <v>0</v>
      </c>
      <c r="V1580">
        <v>0</v>
      </c>
      <c r="W1580" t="s">
        <v>37</v>
      </c>
      <c r="X1580">
        <v>17</v>
      </c>
      <c r="Y1580">
        <v>0</v>
      </c>
      <c r="Z1580">
        <f t="shared" si="144"/>
        <v>60</v>
      </c>
      <c r="AA1580">
        <f t="shared" si="145"/>
        <v>1.1764705882352942</v>
      </c>
      <c r="AB1580">
        <f t="shared" si="146"/>
        <v>14</v>
      </c>
      <c r="AC1580" t="str">
        <f t="shared" si="147"/>
        <v>Low</v>
      </c>
      <c r="AD1580" t="str">
        <f t="shared" si="148"/>
        <v>Upsell premium bundle</v>
      </c>
      <c r="AE1580">
        <f t="shared" si="149"/>
        <v>40</v>
      </c>
    </row>
    <row r="1581" spans="1:31" x14ac:dyDescent="0.35">
      <c r="A1581" t="s">
        <v>1639</v>
      </c>
      <c r="B1581" s="4">
        <v>46009</v>
      </c>
      <c r="C1581" s="4">
        <v>46143</v>
      </c>
      <c r="D1581" t="s">
        <v>66</v>
      </c>
      <c r="E1581">
        <v>31</v>
      </c>
      <c r="F1581" t="s">
        <v>43</v>
      </c>
      <c r="G1581" t="s">
        <v>85</v>
      </c>
      <c r="H1581" t="s">
        <v>41</v>
      </c>
      <c r="I1581" t="s">
        <v>36</v>
      </c>
      <c r="J1581">
        <v>4</v>
      </c>
      <c r="K1581" s="5">
        <v>95.26</v>
      </c>
      <c r="L1581" s="5">
        <v>85.17</v>
      </c>
      <c r="M1581">
        <v>28</v>
      </c>
      <c r="N1581">
        <v>13</v>
      </c>
      <c r="O1581">
        <v>1</v>
      </c>
      <c r="P1581">
        <v>4</v>
      </c>
      <c r="Q1581">
        <v>17</v>
      </c>
      <c r="R1581">
        <v>2</v>
      </c>
      <c r="S1581">
        <v>0</v>
      </c>
      <c r="T1581">
        <v>1</v>
      </c>
      <c r="U1581">
        <v>0</v>
      </c>
      <c r="V1581">
        <v>0</v>
      </c>
      <c r="W1581" t="s">
        <v>55</v>
      </c>
      <c r="X1581">
        <v>0</v>
      </c>
      <c r="Y1581">
        <v>0</v>
      </c>
      <c r="Z1581">
        <f t="shared" si="144"/>
        <v>62</v>
      </c>
      <c r="AA1581">
        <f t="shared" si="145"/>
        <v>1.3235294117647058</v>
      </c>
      <c r="AB1581">
        <f t="shared" si="146"/>
        <v>30</v>
      </c>
      <c r="AC1581" t="str">
        <f t="shared" si="147"/>
        <v>Low</v>
      </c>
      <c r="AD1581" t="str">
        <f t="shared" si="148"/>
        <v>Upsell premium bundle</v>
      </c>
      <c r="AE1581">
        <f t="shared" si="149"/>
        <v>38</v>
      </c>
    </row>
    <row r="1582" spans="1:31" x14ac:dyDescent="0.35">
      <c r="A1582" t="s">
        <v>1640</v>
      </c>
      <c r="B1582" s="4">
        <v>45391</v>
      </c>
      <c r="C1582" s="4">
        <v>46143</v>
      </c>
      <c r="D1582" t="s">
        <v>39</v>
      </c>
      <c r="E1582">
        <v>55</v>
      </c>
      <c r="F1582" t="s">
        <v>33</v>
      </c>
      <c r="G1582" t="s">
        <v>67</v>
      </c>
      <c r="H1582" t="s">
        <v>58</v>
      </c>
      <c r="I1582" t="s">
        <v>54</v>
      </c>
      <c r="J1582">
        <v>25</v>
      </c>
      <c r="K1582" s="5">
        <v>812.39</v>
      </c>
      <c r="L1582" s="5">
        <v>173.65</v>
      </c>
      <c r="M1582">
        <v>37</v>
      </c>
      <c r="N1582">
        <v>20</v>
      </c>
      <c r="O1582">
        <v>6</v>
      </c>
      <c r="P1582">
        <v>7</v>
      </c>
      <c r="Q1582">
        <v>27</v>
      </c>
      <c r="R1582">
        <v>1</v>
      </c>
      <c r="S1582">
        <v>3</v>
      </c>
      <c r="T1582">
        <v>0</v>
      </c>
      <c r="U1582">
        <v>0</v>
      </c>
      <c r="V1582">
        <v>0</v>
      </c>
      <c r="W1582" t="s">
        <v>45</v>
      </c>
      <c r="X1582">
        <v>4</v>
      </c>
      <c r="Y1582">
        <v>1</v>
      </c>
      <c r="Z1582">
        <f t="shared" si="144"/>
        <v>96</v>
      </c>
      <c r="AA1582">
        <f t="shared" si="145"/>
        <v>1.1636363636363636</v>
      </c>
      <c r="AB1582">
        <f t="shared" si="146"/>
        <v>46</v>
      </c>
      <c r="AC1582" t="str">
        <f t="shared" si="147"/>
        <v>Medium</v>
      </c>
      <c r="AD1582" t="str">
        <f t="shared" si="148"/>
        <v>Nudge core feature adoption</v>
      </c>
      <c r="AE1582">
        <f t="shared" si="149"/>
        <v>4</v>
      </c>
    </row>
    <row r="1583" spans="1:31" x14ac:dyDescent="0.35">
      <c r="A1583" t="s">
        <v>1641</v>
      </c>
      <c r="B1583" s="4">
        <v>44749</v>
      </c>
      <c r="C1583" s="4">
        <v>46143</v>
      </c>
      <c r="D1583" t="s">
        <v>72</v>
      </c>
      <c r="E1583">
        <v>28</v>
      </c>
      <c r="F1583" t="s">
        <v>57</v>
      </c>
      <c r="G1583" t="s">
        <v>63</v>
      </c>
      <c r="H1583" t="s">
        <v>58</v>
      </c>
      <c r="I1583" t="s">
        <v>36</v>
      </c>
      <c r="J1583">
        <v>46</v>
      </c>
      <c r="K1583" s="5">
        <v>880.79</v>
      </c>
      <c r="L1583" s="5">
        <v>891.11</v>
      </c>
      <c r="M1583">
        <v>19</v>
      </c>
      <c r="N1583">
        <v>12</v>
      </c>
      <c r="O1583">
        <v>4</v>
      </c>
      <c r="P1583">
        <v>3</v>
      </c>
      <c r="Q1583">
        <v>14</v>
      </c>
      <c r="R1583">
        <v>1</v>
      </c>
      <c r="S1583">
        <v>0</v>
      </c>
      <c r="T1583">
        <v>0</v>
      </c>
      <c r="U1583">
        <v>1</v>
      </c>
      <c r="V1583">
        <v>0</v>
      </c>
      <c r="W1583" t="s">
        <v>52</v>
      </c>
      <c r="X1583">
        <v>44</v>
      </c>
      <c r="Y1583">
        <v>0</v>
      </c>
      <c r="Z1583">
        <f t="shared" si="144"/>
        <v>59</v>
      </c>
      <c r="AA1583">
        <f t="shared" si="145"/>
        <v>0.43421052631578949</v>
      </c>
      <c r="AB1583">
        <f t="shared" si="146"/>
        <v>1</v>
      </c>
      <c r="AC1583" t="str">
        <f t="shared" si="147"/>
        <v>Low</v>
      </c>
      <c r="AD1583" t="str">
        <f t="shared" si="148"/>
        <v>Upsell premium bundle</v>
      </c>
      <c r="AE1583">
        <f t="shared" si="149"/>
        <v>41</v>
      </c>
    </row>
    <row r="1584" spans="1:31" x14ac:dyDescent="0.35">
      <c r="A1584" t="s">
        <v>1642</v>
      </c>
      <c r="B1584" s="4">
        <v>45833</v>
      </c>
      <c r="C1584" s="4">
        <v>46143</v>
      </c>
      <c r="D1584" t="s">
        <v>72</v>
      </c>
      <c r="E1584">
        <v>37</v>
      </c>
      <c r="F1584" t="s">
        <v>43</v>
      </c>
      <c r="G1584" t="s">
        <v>85</v>
      </c>
      <c r="H1584" t="s">
        <v>58</v>
      </c>
      <c r="I1584" t="s">
        <v>36</v>
      </c>
      <c r="J1584">
        <v>10</v>
      </c>
      <c r="K1584" s="5">
        <v>93.88</v>
      </c>
      <c r="L1584" s="5">
        <v>134.19999999999999</v>
      </c>
      <c r="M1584">
        <v>11</v>
      </c>
      <c r="N1584">
        <v>4</v>
      </c>
      <c r="O1584">
        <v>2</v>
      </c>
      <c r="P1584">
        <v>1</v>
      </c>
      <c r="Q1584">
        <v>13</v>
      </c>
      <c r="R1584">
        <v>1</v>
      </c>
      <c r="S1584">
        <v>2</v>
      </c>
      <c r="T1584">
        <v>0</v>
      </c>
      <c r="U1584">
        <v>0</v>
      </c>
      <c r="V1584">
        <v>1</v>
      </c>
      <c r="W1584" t="s">
        <v>52</v>
      </c>
      <c r="X1584">
        <v>12</v>
      </c>
      <c r="Y1584">
        <v>1</v>
      </c>
      <c r="Z1584">
        <f t="shared" si="144"/>
        <v>37</v>
      </c>
      <c r="AA1584">
        <f t="shared" si="145"/>
        <v>0.6</v>
      </c>
      <c r="AB1584">
        <f t="shared" si="146"/>
        <v>42</v>
      </c>
      <c r="AC1584" t="str">
        <f t="shared" si="147"/>
        <v>Medium</v>
      </c>
      <c r="AD1584" t="str">
        <f t="shared" si="148"/>
        <v>Nudge core feature adoption</v>
      </c>
      <c r="AE1584">
        <f t="shared" si="149"/>
        <v>63</v>
      </c>
    </row>
    <row r="1585" spans="1:31" x14ac:dyDescent="0.35">
      <c r="A1585" t="s">
        <v>1643</v>
      </c>
      <c r="B1585" s="4">
        <v>45628</v>
      </c>
      <c r="C1585" s="4">
        <v>46143</v>
      </c>
      <c r="D1585" t="s">
        <v>66</v>
      </c>
      <c r="E1585">
        <v>45</v>
      </c>
      <c r="F1585" t="s">
        <v>33</v>
      </c>
      <c r="G1585" t="s">
        <v>34</v>
      </c>
      <c r="H1585" t="s">
        <v>41</v>
      </c>
      <c r="I1585" t="s">
        <v>36</v>
      </c>
      <c r="J1585">
        <v>17</v>
      </c>
      <c r="K1585" s="5">
        <v>552.55999999999995</v>
      </c>
      <c r="L1585" s="5">
        <v>519.58000000000004</v>
      </c>
      <c r="M1585">
        <v>16</v>
      </c>
      <c r="N1585">
        <v>4</v>
      </c>
      <c r="O1585">
        <v>1</v>
      </c>
      <c r="P1585">
        <v>1</v>
      </c>
      <c r="Q1585">
        <v>11</v>
      </c>
      <c r="R1585">
        <v>3</v>
      </c>
      <c r="S1585">
        <v>2</v>
      </c>
      <c r="T1585">
        <v>1</v>
      </c>
      <c r="U1585">
        <v>0</v>
      </c>
      <c r="V1585">
        <v>0</v>
      </c>
      <c r="W1585" t="s">
        <v>45</v>
      </c>
      <c r="X1585">
        <v>8</v>
      </c>
      <c r="Y1585">
        <v>1</v>
      </c>
      <c r="Z1585">
        <f t="shared" si="144"/>
        <v>33</v>
      </c>
      <c r="AA1585">
        <f t="shared" si="145"/>
        <v>0.57446808510638303</v>
      </c>
      <c r="AB1585">
        <f t="shared" si="146"/>
        <v>52</v>
      </c>
      <c r="AC1585" t="str">
        <f t="shared" si="147"/>
        <v>Medium</v>
      </c>
      <c r="AD1585" t="str">
        <f t="shared" si="148"/>
        <v>Nudge core feature adoption</v>
      </c>
      <c r="AE1585">
        <f t="shared" si="149"/>
        <v>67</v>
      </c>
    </row>
    <row r="1586" spans="1:31" x14ac:dyDescent="0.35">
      <c r="A1586" t="s">
        <v>1644</v>
      </c>
      <c r="B1586" s="4">
        <v>45482</v>
      </c>
      <c r="C1586" s="4">
        <v>46143</v>
      </c>
      <c r="D1586" t="s">
        <v>66</v>
      </c>
      <c r="E1586">
        <v>33</v>
      </c>
      <c r="F1586" t="s">
        <v>61</v>
      </c>
      <c r="G1586" t="s">
        <v>40</v>
      </c>
      <c r="H1586" t="s">
        <v>44</v>
      </c>
      <c r="I1586" t="s">
        <v>36</v>
      </c>
      <c r="J1586">
        <v>22</v>
      </c>
      <c r="K1586" s="5">
        <v>51.92</v>
      </c>
      <c r="L1586" s="5">
        <v>0</v>
      </c>
      <c r="M1586">
        <v>37</v>
      </c>
      <c r="N1586">
        <v>14</v>
      </c>
      <c r="O1586">
        <v>9</v>
      </c>
      <c r="P1586">
        <v>3</v>
      </c>
      <c r="Q1586">
        <v>22</v>
      </c>
      <c r="R1586">
        <v>1</v>
      </c>
      <c r="S1586">
        <v>1</v>
      </c>
      <c r="T1586">
        <v>1</v>
      </c>
      <c r="U1586">
        <v>1</v>
      </c>
      <c r="V1586">
        <v>1</v>
      </c>
      <c r="W1586" t="s">
        <v>55</v>
      </c>
      <c r="X1586">
        <v>0</v>
      </c>
      <c r="Y1586">
        <v>0</v>
      </c>
      <c r="Z1586">
        <f t="shared" si="144"/>
        <v>100</v>
      </c>
      <c r="AA1586">
        <f t="shared" si="145"/>
        <v>1.1346153846153846</v>
      </c>
      <c r="AB1586">
        <f t="shared" si="146"/>
        <v>15</v>
      </c>
      <c r="AC1586" t="str">
        <f t="shared" si="147"/>
        <v>Low</v>
      </c>
      <c r="AD1586" t="str">
        <f t="shared" si="148"/>
        <v>Upsell premium bundle</v>
      </c>
      <c r="AE1586">
        <f t="shared" si="149"/>
        <v>0</v>
      </c>
    </row>
    <row r="1587" spans="1:31" x14ac:dyDescent="0.35">
      <c r="A1587" t="s">
        <v>1645</v>
      </c>
      <c r="B1587" s="4">
        <v>45698</v>
      </c>
      <c r="C1587" s="4">
        <v>46143</v>
      </c>
      <c r="D1587" t="s">
        <v>72</v>
      </c>
      <c r="E1587">
        <v>68</v>
      </c>
      <c r="F1587" t="s">
        <v>61</v>
      </c>
      <c r="G1587" t="s">
        <v>67</v>
      </c>
      <c r="H1587" t="s">
        <v>41</v>
      </c>
      <c r="I1587" t="s">
        <v>36</v>
      </c>
      <c r="J1587">
        <v>14</v>
      </c>
      <c r="K1587" s="5">
        <v>1082.3900000000001</v>
      </c>
      <c r="L1587" s="5">
        <v>3121.93</v>
      </c>
      <c r="M1587">
        <v>0</v>
      </c>
      <c r="N1587">
        <v>0</v>
      </c>
      <c r="O1587">
        <v>0</v>
      </c>
      <c r="P1587">
        <v>0</v>
      </c>
      <c r="Q1587">
        <v>3</v>
      </c>
      <c r="R1587">
        <v>2</v>
      </c>
      <c r="S1587">
        <v>1</v>
      </c>
      <c r="T1587">
        <v>0</v>
      </c>
      <c r="U1587">
        <v>0</v>
      </c>
      <c r="V1587">
        <v>0</v>
      </c>
      <c r="W1587" t="s">
        <v>55</v>
      </c>
      <c r="X1587">
        <v>35</v>
      </c>
      <c r="Y1587">
        <v>1</v>
      </c>
      <c r="Z1587">
        <f t="shared" si="144"/>
        <v>3</v>
      </c>
      <c r="AA1587">
        <f t="shared" si="145"/>
        <v>6.8181818181818177E-2</v>
      </c>
      <c r="AB1587">
        <f t="shared" si="146"/>
        <v>34</v>
      </c>
      <c r="AC1587" t="str">
        <f t="shared" si="147"/>
        <v>Low</v>
      </c>
      <c r="AD1587" t="str">
        <f t="shared" si="148"/>
        <v>Upsell premium bundle</v>
      </c>
      <c r="AE1587">
        <f t="shared" si="149"/>
        <v>97</v>
      </c>
    </row>
    <row r="1588" spans="1:31" x14ac:dyDescent="0.35">
      <c r="A1588" t="s">
        <v>1646</v>
      </c>
      <c r="B1588" s="4">
        <v>45395</v>
      </c>
      <c r="C1588" s="4">
        <v>46143</v>
      </c>
      <c r="D1588" t="s">
        <v>72</v>
      </c>
      <c r="E1588">
        <v>59</v>
      </c>
      <c r="F1588" t="s">
        <v>57</v>
      </c>
      <c r="G1588" t="s">
        <v>48</v>
      </c>
      <c r="H1588" t="s">
        <v>41</v>
      </c>
      <c r="I1588" t="s">
        <v>36</v>
      </c>
      <c r="J1588">
        <v>24</v>
      </c>
      <c r="K1588" s="5">
        <v>1078.21</v>
      </c>
      <c r="L1588" s="5">
        <v>930.96</v>
      </c>
      <c r="M1588">
        <v>37</v>
      </c>
      <c r="N1588">
        <v>23</v>
      </c>
      <c r="O1588">
        <v>6</v>
      </c>
      <c r="P1588">
        <v>3</v>
      </c>
      <c r="Q1588">
        <v>33</v>
      </c>
      <c r="R1588">
        <v>0</v>
      </c>
      <c r="S1588">
        <v>0</v>
      </c>
      <c r="T1588">
        <v>1</v>
      </c>
      <c r="U1588">
        <v>1</v>
      </c>
      <c r="V1588">
        <v>0</v>
      </c>
      <c r="W1588" t="s">
        <v>45</v>
      </c>
      <c r="X1588">
        <v>41</v>
      </c>
      <c r="Y1588">
        <v>0</v>
      </c>
      <c r="Z1588">
        <f t="shared" si="144"/>
        <v>100</v>
      </c>
      <c r="AA1588">
        <f t="shared" si="145"/>
        <v>1.2962962962962963</v>
      </c>
      <c r="AB1588">
        <f t="shared" si="146"/>
        <v>0</v>
      </c>
      <c r="AC1588" t="str">
        <f t="shared" si="147"/>
        <v>Low</v>
      </c>
      <c r="AD1588" t="str">
        <f t="shared" si="148"/>
        <v>Upsell premium bundle</v>
      </c>
      <c r="AE1588">
        <f t="shared" si="149"/>
        <v>0</v>
      </c>
    </row>
    <row r="1589" spans="1:31" x14ac:dyDescent="0.35">
      <c r="A1589" t="s">
        <v>1647</v>
      </c>
      <c r="B1589" s="4">
        <v>44944</v>
      </c>
      <c r="C1589" s="4">
        <v>46143</v>
      </c>
      <c r="D1589" t="s">
        <v>47</v>
      </c>
      <c r="E1589">
        <v>51</v>
      </c>
      <c r="F1589" t="s">
        <v>61</v>
      </c>
      <c r="G1589" t="s">
        <v>40</v>
      </c>
      <c r="H1589" t="s">
        <v>35</v>
      </c>
      <c r="I1589" t="s">
        <v>54</v>
      </c>
      <c r="J1589">
        <v>39</v>
      </c>
      <c r="K1589" s="5">
        <v>6529.24</v>
      </c>
      <c r="L1589" s="5">
        <v>1767.75</v>
      </c>
      <c r="M1589">
        <v>20</v>
      </c>
      <c r="N1589">
        <v>5</v>
      </c>
      <c r="O1589">
        <v>5</v>
      </c>
      <c r="P1589">
        <v>2</v>
      </c>
      <c r="Q1589">
        <v>5</v>
      </c>
      <c r="R1589">
        <v>1</v>
      </c>
      <c r="S1589">
        <v>0</v>
      </c>
      <c r="T1589">
        <v>1</v>
      </c>
      <c r="U1589">
        <v>0</v>
      </c>
      <c r="V1589">
        <v>0</v>
      </c>
      <c r="W1589" t="s">
        <v>52</v>
      </c>
      <c r="X1589">
        <v>18</v>
      </c>
      <c r="Y1589">
        <v>0</v>
      </c>
      <c r="Z1589">
        <f t="shared" si="144"/>
        <v>39</v>
      </c>
      <c r="AA1589">
        <f t="shared" si="145"/>
        <v>0.36231884057971014</v>
      </c>
      <c r="AB1589">
        <f t="shared" si="146"/>
        <v>28</v>
      </c>
      <c r="AC1589" t="str">
        <f t="shared" si="147"/>
        <v>Low</v>
      </c>
      <c r="AD1589" t="str">
        <f t="shared" si="148"/>
        <v>Upsell premium bundle</v>
      </c>
      <c r="AE1589">
        <f t="shared" si="149"/>
        <v>61</v>
      </c>
    </row>
    <row r="1590" spans="1:31" x14ac:dyDescent="0.35">
      <c r="A1590" t="s">
        <v>1648</v>
      </c>
      <c r="B1590" s="4">
        <v>44779</v>
      </c>
      <c r="C1590" s="4">
        <v>46143</v>
      </c>
      <c r="D1590" t="s">
        <v>39</v>
      </c>
      <c r="E1590">
        <v>51</v>
      </c>
      <c r="F1590" t="s">
        <v>57</v>
      </c>
      <c r="G1590" t="s">
        <v>40</v>
      </c>
      <c r="H1590" t="s">
        <v>58</v>
      </c>
      <c r="I1590" t="s">
        <v>36</v>
      </c>
      <c r="J1590">
        <v>45</v>
      </c>
      <c r="K1590" s="5">
        <v>987.08</v>
      </c>
      <c r="L1590" s="5">
        <v>840.15</v>
      </c>
      <c r="M1590">
        <v>18</v>
      </c>
      <c r="N1590">
        <v>11</v>
      </c>
      <c r="O1590">
        <v>3</v>
      </c>
      <c r="P1590">
        <v>0</v>
      </c>
      <c r="Q1590">
        <v>18</v>
      </c>
      <c r="R1590">
        <v>1</v>
      </c>
      <c r="S1590">
        <v>0</v>
      </c>
      <c r="T1590">
        <v>0</v>
      </c>
      <c r="U1590">
        <v>0</v>
      </c>
      <c r="V1590">
        <v>0</v>
      </c>
      <c r="W1590" t="s">
        <v>45</v>
      </c>
      <c r="X1590">
        <v>80</v>
      </c>
      <c r="Y1590">
        <v>0</v>
      </c>
      <c r="Z1590">
        <f t="shared" si="144"/>
        <v>47</v>
      </c>
      <c r="AA1590">
        <f t="shared" si="145"/>
        <v>0.48</v>
      </c>
      <c r="AB1590">
        <f t="shared" si="146"/>
        <v>0</v>
      </c>
      <c r="AC1590" t="str">
        <f t="shared" si="147"/>
        <v>Low</v>
      </c>
      <c r="AD1590" t="str">
        <f t="shared" si="148"/>
        <v>Upsell premium bundle</v>
      </c>
      <c r="AE1590">
        <f t="shared" si="149"/>
        <v>53</v>
      </c>
    </row>
    <row r="1591" spans="1:31" x14ac:dyDescent="0.35">
      <c r="A1591" t="s">
        <v>1649</v>
      </c>
      <c r="B1591" s="4">
        <v>45684</v>
      </c>
      <c r="C1591" s="4">
        <v>46143</v>
      </c>
      <c r="D1591" t="s">
        <v>60</v>
      </c>
      <c r="E1591">
        <v>63</v>
      </c>
      <c r="F1591" t="s">
        <v>77</v>
      </c>
      <c r="G1591" t="s">
        <v>40</v>
      </c>
      <c r="H1591" t="s">
        <v>41</v>
      </c>
      <c r="I1591" t="s">
        <v>49</v>
      </c>
      <c r="J1591">
        <v>15</v>
      </c>
      <c r="K1591" s="5">
        <v>14566.02</v>
      </c>
      <c r="L1591" s="5">
        <v>6811.18</v>
      </c>
      <c r="M1591">
        <v>20</v>
      </c>
      <c r="N1591">
        <v>14</v>
      </c>
      <c r="O1591">
        <v>1</v>
      </c>
      <c r="P1591">
        <v>1</v>
      </c>
      <c r="Q1591">
        <v>11</v>
      </c>
      <c r="R1591">
        <v>0</v>
      </c>
      <c r="S1591">
        <v>0</v>
      </c>
      <c r="T1591">
        <v>0</v>
      </c>
      <c r="U1591">
        <v>0</v>
      </c>
      <c r="V1591">
        <v>1</v>
      </c>
      <c r="W1591" t="s">
        <v>45</v>
      </c>
      <c r="X1591">
        <v>77</v>
      </c>
      <c r="Y1591">
        <v>0</v>
      </c>
      <c r="Z1591">
        <f t="shared" si="144"/>
        <v>51</v>
      </c>
      <c r="AA1591">
        <f t="shared" si="145"/>
        <v>0.68888888888888888</v>
      </c>
      <c r="AB1591">
        <f t="shared" si="146"/>
        <v>5</v>
      </c>
      <c r="AC1591" t="str">
        <f t="shared" si="147"/>
        <v>Low</v>
      </c>
      <c r="AD1591" t="str">
        <f t="shared" si="148"/>
        <v>Upsell premium bundle</v>
      </c>
      <c r="AE1591">
        <f t="shared" si="149"/>
        <v>49</v>
      </c>
    </row>
    <row r="1592" spans="1:31" x14ac:dyDescent="0.35">
      <c r="A1592" t="s">
        <v>1650</v>
      </c>
      <c r="B1592" s="4">
        <v>45926</v>
      </c>
      <c r="C1592" s="4">
        <v>46143</v>
      </c>
      <c r="D1592" t="s">
        <v>60</v>
      </c>
      <c r="E1592">
        <v>62</v>
      </c>
      <c r="F1592" t="s">
        <v>57</v>
      </c>
      <c r="G1592" t="s">
        <v>85</v>
      </c>
      <c r="H1592" t="s">
        <v>58</v>
      </c>
      <c r="I1592" t="s">
        <v>36</v>
      </c>
      <c r="J1592">
        <v>7</v>
      </c>
      <c r="K1592" s="5">
        <v>783.47</v>
      </c>
      <c r="L1592" s="5">
        <v>655.92</v>
      </c>
      <c r="M1592">
        <v>40</v>
      </c>
      <c r="N1592">
        <v>18</v>
      </c>
      <c r="O1592">
        <v>3</v>
      </c>
      <c r="P1592">
        <v>3</v>
      </c>
      <c r="Q1592">
        <v>24</v>
      </c>
      <c r="R1592">
        <v>0</v>
      </c>
      <c r="S1592">
        <v>0</v>
      </c>
      <c r="T1592">
        <v>1</v>
      </c>
      <c r="U1592">
        <v>0</v>
      </c>
      <c r="V1592">
        <v>0</v>
      </c>
      <c r="W1592" t="s">
        <v>50</v>
      </c>
      <c r="X1592">
        <v>12</v>
      </c>
      <c r="Y1592">
        <v>0</v>
      </c>
      <c r="Z1592">
        <f t="shared" si="144"/>
        <v>86</v>
      </c>
      <c r="AA1592">
        <f t="shared" si="145"/>
        <v>1.7297297297297298</v>
      </c>
      <c r="AB1592">
        <f t="shared" si="146"/>
        <v>8</v>
      </c>
      <c r="AC1592" t="str">
        <f t="shared" si="147"/>
        <v>Low</v>
      </c>
      <c r="AD1592" t="str">
        <f t="shared" si="148"/>
        <v>Upsell premium bundle</v>
      </c>
      <c r="AE1592">
        <f t="shared" si="149"/>
        <v>14</v>
      </c>
    </row>
    <row r="1593" spans="1:31" x14ac:dyDescent="0.35">
      <c r="A1593" t="s">
        <v>1651</v>
      </c>
      <c r="B1593" s="4">
        <v>44994</v>
      </c>
      <c r="C1593" s="4">
        <v>46143</v>
      </c>
      <c r="D1593" t="s">
        <v>72</v>
      </c>
      <c r="E1593">
        <v>47</v>
      </c>
      <c r="F1593" t="s">
        <v>57</v>
      </c>
      <c r="G1593" t="s">
        <v>63</v>
      </c>
      <c r="H1593" t="s">
        <v>58</v>
      </c>
      <c r="I1593" t="s">
        <v>36</v>
      </c>
      <c r="J1593">
        <v>38</v>
      </c>
      <c r="K1593" s="5">
        <v>1293.8499999999999</v>
      </c>
      <c r="L1593" s="5">
        <v>0</v>
      </c>
      <c r="M1593">
        <v>39</v>
      </c>
      <c r="N1593">
        <v>18</v>
      </c>
      <c r="O1593">
        <v>9</v>
      </c>
      <c r="P1593">
        <v>0</v>
      </c>
      <c r="Q1593">
        <v>22</v>
      </c>
      <c r="R1593">
        <v>1</v>
      </c>
      <c r="S1593">
        <v>1</v>
      </c>
      <c r="T1593">
        <v>1</v>
      </c>
      <c r="U1593">
        <v>0</v>
      </c>
      <c r="V1593">
        <v>1</v>
      </c>
      <c r="W1593" t="s">
        <v>50</v>
      </c>
      <c r="X1593">
        <v>17</v>
      </c>
      <c r="Y1593">
        <v>0</v>
      </c>
      <c r="Z1593">
        <f t="shared" si="144"/>
        <v>93</v>
      </c>
      <c r="AA1593">
        <f t="shared" si="145"/>
        <v>0.8970588235294118</v>
      </c>
      <c r="AB1593">
        <f t="shared" si="146"/>
        <v>9</v>
      </c>
      <c r="AC1593" t="str">
        <f t="shared" si="147"/>
        <v>Low</v>
      </c>
      <c r="AD1593" t="str">
        <f t="shared" si="148"/>
        <v>Upsell premium bundle</v>
      </c>
      <c r="AE1593">
        <f t="shared" si="149"/>
        <v>7</v>
      </c>
    </row>
    <row r="1594" spans="1:31" x14ac:dyDescent="0.35">
      <c r="A1594" t="s">
        <v>1652</v>
      </c>
      <c r="B1594" s="4">
        <v>44787</v>
      </c>
      <c r="C1594" s="4">
        <v>46143</v>
      </c>
      <c r="D1594" t="s">
        <v>32</v>
      </c>
      <c r="E1594">
        <v>47</v>
      </c>
      <c r="F1594" t="s">
        <v>33</v>
      </c>
      <c r="G1594" t="s">
        <v>48</v>
      </c>
      <c r="H1594" t="s">
        <v>41</v>
      </c>
      <c r="I1594" t="s">
        <v>36</v>
      </c>
      <c r="J1594">
        <v>45</v>
      </c>
      <c r="K1594" s="5">
        <v>306.62</v>
      </c>
      <c r="L1594" s="5">
        <v>64.36</v>
      </c>
      <c r="M1594">
        <v>19</v>
      </c>
      <c r="N1594">
        <v>13</v>
      </c>
      <c r="O1594">
        <v>5</v>
      </c>
      <c r="P1594">
        <v>1</v>
      </c>
      <c r="Q1594">
        <v>15</v>
      </c>
      <c r="R1594">
        <v>1</v>
      </c>
      <c r="S1594">
        <v>1</v>
      </c>
      <c r="T1594">
        <v>1</v>
      </c>
      <c r="U1594">
        <v>0</v>
      </c>
      <c r="V1594">
        <v>1</v>
      </c>
      <c r="W1594" t="s">
        <v>50</v>
      </c>
      <c r="X1594">
        <v>16</v>
      </c>
      <c r="Y1594">
        <v>0</v>
      </c>
      <c r="Z1594">
        <f t="shared" si="144"/>
        <v>58</v>
      </c>
      <c r="AA1594">
        <f t="shared" si="145"/>
        <v>0.45333333333333331</v>
      </c>
      <c r="AB1594">
        <f t="shared" si="146"/>
        <v>33</v>
      </c>
      <c r="AC1594" t="str">
        <f t="shared" si="147"/>
        <v>Low</v>
      </c>
      <c r="AD1594" t="str">
        <f t="shared" si="148"/>
        <v>Upsell premium bundle</v>
      </c>
      <c r="AE1594">
        <f t="shared" si="149"/>
        <v>42</v>
      </c>
    </row>
    <row r="1595" spans="1:31" x14ac:dyDescent="0.35">
      <c r="A1595" t="s">
        <v>1653</v>
      </c>
      <c r="B1595" s="4">
        <v>45712</v>
      </c>
      <c r="C1595" s="4">
        <v>46143</v>
      </c>
      <c r="D1595" t="s">
        <v>47</v>
      </c>
      <c r="E1595">
        <v>40</v>
      </c>
      <c r="F1595" t="s">
        <v>57</v>
      </c>
      <c r="G1595" t="s">
        <v>34</v>
      </c>
      <c r="H1595" t="s">
        <v>35</v>
      </c>
      <c r="I1595" t="s">
        <v>36</v>
      </c>
      <c r="J1595">
        <v>14</v>
      </c>
      <c r="K1595" s="5">
        <v>0</v>
      </c>
      <c r="L1595" s="5">
        <v>0</v>
      </c>
      <c r="M1595">
        <v>33</v>
      </c>
      <c r="N1595">
        <v>20</v>
      </c>
      <c r="O1595">
        <v>7</v>
      </c>
      <c r="P1595">
        <v>0</v>
      </c>
      <c r="Q1595">
        <v>28</v>
      </c>
      <c r="R1595">
        <v>2</v>
      </c>
      <c r="S1595">
        <v>1</v>
      </c>
      <c r="T1595">
        <v>0</v>
      </c>
      <c r="U1595">
        <v>1</v>
      </c>
      <c r="V1595">
        <v>1</v>
      </c>
      <c r="W1595" t="s">
        <v>45</v>
      </c>
      <c r="X1595">
        <v>56</v>
      </c>
      <c r="Y1595">
        <v>0</v>
      </c>
      <c r="Z1595">
        <f t="shared" si="144"/>
        <v>99</v>
      </c>
      <c r="AA1595">
        <f t="shared" si="145"/>
        <v>1.3863636363636365</v>
      </c>
      <c r="AB1595">
        <f t="shared" si="146"/>
        <v>0</v>
      </c>
      <c r="AC1595" t="str">
        <f t="shared" si="147"/>
        <v>Low</v>
      </c>
      <c r="AD1595" t="str">
        <f t="shared" si="148"/>
        <v>Upsell premium bundle</v>
      </c>
      <c r="AE1595">
        <f t="shared" si="149"/>
        <v>1</v>
      </c>
    </row>
    <row r="1596" spans="1:31" x14ac:dyDescent="0.35">
      <c r="A1596" t="s">
        <v>1654</v>
      </c>
      <c r="B1596" s="4">
        <v>44892</v>
      </c>
      <c r="C1596" s="4">
        <v>46143</v>
      </c>
      <c r="D1596" t="s">
        <v>66</v>
      </c>
      <c r="E1596">
        <v>34</v>
      </c>
      <c r="F1596" t="s">
        <v>43</v>
      </c>
      <c r="G1596" t="s">
        <v>34</v>
      </c>
      <c r="H1596" t="s">
        <v>41</v>
      </c>
      <c r="I1596" t="s">
        <v>36</v>
      </c>
      <c r="J1596">
        <v>41</v>
      </c>
      <c r="K1596" s="5">
        <v>41.38</v>
      </c>
      <c r="L1596" s="5">
        <v>62.97</v>
      </c>
      <c r="M1596">
        <v>28</v>
      </c>
      <c r="N1596">
        <v>8</v>
      </c>
      <c r="O1596">
        <v>4</v>
      </c>
      <c r="P1596">
        <v>4</v>
      </c>
      <c r="Q1596">
        <v>18</v>
      </c>
      <c r="R1596">
        <v>0</v>
      </c>
      <c r="S1596">
        <v>0</v>
      </c>
      <c r="T1596">
        <v>1</v>
      </c>
      <c r="U1596">
        <v>0</v>
      </c>
      <c r="V1596">
        <v>0</v>
      </c>
      <c r="W1596" t="s">
        <v>52</v>
      </c>
      <c r="X1596">
        <v>52</v>
      </c>
      <c r="Y1596">
        <v>0</v>
      </c>
      <c r="Z1596">
        <f t="shared" si="144"/>
        <v>63</v>
      </c>
      <c r="AA1596">
        <f t="shared" si="145"/>
        <v>0.647887323943662</v>
      </c>
      <c r="AB1596">
        <f t="shared" si="146"/>
        <v>7</v>
      </c>
      <c r="AC1596" t="str">
        <f t="shared" si="147"/>
        <v>Low</v>
      </c>
      <c r="AD1596" t="str">
        <f t="shared" si="148"/>
        <v>Upsell premium bundle</v>
      </c>
      <c r="AE1596">
        <f t="shared" si="149"/>
        <v>37</v>
      </c>
    </row>
    <row r="1597" spans="1:31" x14ac:dyDescent="0.35">
      <c r="A1597" t="s">
        <v>1655</v>
      </c>
      <c r="B1597" s="4">
        <v>45038</v>
      </c>
      <c r="C1597" s="4">
        <v>46143</v>
      </c>
      <c r="D1597" t="s">
        <v>66</v>
      </c>
      <c r="E1597">
        <v>57</v>
      </c>
      <c r="F1597" t="s">
        <v>33</v>
      </c>
      <c r="G1597" t="s">
        <v>48</v>
      </c>
      <c r="H1597" t="s">
        <v>44</v>
      </c>
      <c r="I1597" t="s">
        <v>36</v>
      </c>
      <c r="J1597">
        <v>36</v>
      </c>
      <c r="K1597" s="5">
        <v>31.36</v>
      </c>
      <c r="L1597" s="5">
        <v>0</v>
      </c>
      <c r="M1597">
        <v>40</v>
      </c>
      <c r="N1597">
        <v>26</v>
      </c>
      <c r="O1597">
        <v>3</v>
      </c>
      <c r="P1597">
        <v>5</v>
      </c>
      <c r="Q1597">
        <v>33</v>
      </c>
      <c r="R1597">
        <v>3</v>
      </c>
      <c r="S1597">
        <v>1</v>
      </c>
      <c r="T1597">
        <v>1</v>
      </c>
      <c r="U1597">
        <v>1</v>
      </c>
      <c r="V1597">
        <v>0</v>
      </c>
      <c r="W1597" t="s">
        <v>55</v>
      </c>
      <c r="X1597">
        <v>0</v>
      </c>
      <c r="Y1597">
        <v>0</v>
      </c>
      <c r="Z1597">
        <f t="shared" si="144"/>
        <v>100</v>
      </c>
      <c r="AA1597">
        <f t="shared" si="145"/>
        <v>1.106060606060606</v>
      </c>
      <c r="AB1597">
        <f t="shared" si="146"/>
        <v>12</v>
      </c>
      <c r="AC1597" t="str">
        <f t="shared" si="147"/>
        <v>Low</v>
      </c>
      <c r="AD1597" t="str">
        <f t="shared" si="148"/>
        <v>Upsell premium bundle</v>
      </c>
      <c r="AE1597">
        <f t="shared" si="149"/>
        <v>0</v>
      </c>
    </row>
    <row r="1598" spans="1:31" x14ac:dyDescent="0.35">
      <c r="A1598" t="s">
        <v>1656</v>
      </c>
      <c r="B1598" s="4">
        <v>45283</v>
      </c>
      <c r="C1598" s="4">
        <v>46143</v>
      </c>
      <c r="D1598" t="s">
        <v>47</v>
      </c>
      <c r="E1598">
        <v>55</v>
      </c>
      <c r="F1598" t="s">
        <v>33</v>
      </c>
      <c r="G1598" t="s">
        <v>48</v>
      </c>
      <c r="H1598" t="s">
        <v>35</v>
      </c>
      <c r="I1598" t="s">
        <v>36</v>
      </c>
      <c r="J1598">
        <v>28</v>
      </c>
      <c r="K1598" s="5">
        <v>645.9</v>
      </c>
      <c r="L1598" s="5">
        <v>24.42</v>
      </c>
      <c r="M1598">
        <v>20</v>
      </c>
      <c r="N1598">
        <v>14</v>
      </c>
      <c r="O1598">
        <v>2</v>
      </c>
      <c r="P1598">
        <v>3</v>
      </c>
      <c r="Q1598">
        <v>15</v>
      </c>
      <c r="R1598">
        <v>2</v>
      </c>
      <c r="S1598">
        <v>0</v>
      </c>
      <c r="T1598">
        <v>1</v>
      </c>
      <c r="U1598">
        <v>0</v>
      </c>
      <c r="V1598">
        <v>1</v>
      </c>
      <c r="W1598" t="s">
        <v>55</v>
      </c>
      <c r="X1598">
        <v>9</v>
      </c>
      <c r="Y1598">
        <v>1</v>
      </c>
      <c r="Z1598">
        <f t="shared" si="144"/>
        <v>59</v>
      </c>
      <c r="AA1598">
        <f t="shared" si="145"/>
        <v>0.60344827586206895</v>
      </c>
      <c r="AB1598">
        <f t="shared" si="146"/>
        <v>17</v>
      </c>
      <c r="AC1598" t="str">
        <f t="shared" si="147"/>
        <v>Low</v>
      </c>
      <c r="AD1598" t="str">
        <f t="shared" si="148"/>
        <v>Upsell premium bundle</v>
      </c>
      <c r="AE1598">
        <f t="shared" si="149"/>
        <v>41</v>
      </c>
    </row>
    <row r="1599" spans="1:31" x14ac:dyDescent="0.35">
      <c r="A1599" t="s">
        <v>1657</v>
      </c>
      <c r="B1599" s="4">
        <v>45969</v>
      </c>
      <c r="C1599" s="4">
        <v>46143</v>
      </c>
      <c r="D1599" t="s">
        <v>72</v>
      </c>
      <c r="E1599">
        <v>34</v>
      </c>
      <c r="F1599" t="s">
        <v>57</v>
      </c>
      <c r="G1599" t="s">
        <v>67</v>
      </c>
      <c r="H1599" t="s">
        <v>41</v>
      </c>
      <c r="I1599" t="s">
        <v>36</v>
      </c>
      <c r="J1599">
        <v>5</v>
      </c>
      <c r="K1599" s="5">
        <v>1863.43</v>
      </c>
      <c r="L1599" s="5">
        <v>1457.17</v>
      </c>
      <c r="M1599">
        <v>23</v>
      </c>
      <c r="N1599">
        <v>10</v>
      </c>
      <c r="O1599">
        <v>1</v>
      </c>
      <c r="P1599">
        <v>1</v>
      </c>
      <c r="Q1599">
        <v>15</v>
      </c>
      <c r="R1599">
        <v>3</v>
      </c>
      <c r="S1599">
        <v>3</v>
      </c>
      <c r="T1599">
        <v>0</v>
      </c>
      <c r="U1599">
        <v>0</v>
      </c>
      <c r="V1599">
        <v>0</v>
      </c>
      <c r="W1599" t="s">
        <v>50</v>
      </c>
      <c r="X1599">
        <v>39</v>
      </c>
      <c r="Y1599">
        <v>1</v>
      </c>
      <c r="Z1599">
        <f t="shared" si="144"/>
        <v>48</v>
      </c>
      <c r="AA1599">
        <f t="shared" si="145"/>
        <v>1.0857142857142856</v>
      </c>
      <c r="AB1599">
        <f t="shared" si="146"/>
        <v>39</v>
      </c>
      <c r="AC1599" t="str">
        <f t="shared" si="147"/>
        <v>Low</v>
      </c>
      <c r="AD1599" t="str">
        <f t="shared" si="148"/>
        <v>Upsell premium bundle</v>
      </c>
      <c r="AE1599">
        <f t="shared" si="149"/>
        <v>52</v>
      </c>
    </row>
    <row r="1600" spans="1:31" x14ac:dyDescent="0.35">
      <c r="A1600" t="s">
        <v>1658</v>
      </c>
      <c r="B1600" s="4">
        <v>45856</v>
      </c>
      <c r="C1600" s="4">
        <v>46143</v>
      </c>
      <c r="D1600" t="s">
        <v>66</v>
      </c>
      <c r="E1600">
        <v>35</v>
      </c>
      <c r="F1600" t="s">
        <v>33</v>
      </c>
      <c r="G1600" t="s">
        <v>34</v>
      </c>
      <c r="H1600" t="s">
        <v>41</v>
      </c>
      <c r="I1600" t="s">
        <v>36</v>
      </c>
      <c r="J1600">
        <v>9</v>
      </c>
      <c r="K1600" s="5">
        <v>511.9</v>
      </c>
      <c r="L1600" s="5">
        <v>0</v>
      </c>
      <c r="M1600">
        <v>16</v>
      </c>
      <c r="N1600">
        <v>4</v>
      </c>
      <c r="O1600">
        <v>2</v>
      </c>
      <c r="P1600">
        <v>2</v>
      </c>
      <c r="Q1600">
        <v>21</v>
      </c>
      <c r="R1600">
        <v>3</v>
      </c>
      <c r="S1600">
        <v>0</v>
      </c>
      <c r="T1600">
        <v>1</v>
      </c>
      <c r="U1600">
        <v>0</v>
      </c>
      <c r="V1600">
        <v>1</v>
      </c>
      <c r="W1600" t="s">
        <v>37</v>
      </c>
      <c r="X1600">
        <v>50</v>
      </c>
      <c r="Y1600">
        <v>1</v>
      </c>
      <c r="Z1600">
        <f t="shared" si="144"/>
        <v>52</v>
      </c>
      <c r="AA1600">
        <f t="shared" si="145"/>
        <v>0.94871794871794868</v>
      </c>
      <c r="AB1600">
        <f t="shared" si="146"/>
        <v>8</v>
      </c>
      <c r="AC1600" t="str">
        <f t="shared" si="147"/>
        <v>Low</v>
      </c>
      <c r="AD1600" t="str">
        <f t="shared" si="148"/>
        <v>Upsell premium bundle</v>
      </c>
      <c r="AE1600">
        <f t="shared" si="149"/>
        <v>48</v>
      </c>
    </row>
    <row r="1601" spans="1:31" x14ac:dyDescent="0.35">
      <c r="A1601" t="s">
        <v>1659</v>
      </c>
      <c r="B1601" s="4">
        <v>44979</v>
      </c>
      <c r="C1601" s="4">
        <v>46143</v>
      </c>
      <c r="D1601" t="s">
        <v>39</v>
      </c>
      <c r="E1601">
        <v>55</v>
      </c>
      <c r="F1601" t="s">
        <v>57</v>
      </c>
      <c r="G1601" t="s">
        <v>67</v>
      </c>
      <c r="H1601" t="s">
        <v>41</v>
      </c>
      <c r="I1601" t="s">
        <v>49</v>
      </c>
      <c r="J1601">
        <v>38</v>
      </c>
      <c r="K1601" s="5">
        <v>0</v>
      </c>
      <c r="L1601" s="5">
        <v>604.42999999999995</v>
      </c>
      <c r="M1601">
        <v>25</v>
      </c>
      <c r="N1601">
        <v>12</v>
      </c>
      <c r="O1601">
        <v>3</v>
      </c>
      <c r="P1601">
        <v>1</v>
      </c>
      <c r="Q1601">
        <v>15</v>
      </c>
      <c r="R1601">
        <v>0</v>
      </c>
      <c r="S1601">
        <v>0</v>
      </c>
      <c r="T1601">
        <v>0</v>
      </c>
      <c r="U1601">
        <v>1</v>
      </c>
      <c r="V1601">
        <v>0</v>
      </c>
      <c r="W1601" t="s">
        <v>45</v>
      </c>
      <c r="X1601">
        <v>24</v>
      </c>
      <c r="Y1601">
        <v>0</v>
      </c>
      <c r="Z1601">
        <f t="shared" si="144"/>
        <v>62</v>
      </c>
      <c r="AA1601">
        <f t="shared" si="145"/>
        <v>0.58823529411764708</v>
      </c>
      <c r="AB1601">
        <f t="shared" si="146"/>
        <v>37</v>
      </c>
      <c r="AC1601" t="str">
        <f t="shared" si="147"/>
        <v>Low</v>
      </c>
      <c r="AD1601" t="str">
        <f t="shared" si="148"/>
        <v>Upsell premium bundle</v>
      </c>
      <c r="AE1601">
        <f t="shared" si="149"/>
        <v>38</v>
      </c>
    </row>
    <row r="1602" spans="1:31" x14ac:dyDescent="0.35">
      <c r="A1602" t="s">
        <v>1660</v>
      </c>
      <c r="B1602" s="4">
        <v>45031</v>
      </c>
      <c r="C1602" s="4">
        <v>46143</v>
      </c>
      <c r="D1602" t="s">
        <v>60</v>
      </c>
      <c r="E1602">
        <v>63</v>
      </c>
      <c r="F1602" t="s">
        <v>57</v>
      </c>
      <c r="G1602" t="s">
        <v>85</v>
      </c>
      <c r="H1602" t="s">
        <v>41</v>
      </c>
      <c r="I1602" t="s">
        <v>36</v>
      </c>
      <c r="J1602">
        <v>37</v>
      </c>
      <c r="K1602" s="5">
        <v>1211.97</v>
      </c>
      <c r="L1602" s="5">
        <v>558.30999999999995</v>
      </c>
      <c r="M1602">
        <v>30</v>
      </c>
      <c r="N1602">
        <v>12</v>
      </c>
      <c r="O1602">
        <v>7</v>
      </c>
      <c r="P1602">
        <v>2</v>
      </c>
      <c r="Q1602">
        <v>19</v>
      </c>
      <c r="R1602">
        <v>1</v>
      </c>
      <c r="S1602">
        <v>1</v>
      </c>
      <c r="T1602">
        <v>0</v>
      </c>
      <c r="U1602">
        <v>0</v>
      </c>
      <c r="V1602">
        <v>1</v>
      </c>
      <c r="W1602" t="s">
        <v>55</v>
      </c>
      <c r="X1602">
        <v>-23</v>
      </c>
      <c r="Y1602">
        <v>1</v>
      </c>
      <c r="Z1602">
        <f t="shared" ref="Z1602:Z1665" si="150">MIN(100,ROUND((M1602*1.1+N1602*0.7+O1602*1.2+P1602*1.4+Q1602*0.9+U1602*8+V1602*7),0))</f>
        <v>77</v>
      </c>
      <c r="AA1602">
        <f t="shared" ref="AA1602:AA1665" si="151">IFERROR((M1602+Q1602)/(30+J1602),0)</f>
        <v>0.73134328358208955</v>
      </c>
      <c r="AB1602">
        <f t="shared" ref="AB1602:AB1665" si="152">ROUND(MIN(100,MAX(0,60-Z1602*0.4-R1602*1.5+S1602*8-IF(L1602&gt;1500,10,0)-X1602*0.5+IF(I1602="Completed",-8,8)+IF(H1602="Free",6,-4))),0)</f>
        <v>45</v>
      </c>
      <c r="AC1602" t="str">
        <f t="shared" ref="AC1602:AC1665" si="153">IF(AB1602&gt;=70,"High",IF(AB1602&gt;=40,"Medium","Low"))</f>
        <v>Medium</v>
      </c>
      <c r="AD1602" t="str">
        <f t="shared" ref="AD1602:AD1665" si="154">IF(AC1602="High",IF(Q1602&lt;5,"Re-engage with app usage offer",IF(K1602&lt;100,"Deposit incentive","Retention call")),IF(AC1602="Medium","Nudge core feature adoption","Upsell premium bundle"))</f>
        <v>Nudge core feature adoption</v>
      </c>
      <c r="AE1602">
        <f t="shared" ref="AE1602:AE1665" si="155">100-Z1602</f>
        <v>23</v>
      </c>
    </row>
    <row r="1603" spans="1:31" x14ac:dyDescent="0.35">
      <c r="A1603" t="s">
        <v>1661</v>
      </c>
      <c r="B1603" s="4">
        <v>45509</v>
      </c>
      <c r="C1603" s="4">
        <v>46143</v>
      </c>
      <c r="D1603" t="s">
        <v>32</v>
      </c>
      <c r="E1603">
        <v>35</v>
      </c>
      <c r="F1603" t="s">
        <v>57</v>
      </c>
      <c r="G1603" t="s">
        <v>40</v>
      </c>
      <c r="H1603" t="s">
        <v>44</v>
      </c>
      <c r="I1603" t="s">
        <v>49</v>
      </c>
      <c r="J1603">
        <v>21</v>
      </c>
      <c r="K1603" s="5">
        <v>909.61</v>
      </c>
      <c r="L1603" s="5">
        <v>262.64999999999998</v>
      </c>
      <c r="M1603">
        <v>57</v>
      </c>
      <c r="N1603">
        <v>36</v>
      </c>
      <c r="O1603">
        <v>6</v>
      </c>
      <c r="P1603">
        <v>5</v>
      </c>
      <c r="Q1603">
        <v>28</v>
      </c>
      <c r="R1603">
        <v>1</v>
      </c>
      <c r="S1603">
        <v>0</v>
      </c>
      <c r="T1603">
        <v>0</v>
      </c>
      <c r="U1603">
        <v>1</v>
      </c>
      <c r="V1603">
        <v>1</v>
      </c>
      <c r="W1603" t="s">
        <v>45</v>
      </c>
      <c r="X1603">
        <v>28</v>
      </c>
      <c r="Y1603">
        <v>0</v>
      </c>
      <c r="Z1603">
        <f t="shared" si="150"/>
        <v>100</v>
      </c>
      <c r="AA1603">
        <f t="shared" si="151"/>
        <v>1.6666666666666667</v>
      </c>
      <c r="AB1603">
        <f t="shared" si="152"/>
        <v>9</v>
      </c>
      <c r="AC1603" t="str">
        <f t="shared" si="153"/>
        <v>Low</v>
      </c>
      <c r="AD1603" t="str">
        <f t="shared" si="154"/>
        <v>Upsell premium bundle</v>
      </c>
      <c r="AE1603">
        <f t="shared" si="155"/>
        <v>0</v>
      </c>
    </row>
    <row r="1604" spans="1:31" x14ac:dyDescent="0.35">
      <c r="A1604" t="s">
        <v>1662</v>
      </c>
      <c r="B1604" s="4">
        <v>45394</v>
      </c>
      <c r="C1604" s="4">
        <v>46143</v>
      </c>
      <c r="D1604" t="s">
        <v>32</v>
      </c>
      <c r="E1604">
        <v>19</v>
      </c>
      <c r="F1604" t="s">
        <v>33</v>
      </c>
      <c r="G1604" t="s">
        <v>67</v>
      </c>
      <c r="H1604" t="s">
        <v>44</v>
      </c>
      <c r="I1604" t="s">
        <v>36</v>
      </c>
      <c r="J1604">
        <v>24</v>
      </c>
      <c r="K1604" s="5">
        <v>0</v>
      </c>
      <c r="L1604" s="5">
        <v>439.97</v>
      </c>
      <c r="M1604">
        <v>39</v>
      </c>
      <c r="N1604">
        <v>29</v>
      </c>
      <c r="O1604">
        <v>3</v>
      </c>
      <c r="P1604">
        <v>7</v>
      </c>
      <c r="Q1604">
        <v>26</v>
      </c>
      <c r="R1604">
        <v>0</v>
      </c>
      <c r="S1604">
        <v>2</v>
      </c>
      <c r="T1604">
        <v>0</v>
      </c>
      <c r="U1604">
        <v>1</v>
      </c>
      <c r="V1604">
        <v>1</v>
      </c>
      <c r="W1604" t="s">
        <v>50</v>
      </c>
      <c r="X1604">
        <v>25</v>
      </c>
      <c r="Y1604">
        <v>1</v>
      </c>
      <c r="Z1604">
        <f t="shared" si="150"/>
        <v>100</v>
      </c>
      <c r="AA1604">
        <f t="shared" si="151"/>
        <v>1.2037037037037037</v>
      </c>
      <c r="AB1604">
        <f t="shared" si="152"/>
        <v>12</v>
      </c>
      <c r="AC1604" t="str">
        <f t="shared" si="153"/>
        <v>Low</v>
      </c>
      <c r="AD1604" t="str">
        <f t="shared" si="154"/>
        <v>Upsell premium bundle</v>
      </c>
      <c r="AE1604">
        <f t="shared" si="155"/>
        <v>0</v>
      </c>
    </row>
    <row r="1605" spans="1:31" x14ac:dyDescent="0.35">
      <c r="A1605" t="s">
        <v>1663</v>
      </c>
      <c r="B1605" s="4">
        <v>45396</v>
      </c>
      <c r="C1605" s="4">
        <v>46143</v>
      </c>
      <c r="D1605" t="s">
        <v>32</v>
      </c>
      <c r="E1605">
        <v>67</v>
      </c>
      <c r="F1605" t="s">
        <v>57</v>
      </c>
      <c r="G1605" t="s">
        <v>40</v>
      </c>
      <c r="H1605" t="s">
        <v>58</v>
      </c>
      <c r="I1605" t="s">
        <v>36</v>
      </c>
      <c r="J1605">
        <v>24</v>
      </c>
      <c r="K1605" s="5">
        <v>1384.99</v>
      </c>
      <c r="L1605" s="5">
        <v>119.56</v>
      </c>
      <c r="M1605">
        <v>26</v>
      </c>
      <c r="N1605">
        <v>12</v>
      </c>
      <c r="O1605">
        <v>2</v>
      </c>
      <c r="P1605">
        <v>2</v>
      </c>
      <c r="Q1605">
        <v>24</v>
      </c>
      <c r="R1605">
        <v>0</v>
      </c>
      <c r="S1605">
        <v>0</v>
      </c>
      <c r="T1605">
        <v>1</v>
      </c>
      <c r="U1605">
        <v>0</v>
      </c>
      <c r="V1605">
        <v>0</v>
      </c>
      <c r="W1605" t="s">
        <v>45</v>
      </c>
      <c r="X1605">
        <v>76</v>
      </c>
      <c r="Y1605">
        <v>0</v>
      </c>
      <c r="Z1605">
        <f t="shared" si="150"/>
        <v>64</v>
      </c>
      <c r="AA1605">
        <f t="shared" si="151"/>
        <v>0.92592592592592593</v>
      </c>
      <c r="AB1605">
        <f t="shared" si="152"/>
        <v>0</v>
      </c>
      <c r="AC1605" t="str">
        <f t="shared" si="153"/>
        <v>Low</v>
      </c>
      <c r="AD1605" t="str">
        <f t="shared" si="154"/>
        <v>Upsell premium bundle</v>
      </c>
      <c r="AE1605">
        <f t="shared" si="155"/>
        <v>36</v>
      </c>
    </row>
    <row r="1606" spans="1:31" x14ac:dyDescent="0.35">
      <c r="A1606" t="s">
        <v>1664</v>
      </c>
      <c r="B1606" s="4">
        <v>44929</v>
      </c>
      <c r="C1606" s="4">
        <v>46143</v>
      </c>
      <c r="D1606" t="s">
        <v>47</v>
      </c>
      <c r="E1606">
        <v>57</v>
      </c>
      <c r="F1606" t="s">
        <v>33</v>
      </c>
      <c r="G1606" t="s">
        <v>63</v>
      </c>
      <c r="H1606" t="s">
        <v>41</v>
      </c>
      <c r="I1606" t="s">
        <v>49</v>
      </c>
      <c r="J1606">
        <v>40</v>
      </c>
      <c r="K1606" s="5">
        <v>394.49</v>
      </c>
      <c r="L1606" s="5">
        <v>148.93</v>
      </c>
      <c r="M1606">
        <v>35</v>
      </c>
      <c r="N1606">
        <v>12</v>
      </c>
      <c r="O1606">
        <v>6</v>
      </c>
      <c r="P1606">
        <v>2</v>
      </c>
      <c r="Q1606">
        <v>18</v>
      </c>
      <c r="R1606">
        <v>1</v>
      </c>
      <c r="S1606">
        <v>0</v>
      </c>
      <c r="T1606">
        <v>1</v>
      </c>
      <c r="U1606">
        <v>0</v>
      </c>
      <c r="V1606">
        <v>1</v>
      </c>
      <c r="W1606" t="s">
        <v>52</v>
      </c>
      <c r="X1606">
        <v>58</v>
      </c>
      <c r="Y1606">
        <v>0</v>
      </c>
      <c r="Z1606">
        <f t="shared" si="150"/>
        <v>80</v>
      </c>
      <c r="AA1606">
        <f t="shared" si="151"/>
        <v>0.75714285714285712</v>
      </c>
      <c r="AB1606">
        <f t="shared" si="152"/>
        <v>12</v>
      </c>
      <c r="AC1606" t="str">
        <f t="shared" si="153"/>
        <v>Low</v>
      </c>
      <c r="AD1606" t="str">
        <f t="shared" si="154"/>
        <v>Upsell premium bundle</v>
      </c>
      <c r="AE1606">
        <f t="shared" si="155"/>
        <v>20</v>
      </c>
    </row>
    <row r="1607" spans="1:31" x14ac:dyDescent="0.35">
      <c r="A1607" t="s">
        <v>1665</v>
      </c>
      <c r="B1607" s="4">
        <v>45826</v>
      </c>
      <c r="C1607" s="4">
        <v>46143</v>
      </c>
      <c r="D1607" t="s">
        <v>60</v>
      </c>
      <c r="E1607">
        <v>26</v>
      </c>
      <c r="F1607" t="s">
        <v>43</v>
      </c>
      <c r="G1607" t="s">
        <v>85</v>
      </c>
      <c r="H1607" t="s">
        <v>58</v>
      </c>
      <c r="I1607" t="s">
        <v>36</v>
      </c>
      <c r="J1607">
        <v>10</v>
      </c>
      <c r="K1607" s="5">
        <v>165.14</v>
      </c>
      <c r="L1607" s="5">
        <v>81.459999999999994</v>
      </c>
      <c r="M1607">
        <v>21</v>
      </c>
      <c r="N1607">
        <v>11</v>
      </c>
      <c r="O1607">
        <v>4</v>
      </c>
      <c r="P1607">
        <v>3</v>
      </c>
      <c r="Q1607">
        <v>26</v>
      </c>
      <c r="R1607">
        <v>2</v>
      </c>
      <c r="S1607">
        <v>3</v>
      </c>
      <c r="T1607">
        <v>1</v>
      </c>
      <c r="U1607">
        <v>0</v>
      </c>
      <c r="V1607">
        <v>0</v>
      </c>
      <c r="W1607" t="s">
        <v>45</v>
      </c>
      <c r="X1607">
        <v>-40</v>
      </c>
      <c r="Y1607">
        <v>1</v>
      </c>
      <c r="Z1607">
        <f t="shared" si="150"/>
        <v>63</v>
      </c>
      <c r="AA1607">
        <f t="shared" si="151"/>
        <v>1.175</v>
      </c>
      <c r="AB1607">
        <f t="shared" si="152"/>
        <v>64</v>
      </c>
      <c r="AC1607" t="str">
        <f t="shared" si="153"/>
        <v>Medium</v>
      </c>
      <c r="AD1607" t="str">
        <f t="shared" si="154"/>
        <v>Nudge core feature adoption</v>
      </c>
      <c r="AE1607">
        <f t="shared" si="155"/>
        <v>37</v>
      </c>
    </row>
    <row r="1608" spans="1:31" x14ac:dyDescent="0.35">
      <c r="A1608" t="s">
        <v>1666</v>
      </c>
      <c r="B1608" s="4">
        <v>45230</v>
      </c>
      <c r="C1608" s="4">
        <v>46143</v>
      </c>
      <c r="D1608" t="s">
        <v>60</v>
      </c>
      <c r="E1608">
        <v>56</v>
      </c>
      <c r="F1608" t="s">
        <v>57</v>
      </c>
      <c r="G1608" t="s">
        <v>48</v>
      </c>
      <c r="H1608" t="s">
        <v>58</v>
      </c>
      <c r="I1608" t="s">
        <v>36</v>
      </c>
      <c r="J1608">
        <v>30</v>
      </c>
      <c r="K1608" s="5">
        <v>737.61</v>
      </c>
      <c r="L1608" s="5">
        <v>1114.22</v>
      </c>
      <c r="M1608">
        <v>41</v>
      </c>
      <c r="N1608">
        <v>15</v>
      </c>
      <c r="O1608">
        <v>9</v>
      </c>
      <c r="P1608">
        <v>0</v>
      </c>
      <c r="Q1608">
        <v>36</v>
      </c>
      <c r="R1608">
        <v>0</v>
      </c>
      <c r="S1608">
        <v>1</v>
      </c>
      <c r="T1608">
        <v>1</v>
      </c>
      <c r="U1608">
        <v>1</v>
      </c>
      <c r="V1608">
        <v>0</v>
      </c>
      <c r="W1608" t="s">
        <v>55</v>
      </c>
      <c r="X1608">
        <v>65</v>
      </c>
      <c r="Y1608">
        <v>0</v>
      </c>
      <c r="Z1608">
        <f t="shared" si="150"/>
        <v>100</v>
      </c>
      <c r="AA1608">
        <f t="shared" si="151"/>
        <v>1.2833333333333334</v>
      </c>
      <c r="AB1608">
        <f t="shared" si="152"/>
        <v>0</v>
      </c>
      <c r="AC1608" t="str">
        <f t="shared" si="153"/>
        <v>Low</v>
      </c>
      <c r="AD1608" t="str">
        <f t="shared" si="154"/>
        <v>Upsell premium bundle</v>
      </c>
      <c r="AE1608">
        <f t="shared" si="155"/>
        <v>0</v>
      </c>
    </row>
    <row r="1609" spans="1:31" x14ac:dyDescent="0.35">
      <c r="A1609" t="s">
        <v>1667</v>
      </c>
      <c r="B1609" s="4">
        <v>45635</v>
      </c>
      <c r="C1609" s="4">
        <v>46143</v>
      </c>
      <c r="D1609" t="s">
        <v>32</v>
      </c>
      <c r="E1609">
        <v>48</v>
      </c>
      <c r="F1609" t="s">
        <v>43</v>
      </c>
      <c r="G1609" t="s">
        <v>40</v>
      </c>
      <c r="H1609" t="s">
        <v>58</v>
      </c>
      <c r="I1609" t="s">
        <v>36</v>
      </c>
      <c r="J1609">
        <v>16</v>
      </c>
      <c r="K1609" s="5">
        <v>82.43</v>
      </c>
      <c r="L1609" s="5">
        <v>106.72</v>
      </c>
      <c r="M1609">
        <v>28</v>
      </c>
      <c r="N1609">
        <v>20</v>
      </c>
      <c r="O1609">
        <v>3</v>
      </c>
      <c r="P1609">
        <v>1</v>
      </c>
      <c r="Q1609">
        <v>23</v>
      </c>
      <c r="R1609">
        <v>2</v>
      </c>
      <c r="S1609">
        <v>0</v>
      </c>
      <c r="T1609">
        <v>1</v>
      </c>
      <c r="U1609">
        <v>0</v>
      </c>
      <c r="V1609">
        <v>1</v>
      </c>
      <c r="W1609" t="s">
        <v>45</v>
      </c>
      <c r="X1609">
        <v>1</v>
      </c>
      <c r="Y1609">
        <v>0</v>
      </c>
      <c r="Z1609">
        <f t="shared" si="150"/>
        <v>78</v>
      </c>
      <c r="AA1609">
        <f t="shared" si="151"/>
        <v>1.1086956521739131</v>
      </c>
      <c r="AB1609">
        <f t="shared" si="152"/>
        <v>13</v>
      </c>
      <c r="AC1609" t="str">
        <f t="shared" si="153"/>
        <v>Low</v>
      </c>
      <c r="AD1609" t="str">
        <f t="shared" si="154"/>
        <v>Upsell premium bundle</v>
      </c>
      <c r="AE1609">
        <f t="shared" si="155"/>
        <v>22</v>
      </c>
    </row>
    <row r="1610" spans="1:31" x14ac:dyDescent="0.35">
      <c r="A1610" t="s">
        <v>1668</v>
      </c>
      <c r="B1610" s="4">
        <v>45002</v>
      </c>
      <c r="C1610" s="4">
        <v>46143</v>
      </c>
      <c r="D1610" t="s">
        <v>32</v>
      </c>
      <c r="E1610">
        <v>36</v>
      </c>
      <c r="F1610" t="s">
        <v>43</v>
      </c>
      <c r="G1610" t="s">
        <v>63</v>
      </c>
      <c r="H1610" t="s">
        <v>35</v>
      </c>
      <c r="I1610" t="s">
        <v>36</v>
      </c>
      <c r="J1610">
        <v>38</v>
      </c>
      <c r="K1610" s="5">
        <v>39.49</v>
      </c>
      <c r="L1610" s="5">
        <v>19.57</v>
      </c>
      <c r="M1610">
        <v>38</v>
      </c>
      <c r="N1610">
        <v>23</v>
      </c>
      <c r="O1610">
        <v>1</v>
      </c>
      <c r="P1610">
        <v>2</v>
      </c>
      <c r="Q1610">
        <v>37</v>
      </c>
      <c r="R1610">
        <v>0</v>
      </c>
      <c r="S1610">
        <v>1</v>
      </c>
      <c r="T1610">
        <v>1</v>
      </c>
      <c r="U1610">
        <v>1</v>
      </c>
      <c r="V1610">
        <v>0</v>
      </c>
      <c r="W1610" t="s">
        <v>45</v>
      </c>
      <c r="X1610">
        <v>63</v>
      </c>
      <c r="Y1610">
        <v>0</v>
      </c>
      <c r="Z1610">
        <f t="shared" si="150"/>
        <v>100</v>
      </c>
      <c r="AA1610">
        <f t="shared" si="151"/>
        <v>1.1029411764705883</v>
      </c>
      <c r="AB1610">
        <f t="shared" si="152"/>
        <v>0</v>
      </c>
      <c r="AC1610" t="str">
        <f t="shared" si="153"/>
        <v>Low</v>
      </c>
      <c r="AD1610" t="str">
        <f t="shared" si="154"/>
        <v>Upsell premium bundle</v>
      </c>
      <c r="AE1610">
        <f t="shared" si="155"/>
        <v>0</v>
      </c>
    </row>
    <row r="1611" spans="1:31" x14ac:dyDescent="0.35">
      <c r="A1611" t="s">
        <v>1669</v>
      </c>
      <c r="B1611" s="4">
        <v>46084</v>
      </c>
      <c r="C1611" s="4">
        <v>46143</v>
      </c>
      <c r="D1611" t="s">
        <v>66</v>
      </c>
      <c r="E1611">
        <v>29</v>
      </c>
      <c r="F1611" t="s">
        <v>61</v>
      </c>
      <c r="G1611" t="s">
        <v>40</v>
      </c>
      <c r="H1611" t="s">
        <v>41</v>
      </c>
      <c r="I1611" t="s">
        <v>54</v>
      </c>
      <c r="J1611">
        <v>1</v>
      </c>
      <c r="K1611" s="5">
        <v>2662.78</v>
      </c>
      <c r="L1611" s="5">
        <v>1940.28</v>
      </c>
      <c r="M1611">
        <v>44</v>
      </c>
      <c r="N1611">
        <v>16</v>
      </c>
      <c r="O1611">
        <v>6</v>
      </c>
      <c r="P1611">
        <v>7</v>
      </c>
      <c r="Q1611">
        <v>25</v>
      </c>
      <c r="R1611">
        <v>2</v>
      </c>
      <c r="S1611">
        <v>0</v>
      </c>
      <c r="T1611">
        <v>1</v>
      </c>
      <c r="U1611">
        <v>0</v>
      </c>
      <c r="V1611">
        <v>1</v>
      </c>
      <c r="W1611" t="s">
        <v>55</v>
      </c>
      <c r="X1611">
        <v>47</v>
      </c>
      <c r="Y1611">
        <v>0</v>
      </c>
      <c r="Z1611">
        <f t="shared" si="150"/>
        <v>100</v>
      </c>
      <c r="AA1611">
        <f t="shared" si="151"/>
        <v>2.225806451612903</v>
      </c>
      <c r="AB1611">
        <f t="shared" si="152"/>
        <v>0</v>
      </c>
      <c r="AC1611" t="str">
        <f t="shared" si="153"/>
        <v>Low</v>
      </c>
      <c r="AD1611" t="str">
        <f t="shared" si="154"/>
        <v>Upsell premium bundle</v>
      </c>
      <c r="AE1611">
        <f t="shared" si="155"/>
        <v>0</v>
      </c>
    </row>
    <row r="1612" spans="1:31" x14ac:dyDescent="0.35">
      <c r="A1612" t="s">
        <v>1670</v>
      </c>
      <c r="B1612" s="4">
        <v>45340</v>
      </c>
      <c r="C1612" s="4">
        <v>46143</v>
      </c>
      <c r="D1612" t="s">
        <v>72</v>
      </c>
      <c r="E1612">
        <v>27</v>
      </c>
      <c r="F1612" t="s">
        <v>43</v>
      </c>
      <c r="G1612" t="s">
        <v>40</v>
      </c>
      <c r="H1612" t="s">
        <v>41</v>
      </c>
      <c r="I1612" t="s">
        <v>36</v>
      </c>
      <c r="J1612">
        <v>26</v>
      </c>
      <c r="K1612" s="5">
        <v>0</v>
      </c>
      <c r="L1612" s="5">
        <v>32.06</v>
      </c>
      <c r="M1612">
        <v>6</v>
      </c>
      <c r="N1612">
        <v>3</v>
      </c>
      <c r="O1612">
        <v>1</v>
      </c>
      <c r="P1612">
        <v>0</v>
      </c>
      <c r="Q1612">
        <v>8</v>
      </c>
      <c r="R1612">
        <v>0</v>
      </c>
      <c r="S1612">
        <v>2</v>
      </c>
      <c r="T1612">
        <v>0</v>
      </c>
      <c r="U1612">
        <v>1</v>
      </c>
      <c r="V1612">
        <v>0</v>
      </c>
      <c r="W1612" t="s">
        <v>37</v>
      </c>
      <c r="X1612">
        <v>3</v>
      </c>
      <c r="Y1612">
        <v>0</v>
      </c>
      <c r="Z1612">
        <f t="shared" si="150"/>
        <v>25</v>
      </c>
      <c r="AA1612">
        <f t="shared" si="151"/>
        <v>0.25</v>
      </c>
      <c r="AB1612">
        <f t="shared" si="152"/>
        <v>63</v>
      </c>
      <c r="AC1612" t="str">
        <f t="shared" si="153"/>
        <v>Medium</v>
      </c>
      <c r="AD1612" t="str">
        <f t="shared" si="154"/>
        <v>Nudge core feature adoption</v>
      </c>
      <c r="AE1612">
        <f t="shared" si="155"/>
        <v>75</v>
      </c>
    </row>
    <row r="1613" spans="1:31" x14ac:dyDescent="0.35">
      <c r="A1613" t="s">
        <v>1671</v>
      </c>
      <c r="B1613" s="4">
        <v>44999</v>
      </c>
      <c r="C1613" s="4">
        <v>46143</v>
      </c>
      <c r="D1613" t="s">
        <v>66</v>
      </c>
      <c r="E1613">
        <v>43</v>
      </c>
      <c r="F1613" t="s">
        <v>57</v>
      </c>
      <c r="G1613" t="s">
        <v>67</v>
      </c>
      <c r="H1613" t="s">
        <v>41</v>
      </c>
      <c r="I1613" t="s">
        <v>36</v>
      </c>
      <c r="J1613">
        <v>38</v>
      </c>
      <c r="K1613" s="5">
        <v>0</v>
      </c>
      <c r="L1613" s="5">
        <v>0</v>
      </c>
      <c r="M1613">
        <v>32</v>
      </c>
      <c r="N1613">
        <v>13</v>
      </c>
      <c r="O1613">
        <v>8</v>
      </c>
      <c r="P1613">
        <v>6</v>
      </c>
      <c r="Q1613">
        <v>18</v>
      </c>
      <c r="R1613">
        <v>3</v>
      </c>
      <c r="S1613">
        <v>0</v>
      </c>
      <c r="T1613">
        <v>1</v>
      </c>
      <c r="U1613">
        <v>0</v>
      </c>
      <c r="V1613">
        <v>1</v>
      </c>
      <c r="W1613" t="s">
        <v>52</v>
      </c>
      <c r="X1613">
        <v>67</v>
      </c>
      <c r="Y1613">
        <v>0</v>
      </c>
      <c r="Z1613">
        <f t="shared" si="150"/>
        <v>86</v>
      </c>
      <c r="AA1613">
        <f t="shared" si="151"/>
        <v>0.73529411764705888</v>
      </c>
      <c r="AB1613">
        <f t="shared" si="152"/>
        <v>0</v>
      </c>
      <c r="AC1613" t="str">
        <f t="shared" si="153"/>
        <v>Low</v>
      </c>
      <c r="AD1613" t="str">
        <f t="shared" si="154"/>
        <v>Upsell premium bundle</v>
      </c>
      <c r="AE1613">
        <f t="shared" si="155"/>
        <v>14</v>
      </c>
    </row>
    <row r="1614" spans="1:31" x14ac:dyDescent="0.35">
      <c r="A1614" t="s">
        <v>1672</v>
      </c>
      <c r="B1614" s="4">
        <v>45914</v>
      </c>
      <c r="C1614" s="4">
        <v>46143</v>
      </c>
      <c r="D1614" t="s">
        <v>72</v>
      </c>
      <c r="E1614">
        <v>44</v>
      </c>
      <c r="F1614" t="s">
        <v>77</v>
      </c>
      <c r="G1614" t="s">
        <v>48</v>
      </c>
      <c r="H1614" t="s">
        <v>44</v>
      </c>
      <c r="I1614" t="s">
        <v>36</v>
      </c>
      <c r="J1614">
        <v>7</v>
      </c>
      <c r="K1614" s="5">
        <v>22760.79</v>
      </c>
      <c r="L1614" s="5">
        <v>12368.67</v>
      </c>
      <c r="M1614">
        <v>42</v>
      </c>
      <c r="N1614">
        <v>21</v>
      </c>
      <c r="O1614">
        <v>5</v>
      </c>
      <c r="P1614">
        <v>3</v>
      </c>
      <c r="Q1614">
        <v>18</v>
      </c>
      <c r="R1614">
        <v>4</v>
      </c>
      <c r="S1614">
        <v>2</v>
      </c>
      <c r="T1614">
        <v>1</v>
      </c>
      <c r="U1614">
        <v>0</v>
      </c>
      <c r="V1614">
        <v>0</v>
      </c>
      <c r="W1614" t="s">
        <v>45</v>
      </c>
      <c r="X1614">
        <v>39</v>
      </c>
      <c r="Y1614">
        <v>0</v>
      </c>
      <c r="Z1614">
        <f t="shared" si="150"/>
        <v>87</v>
      </c>
      <c r="AA1614">
        <f t="shared" si="151"/>
        <v>1.6216216216216217</v>
      </c>
      <c r="AB1614">
        <f t="shared" si="152"/>
        <v>0</v>
      </c>
      <c r="AC1614" t="str">
        <f t="shared" si="153"/>
        <v>Low</v>
      </c>
      <c r="AD1614" t="str">
        <f t="shared" si="154"/>
        <v>Upsell premium bundle</v>
      </c>
      <c r="AE1614">
        <f t="shared" si="155"/>
        <v>13</v>
      </c>
    </row>
    <row r="1615" spans="1:31" x14ac:dyDescent="0.35">
      <c r="A1615" t="s">
        <v>1673</v>
      </c>
      <c r="B1615" s="4">
        <v>45026</v>
      </c>
      <c r="C1615" s="4">
        <v>46143</v>
      </c>
      <c r="D1615" t="s">
        <v>66</v>
      </c>
      <c r="E1615">
        <v>39</v>
      </c>
      <c r="F1615" t="s">
        <v>57</v>
      </c>
      <c r="G1615" t="s">
        <v>67</v>
      </c>
      <c r="H1615" t="s">
        <v>41</v>
      </c>
      <c r="I1615" t="s">
        <v>36</v>
      </c>
      <c r="J1615">
        <v>37</v>
      </c>
      <c r="K1615" s="5">
        <v>562.57000000000005</v>
      </c>
      <c r="L1615" s="5">
        <v>124.83</v>
      </c>
      <c r="M1615">
        <v>28</v>
      </c>
      <c r="N1615">
        <v>15</v>
      </c>
      <c r="O1615">
        <v>2</v>
      </c>
      <c r="P1615">
        <v>4</v>
      </c>
      <c r="Q1615">
        <v>35</v>
      </c>
      <c r="R1615">
        <v>1</v>
      </c>
      <c r="S1615">
        <v>1</v>
      </c>
      <c r="T1615">
        <v>0</v>
      </c>
      <c r="U1615">
        <v>0</v>
      </c>
      <c r="V1615">
        <v>0</v>
      </c>
      <c r="W1615" t="s">
        <v>55</v>
      </c>
      <c r="X1615">
        <v>27</v>
      </c>
      <c r="Y1615">
        <v>0</v>
      </c>
      <c r="Z1615">
        <f t="shared" si="150"/>
        <v>81</v>
      </c>
      <c r="AA1615">
        <f t="shared" si="151"/>
        <v>0.94029850746268662</v>
      </c>
      <c r="AB1615">
        <f t="shared" si="152"/>
        <v>19</v>
      </c>
      <c r="AC1615" t="str">
        <f t="shared" si="153"/>
        <v>Low</v>
      </c>
      <c r="AD1615" t="str">
        <f t="shared" si="154"/>
        <v>Upsell premium bundle</v>
      </c>
      <c r="AE1615">
        <f t="shared" si="155"/>
        <v>19</v>
      </c>
    </row>
    <row r="1616" spans="1:31" x14ac:dyDescent="0.35">
      <c r="A1616" t="s">
        <v>1674</v>
      </c>
      <c r="B1616" s="4">
        <v>44766</v>
      </c>
      <c r="C1616" s="4">
        <v>46143</v>
      </c>
      <c r="D1616" t="s">
        <v>47</v>
      </c>
      <c r="E1616">
        <v>30</v>
      </c>
      <c r="F1616" t="s">
        <v>77</v>
      </c>
      <c r="G1616" t="s">
        <v>48</v>
      </c>
      <c r="H1616" t="s">
        <v>58</v>
      </c>
      <c r="I1616" t="s">
        <v>54</v>
      </c>
      <c r="J1616">
        <v>45</v>
      </c>
      <c r="K1616" s="5">
        <v>14012.06</v>
      </c>
      <c r="L1616" s="5">
        <v>5490.06</v>
      </c>
      <c r="M1616">
        <v>31</v>
      </c>
      <c r="N1616">
        <v>15</v>
      </c>
      <c r="O1616">
        <v>5</v>
      </c>
      <c r="P1616">
        <v>2</v>
      </c>
      <c r="Q1616">
        <v>21</v>
      </c>
      <c r="R1616">
        <v>2</v>
      </c>
      <c r="S1616">
        <v>0</v>
      </c>
      <c r="T1616">
        <v>0</v>
      </c>
      <c r="U1616">
        <v>0</v>
      </c>
      <c r="V1616">
        <v>1</v>
      </c>
      <c r="W1616" t="s">
        <v>37</v>
      </c>
      <c r="X1616">
        <v>-2</v>
      </c>
      <c r="Y1616">
        <v>1</v>
      </c>
      <c r="Z1616">
        <f t="shared" si="150"/>
        <v>79</v>
      </c>
      <c r="AA1616">
        <f t="shared" si="151"/>
        <v>0.69333333333333336</v>
      </c>
      <c r="AB1616">
        <f t="shared" si="152"/>
        <v>20</v>
      </c>
      <c r="AC1616" t="str">
        <f t="shared" si="153"/>
        <v>Low</v>
      </c>
      <c r="AD1616" t="str">
        <f t="shared" si="154"/>
        <v>Upsell premium bundle</v>
      </c>
      <c r="AE1616">
        <f t="shared" si="155"/>
        <v>21</v>
      </c>
    </row>
    <row r="1617" spans="1:31" x14ac:dyDescent="0.35">
      <c r="A1617" t="s">
        <v>1675</v>
      </c>
      <c r="B1617" s="4">
        <v>46117</v>
      </c>
      <c r="C1617" s="4">
        <v>46143</v>
      </c>
      <c r="D1617" t="s">
        <v>66</v>
      </c>
      <c r="E1617">
        <v>26</v>
      </c>
      <c r="F1617" t="s">
        <v>33</v>
      </c>
      <c r="G1617" t="s">
        <v>67</v>
      </c>
      <c r="H1617" t="s">
        <v>41</v>
      </c>
      <c r="I1617" t="s">
        <v>36</v>
      </c>
      <c r="J1617">
        <v>1</v>
      </c>
      <c r="K1617" s="5">
        <v>222.52</v>
      </c>
      <c r="L1617" s="5">
        <v>289.93</v>
      </c>
      <c r="M1617">
        <v>9</v>
      </c>
      <c r="N1617">
        <v>6</v>
      </c>
      <c r="O1617">
        <v>2</v>
      </c>
      <c r="P1617">
        <v>1</v>
      </c>
      <c r="Q1617">
        <v>9</v>
      </c>
      <c r="R1617">
        <v>2</v>
      </c>
      <c r="S1617">
        <v>1</v>
      </c>
      <c r="T1617">
        <v>0</v>
      </c>
      <c r="U1617">
        <v>0</v>
      </c>
      <c r="V1617">
        <v>0</v>
      </c>
      <c r="W1617" t="s">
        <v>55</v>
      </c>
      <c r="X1617">
        <v>-14</v>
      </c>
      <c r="Y1617">
        <v>1</v>
      </c>
      <c r="Z1617">
        <f t="shared" si="150"/>
        <v>26</v>
      </c>
      <c r="AA1617">
        <f t="shared" si="151"/>
        <v>0.58064516129032262</v>
      </c>
      <c r="AB1617">
        <f t="shared" si="152"/>
        <v>60</v>
      </c>
      <c r="AC1617" t="str">
        <f t="shared" si="153"/>
        <v>Medium</v>
      </c>
      <c r="AD1617" t="str">
        <f t="shared" si="154"/>
        <v>Nudge core feature adoption</v>
      </c>
      <c r="AE1617">
        <f t="shared" si="155"/>
        <v>74</v>
      </c>
    </row>
    <row r="1618" spans="1:31" x14ac:dyDescent="0.35">
      <c r="A1618" t="s">
        <v>1676</v>
      </c>
      <c r="B1618" s="4">
        <v>46100</v>
      </c>
      <c r="C1618" s="4">
        <v>46143</v>
      </c>
      <c r="D1618" t="s">
        <v>47</v>
      </c>
      <c r="E1618">
        <v>39</v>
      </c>
      <c r="F1618" t="s">
        <v>57</v>
      </c>
      <c r="G1618" t="s">
        <v>34</v>
      </c>
      <c r="H1618" t="s">
        <v>58</v>
      </c>
      <c r="I1618" t="s">
        <v>49</v>
      </c>
      <c r="J1618">
        <v>1</v>
      </c>
      <c r="K1618" s="5">
        <v>1449.52</v>
      </c>
      <c r="L1618" s="5">
        <v>197.54</v>
      </c>
      <c r="M1618">
        <v>32</v>
      </c>
      <c r="N1618">
        <v>17</v>
      </c>
      <c r="O1618">
        <v>2</v>
      </c>
      <c r="P1618">
        <v>3</v>
      </c>
      <c r="Q1618">
        <v>29</v>
      </c>
      <c r="R1618">
        <v>0</v>
      </c>
      <c r="S1618">
        <v>0</v>
      </c>
      <c r="T1618">
        <v>0</v>
      </c>
      <c r="U1618">
        <v>0</v>
      </c>
      <c r="V1618">
        <v>0</v>
      </c>
      <c r="W1618" t="s">
        <v>37</v>
      </c>
      <c r="X1618">
        <v>48</v>
      </c>
      <c r="Y1618">
        <v>0</v>
      </c>
      <c r="Z1618">
        <f t="shared" si="150"/>
        <v>80</v>
      </c>
      <c r="AA1618">
        <f t="shared" si="151"/>
        <v>1.967741935483871</v>
      </c>
      <c r="AB1618">
        <f t="shared" si="152"/>
        <v>8</v>
      </c>
      <c r="AC1618" t="str">
        <f t="shared" si="153"/>
        <v>Low</v>
      </c>
      <c r="AD1618" t="str">
        <f t="shared" si="154"/>
        <v>Upsell premium bundle</v>
      </c>
      <c r="AE1618">
        <f t="shared" si="155"/>
        <v>20</v>
      </c>
    </row>
    <row r="1619" spans="1:31" x14ac:dyDescent="0.35">
      <c r="A1619" t="s">
        <v>1677</v>
      </c>
      <c r="B1619" s="4">
        <v>44870</v>
      </c>
      <c r="C1619" s="4">
        <v>46143</v>
      </c>
      <c r="D1619" t="s">
        <v>72</v>
      </c>
      <c r="E1619">
        <v>50</v>
      </c>
      <c r="F1619" t="s">
        <v>33</v>
      </c>
      <c r="G1619" t="s">
        <v>40</v>
      </c>
      <c r="H1619" t="s">
        <v>41</v>
      </c>
      <c r="I1619" t="s">
        <v>36</v>
      </c>
      <c r="J1619">
        <v>42</v>
      </c>
      <c r="K1619" s="5">
        <v>698.1</v>
      </c>
      <c r="L1619" s="5">
        <v>388.8</v>
      </c>
      <c r="M1619">
        <v>36</v>
      </c>
      <c r="N1619">
        <v>15</v>
      </c>
      <c r="O1619">
        <v>1</v>
      </c>
      <c r="P1619">
        <v>1</v>
      </c>
      <c r="Q1619">
        <v>21</v>
      </c>
      <c r="R1619">
        <v>1</v>
      </c>
      <c r="S1619">
        <v>0</v>
      </c>
      <c r="T1619">
        <v>0</v>
      </c>
      <c r="U1619">
        <v>0</v>
      </c>
      <c r="V1619">
        <v>0</v>
      </c>
      <c r="W1619" t="s">
        <v>50</v>
      </c>
      <c r="X1619">
        <v>30</v>
      </c>
      <c r="Y1619">
        <v>0</v>
      </c>
      <c r="Z1619">
        <f t="shared" si="150"/>
        <v>72</v>
      </c>
      <c r="AA1619">
        <f t="shared" si="151"/>
        <v>0.79166666666666663</v>
      </c>
      <c r="AB1619">
        <f t="shared" si="152"/>
        <v>13</v>
      </c>
      <c r="AC1619" t="str">
        <f t="shared" si="153"/>
        <v>Low</v>
      </c>
      <c r="AD1619" t="str">
        <f t="shared" si="154"/>
        <v>Upsell premium bundle</v>
      </c>
      <c r="AE1619">
        <f t="shared" si="155"/>
        <v>28</v>
      </c>
    </row>
    <row r="1620" spans="1:31" x14ac:dyDescent="0.35">
      <c r="A1620" t="s">
        <v>1678</v>
      </c>
      <c r="B1620" s="4">
        <v>45263</v>
      </c>
      <c r="C1620" s="4">
        <v>46143</v>
      </c>
      <c r="D1620" t="s">
        <v>47</v>
      </c>
      <c r="E1620">
        <v>67</v>
      </c>
      <c r="F1620" t="s">
        <v>33</v>
      </c>
      <c r="G1620" t="s">
        <v>34</v>
      </c>
      <c r="H1620" t="s">
        <v>58</v>
      </c>
      <c r="I1620" t="s">
        <v>49</v>
      </c>
      <c r="J1620">
        <v>29</v>
      </c>
      <c r="K1620" s="5">
        <v>419.61</v>
      </c>
      <c r="L1620" s="5">
        <v>116.41</v>
      </c>
      <c r="M1620">
        <v>33</v>
      </c>
      <c r="N1620">
        <v>19</v>
      </c>
      <c r="O1620">
        <v>7</v>
      </c>
      <c r="P1620">
        <v>0</v>
      </c>
      <c r="Q1620">
        <v>23</v>
      </c>
      <c r="R1620">
        <v>0</v>
      </c>
      <c r="S1620">
        <v>2</v>
      </c>
      <c r="T1620">
        <v>1</v>
      </c>
      <c r="U1620">
        <v>0</v>
      </c>
      <c r="V1620">
        <v>0</v>
      </c>
      <c r="W1620" t="s">
        <v>52</v>
      </c>
      <c r="X1620">
        <v>27</v>
      </c>
      <c r="Y1620">
        <v>0</v>
      </c>
      <c r="Z1620">
        <f t="shared" si="150"/>
        <v>79</v>
      </c>
      <c r="AA1620">
        <f t="shared" si="151"/>
        <v>0.94915254237288138</v>
      </c>
      <c r="AB1620">
        <f t="shared" si="152"/>
        <v>35</v>
      </c>
      <c r="AC1620" t="str">
        <f t="shared" si="153"/>
        <v>Low</v>
      </c>
      <c r="AD1620" t="str">
        <f t="shared" si="154"/>
        <v>Upsell premium bundle</v>
      </c>
      <c r="AE1620">
        <f t="shared" si="155"/>
        <v>21</v>
      </c>
    </row>
    <row r="1621" spans="1:31" x14ac:dyDescent="0.35">
      <c r="A1621" t="s">
        <v>1679</v>
      </c>
      <c r="B1621" s="4">
        <v>45462</v>
      </c>
      <c r="C1621" s="4">
        <v>46143</v>
      </c>
      <c r="D1621" t="s">
        <v>72</v>
      </c>
      <c r="E1621">
        <v>38</v>
      </c>
      <c r="F1621" t="s">
        <v>33</v>
      </c>
      <c r="G1621" t="s">
        <v>48</v>
      </c>
      <c r="H1621" t="s">
        <v>58</v>
      </c>
      <c r="I1621" t="s">
        <v>54</v>
      </c>
      <c r="J1621">
        <v>22</v>
      </c>
      <c r="K1621" s="5">
        <v>647.80999999999995</v>
      </c>
      <c r="L1621" s="5">
        <v>22.16</v>
      </c>
      <c r="M1621">
        <v>31</v>
      </c>
      <c r="N1621">
        <v>10</v>
      </c>
      <c r="O1621">
        <v>2</v>
      </c>
      <c r="P1621">
        <v>4</v>
      </c>
      <c r="Q1621">
        <v>14</v>
      </c>
      <c r="R1621">
        <v>1</v>
      </c>
      <c r="S1621">
        <v>1</v>
      </c>
      <c r="T1621">
        <v>0</v>
      </c>
      <c r="U1621">
        <v>0</v>
      </c>
      <c r="V1621">
        <v>1</v>
      </c>
      <c r="W1621" t="s">
        <v>55</v>
      </c>
      <c r="X1621">
        <v>3</v>
      </c>
      <c r="Y1621">
        <v>1</v>
      </c>
      <c r="Z1621">
        <f t="shared" si="150"/>
        <v>69</v>
      </c>
      <c r="AA1621">
        <f t="shared" si="151"/>
        <v>0.86538461538461542</v>
      </c>
      <c r="AB1621">
        <f t="shared" si="152"/>
        <v>41</v>
      </c>
      <c r="AC1621" t="str">
        <f t="shared" si="153"/>
        <v>Medium</v>
      </c>
      <c r="AD1621" t="str">
        <f t="shared" si="154"/>
        <v>Nudge core feature adoption</v>
      </c>
      <c r="AE1621">
        <f t="shared" si="155"/>
        <v>31</v>
      </c>
    </row>
    <row r="1622" spans="1:31" x14ac:dyDescent="0.35">
      <c r="A1622" t="s">
        <v>1680</v>
      </c>
      <c r="B1622" s="4">
        <v>45609</v>
      </c>
      <c r="C1622" s="4">
        <v>46143</v>
      </c>
      <c r="D1622" t="s">
        <v>72</v>
      </c>
      <c r="E1622">
        <v>25</v>
      </c>
      <c r="F1622" t="s">
        <v>43</v>
      </c>
      <c r="G1622" t="s">
        <v>40</v>
      </c>
      <c r="H1622" t="s">
        <v>41</v>
      </c>
      <c r="I1622" t="s">
        <v>36</v>
      </c>
      <c r="J1622">
        <v>17</v>
      </c>
      <c r="K1622" s="5">
        <v>0</v>
      </c>
      <c r="L1622" s="5">
        <v>41.75</v>
      </c>
      <c r="M1622">
        <v>18</v>
      </c>
      <c r="N1622">
        <v>8</v>
      </c>
      <c r="O1622">
        <v>2</v>
      </c>
      <c r="P1622">
        <v>1</v>
      </c>
      <c r="Q1622">
        <v>14</v>
      </c>
      <c r="R1622">
        <v>0</v>
      </c>
      <c r="S1622">
        <v>0</v>
      </c>
      <c r="T1622">
        <v>0</v>
      </c>
      <c r="U1622">
        <v>1</v>
      </c>
      <c r="V1622">
        <v>0</v>
      </c>
      <c r="W1622" t="s">
        <v>52</v>
      </c>
      <c r="X1622">
        <v>-1</v>
      </c>
      <c r="Y1622">
        <v>1</v>
      </c>
      <c r="Z1622">
        <f t="shared" si="150"/>
        <v>50</v>
      </c>
      <c r="AA1622">
        <f t="shared" si="151"/>
        <v>0.68085106382978722</v>
      </c>
      <c r="AB1622">
        <f t="shared" si="152"/>
        <v>39</v>
      </c>
      <c r="AC1622" t="str">
        <f t="shared" si="153"/>
        <v>Low</v>
      </c>
      <c r="AD1622" t="str">
        <f t="shared" si="154"/>
        <v>Upsell premium bundle</v>
      </c>
      <c r="AE1622">
        <f t="shared" si="155"/>
        <v>50</v>
      </c>
    </row>
    <row r="1623" spans="1:31" x14ac:dyDescent="0.35">
      <c r="A1623" t="s">
        <v>1681</v>
      </c>
      <c r="B1623" s="4">
        <v>45897</v>
      </c>
      <c r="C1623" s="4">
        <v>46143</v>
      </c>
      <c r="D1623" t="s">
        <v>47</v>
      </c>
      <c r="E1623">
        <v>40</v>
      </c>
      <c r="F1623" t="s">
        <v>57</v>
      </c>
      <c r="G1623" t="s">
        <v>48</v>
      </c>
      <c r="H1623" t="s">
        <v>41</v>
      </c>
      <c r="I1623" t="s">
        <v>36</v>
      </c>
      <c r="J1623">
        <v>8</v>
      </c>
      <c r="K1623" s="5">
        <v>2028.35</v>
      </c>
      <c r="L1623" s="5">
        <v>448.6</v>
      </c>
      <c r="M1623">
        <v>13</v>
      </c>
      <c r="N1623">
        <v>6</v>
      </c>
      <c r="O1623">
        <v>0</v>
      </c>
      <c r="P1623">
        <v>1</v>
      </c>
      <c r="Q1623">
        <v>11</v>
      </c>
      <c r="R1623">
        <v>0</v>
      </c>
      <c r="S1623">
        <v>0</v>
      </c>
      <c r="T1623">
        <v>1</v>
      </c>
      <c r="U1623">
        <v>0</v>
      </c>
      <c r="V1623">
        <v>0</v>
      </c>
      <c r="W1623" t="s">
        <v>52</v>
      </c>
      <c r="X1623">
        <v>2</v>
      </c>
      <c r="Y1623">
        <v>0</v>
      </c>
      <c r="Z1623">
        <f t="shared" si="150"/>
        <v>30</v>
      </c>
      <c r="AA1623">
        <f t="shared" si="151"/>
        <v>0.63157894736842102</v>
      </c>
      <c r="AB1623">
        <f t="shared" si="152"/>
        <v>45</v>
      </c>
      <c r="AC1623" t="str">
        <f t="shared" si="153"/>
        <v>Medium</v>
      </c>
      <c r="AD1623" t="str">
        <f t="shared" si="154"/>
        <v>Nudge core feature adoption</v>
      </c>
      <c r="AE1623">
        <f t="shared" si="155"/>
        <v>70</v>
      </c>
    </row>
    <row r="1624" spans="1:31" x14ac:dyDescent="0.35">
      <c r="A1624" t="s">
        <v>1682</v>
      </c>
      <c r="B1624" s="4">
        <v>45175</v>
      </c>
      <c r="C1624" s="4">
        <v>46143</v>
      </c>
      <c r="D1624" t="s">
        <v>39</v>
      </c>
      <c r="E1624">
        <v>35</v>
      </c>
      <c r="F1624" t="s">
        <v>77</v>
      </c>
      <c r="G1624" t="s">
        <v>40</v>
      </c>
      <c r="H1624" t="s">
        <v>41</v>
      </c>
      <c r="I1624" t="s">
        <v>36</v>
      </c>
      <c r="J1624">
        <v>32</v>
      </c>
      <c r="K1624" s="5">
        <v>5850.96</v>
      </c>
      <c r="L1624" s="5">
        <v>2656.79</v>
      </c>
      <c r="M1624">
        <v>11</v>
      </c>
      <c r="N1624">
        <v>4</v>
      </c>
      <c r="O1624">
        <v>2</v>
      </c>
      <c r="P1624">
        <v>2</v>
      </c>
      <c r="Q1624">
        <v>18</v>
      </c>
      <c r="R1624">
        <v>2</v>
      </c>
      <c r="S1624">
        <v>2</v>
      </c>
      <c r="T1624">
        <v>0</v>
      </c>
      <c r="U1624">
        <v>1</v>
      </c>
      <c r="V1624">
        <v>1</v>
      </c>
      <c r="W1624" t="s">
        <v>45</v>
      </c>
      <c r="X1624">
        <v>-33</v>
      </c>
      <c r="Y1624">
        <v>0</v>
      </c>
      <c r="Z1624">
        <f t="shared" si="150"/>
        <v>51</v>
      </c>
      <c r="AA1624">
        <f t="shared" si="151"/>
        <v>0.46774193548387094</v>
      </c>
      <c r="AB1624">
        <f t="shared" si="152"/>
        <v>57</v>
      </c>
      <c r="AC1624" t="str">
        <f t="shared" si="153"/>
        <v>Medium</v>
      </c>
      <c r="AD1624" t="str">
        <f t="shared" si="154"/>
        <v>Nudge core feature adoption</v>
      </c>
      <c r="AE1624">
        <f t="shared" si="155"/>
        <v>49</v>
      </c>
    </row>
    <row r="1625" spans="1:31" x14ac:dyDescent="0.35">
      <c r="A1625" t="s">
        <v>1683</v>
      </c>
      <c r="B1625" s="4">
        <v>45585</v>
      </c>
      <c r="C1625" s="4">
        <v>46143</v>
      </c>
      <c r="D1625" t="s">
        <v>60</v>
      </c>
      <c r="E1625">
        <v>20</v>
      </c>
      <c r="F1625" t="s">
        <v>57</v>
      </c>
      <c r="G1625" t="s">
        <v>48</v>
      </c>
      <c r="H1625" t="s">
        <v>41</v>
      </c>
      <c r="I1625" t="s">
        <v>36</v>
      </c>
      <c r="J1625">
        <v>18</v>
      </c>
      <c r="K1625" s="5">
        <v>80.47</v>
      </c>
      <c r="L1625" s="5">
        <v>1011</v>
      </c>
      <c r="M1625">
        <v>40</v>
      </c>
      <c r="N1625">
        <v>29</v>
      </c>
      <c r="O1625">
        <v>8</v>
      </c>
      <c r="P1625">
        <v>2</v>
      </c>
      <c r="Q1625">
        <v>21</v>
      </c>
      <c r="R1625">
        <v>0</v>
      </c>
      <c r="S1625">
        <v>0</v>
      </c>
      <c r="T1625">
        <v>1</v>
      </c>
      <c r="U1625">
        <v>0</v>
      </c>
      <c r="V1625">
        <v>0</v>
      </c>
      <c r="W1625" t="s">
        <v>55</v>
      </c>
      <c r="X1625">
        <v>16</v>
      </c>
      <c r="Y1625">
        <v>0</v>
      </c>
      <c r="Z1625">
        <f t="shared" si="150"/>
        <v>96</v>
      </c>
      <c r="AA1625">
        <f t="shared" si="151"/>
        <v>1.2708333333333333</v>
      </c>
      <c r="AB1625">
        <f t="shared" si="152"/>
        <v>12</v>
      </c>
      <c r="AC1625" t="str">
        <f t="shared" si="153"/>
        <v>Low</v>
      </c>
      <c r="AD1625" t="str">
        <f t="shared" si="154"/>
        <v>Upsell premium bundle</v>
      </c>
      <c r="AE1625">
        <f t="shared" si="155"/>
        <v>4</v>
      </c>
    </row>
    <row r="1626" spans="1:31" x14ac:dyDescent="0.35">
      <c r="A1626" t="s">
        <v>1684</v>
      </c>
      <c r="B1626" s="4">
        <v>44701</v>
      </c>
      <c r="C1626" s="4">
        <v>46143</v>
      </c>
      <c r="D1626" t="s">
        <v>60</v>
      </c>
      <c r="E1626">
        <v>57</v>
      </c>
      <c r="F1626" t="s">
        <v>57</v>
      </c>
      <c r="G1626" t="s">
        <v>67</v>
      </c>
      <c r="H1626" t="s">
        <v>44</v>
      </c>
      <c r="I1626" t="s">
        <v>36</v>
      </c>
      <c r="J1626">
        <v>48</v>
      </c>
      <c r="K1626" s="5">
        <v>1960.48</v>
      </c>
      <c r="L1626" s="5">
        <v>533.29999999999995</v>
      </c>
      <c r="M1626">
        <v>53</v>
      </c>
      <c r="N1626">
        <v>20</v>
      </c>
      <c r="O1626">
        <v>14</v>
      </c>
      <c r="P1626">
        <v>8</v>
      </c>
      <c r="Q1626">
        <v>41</v>
      </c>
      <c r="R1626">
        <v>0</v>
      </c>
      <c r="S1626">
        <v>0</v>
      </c>
      <c r="T1626">
        <v>0</v>
      </c>
      <c r="U1626">
        <v>0</v>
      </c>
      <c r="V1626">
        <v>1</v>
      </c>
      <c r="W1626" t="s">
        <v>45</v>
      </c>
      <c r="X1626">
        <v>63</v>
      </c>
      <c r="Y1626">
        <v>0</v>
      </c>
      <c r="Z1626">
        <f t="shared" si="150"/>
        <v>100</v>
      </c>
      <c r="AA1626">
        <f t="shared" si="151"/>
        <v>1.2051282051282051</v>
      </c>
      <c r="AB1626">
        <f t="shared" si="152"/>
        <v>0</v>
      </c>
      <c r="AC1626" t="str">
        <f t="shared" si="153"/>
        <v>Low</v>
      </c>
      <c r="AD1626" t="str">
        <f t="shared" si="154"/>
        <v>Upsell premium bundle</v>
      </c>
      <c r="AE1626">
        <f t="shared" si="155"/>
        <v>0</v>
      </c>
    </row>
    <row r="1627" spans="1:31" x14ac:dyDescent="0.35">
      <c r="A1627" t="s">
        <v>1685</v>
      </c>
      <c r="B1627" s="4">
        <v>45787</v>
      </c>
      <c r="C1627" s="4">
        <v>46143</v>
      </c>
      <c r="D1627" t="s">
        <v>60</v>
      </c>
      <c r="E1627">
        <v>60</v>
      </c>
      <c r="F1627" t="s">
        <v>57</v>
      </c>
      <c r="G1627" t="s">
        <v>63</v>
      </c>
      <c r="H1627" t="s">
        <v>58</v>
      </c>
      <c r="I1627" t="s">
        <v>36</v>
      </c>
      <c r="J1627">
        <v>11</v>
      </c>
      <c r="K1627" s="5">
        <v>550.29999999999995</v>
      </c>
      <c r="L1627" s="5">
        <v>894.98</v>
      </c>
      <c r="M1627">
        <v>36</v>
      </c>
      <c r="N1627">
        <v>24</v>
      </c>
      <c r="O1627">
        <v>5</v>
      </c>
      <c r="P1627">
        <v>4</v>
      </c>
      <c r="Q1627">
        <v>28</v>
      </c>
      <c r="R1627">
        <v>0</v>
      </c>
      <c r="S1627">
        <v>0</v>
      </c>
      <c r="T1627">
        <v>0</v>
      </c>
      <c r="U1627">
        <v>1</v>
      </c>
      <c r="V1627">
        <v>0</v>
      </c>
      <c r="W1627" t="s">
        <v>37</v>
      </c>
      <c r="X1627">
        <v>52</v>
      </c>
      <c r="Y1627">
        <v>0</v>
      </c>
      <c r="Z1627">
        <f t="shared" si="150"/>
        <v>100</v>
      </c>
      <c r="AA1627">
        <f t="shared" si="151"/>
        <v>1.5609756097560976</v>
      </c>
      <c r="AB1627">
        <f t="shared" si="152"/>
        <v>0</v>
      </c>
      <c r="AC1627" t="str">
        <f t="shared" si="153"/>
        <v>Low</v>
      </c>
      <c r="AD1627" t="str">
        <f t="shared" si="154"/>
        <v>Upsell premium bundle</v>
      </c>
      <c r="AE1627">
        <f t="shared" si="155"/>
        <v>0</v>
      </c>
    </row>
    <row r="1628" spans="1:31" x14ac:dyDescent="0.35">
      <c r="A1628" t="s">
        <v>1686</v>
      </c>
      <c r="B1628" s="4">
        <v>45593</v>
      </c>
      <c r="C1628" s="4">
        <v>46143</v>
      </c>
      <c r="D1628" t="s">
        <v>66</v>
      </c>
      <c r="E1628">
        <v>38</v>
      </c>
      <c r="F1628" t="s">
        <v>61</v>
      </c>
      <c r="G1628" t="s">
        <v>48</v>
      </c>
      <c r="H1628" t="s">
        <v>44</v>
      </c>
      <c r="I1628" t="s">
        <v>36</v>
      </c>
      <c r="J1628">
        <v>18</v>
      </c>
      <c r="K1628" s="5">
        <v>3903.61</v>
      </c>
      <c r="L1628" s="5">
        <v>1575.04</v>
      </c>
      <c r="M1628">
        <v>56</v>
      </c>
      <c r="N1628">
        <v>35</v>
      </c>
      <c r="O1628">
        <v>14</v>
      </c>
      <c r="P1628">
        <v>6</v>
      </c>
      <c r="Q1628">
        <v>34</v>
      </c>
      <c r="R1628">
        <v>0</v>
      </c>
      <c r="S1628">
        <v>2</v>
      </c>
      <c r="T1628">
        <v>1</v>
      </c>
      <c r="U1628">
        <v>1</v>
      </c>
      <c r="V1628">
        <v>1</v>
      </c>
      <c r="W1628" t="s">
        <v>37</v>
      </c>
      <c r="X1628">
        <v>43</v>
      </c>
      <c r="Y1628">
        <v>0</v>
      </c>
      <c r="Z1628">
        <f t="shared" si="150"/>
        <v>100</v>
      </c>
      <c r="AA1628">
        <f t="shared" si="151"/>
        <v>1.875</v>
      </c>
      <c r="AB1628">
        <f t="shared" si="152"/>
        <v>0</v>
      </c>
      <c r="AC1628" t="str">
        <f t="shared" si="153"/>
        <v>Low</v>
      </c>
      <c r="AD1628" t="str">
        <f t="shared" si="154"/>
        <v>Upsell premium bundle</v>
      </c>
      <c r="AE1628">
        <f t="shared" si="155"/>
        <v>0</v>
      </c>
    </row>
    <row r="1629" spans="1:31" x14ac:dyDescent="0.35">
      <c r="A1629" t="s">
        <v>1687</v>
      </c>
      <c r="B1629" s="4">
        <v>45930</v>
      </c>
      <c r="C1629" s="4">
        <v>46143</v>
      </c>
      <c r="D1629" t="s">
        <v>32</v>
      </c>
      <c r="E1629">
        <v>32</v>
      </c>
      <c r="F1629" t="s">
        <v>57</v>
      </c>
      <c r="G1629" t="s">
        <v>48</v>
      </c>
      <c r="H1629" t="s">
        <v>41</v>
      </c>
      <c r="I1629" t="s">
        <v>36</v>
      </c>
      <c r="J1629">
        <v>7</v>
      </c>
      <c r="K1629" s="5">
        <v>3268.64</v>
      </c>
      <c r="L1629" s="5">
        <v>439.41</v>
      </c>
      <c r="M1629">
        <v>3</v>
      </c>
      <c r="N1629">
        <v>1</v>
      </c>
      <c r="O1629">
        <v>0</v>
      </c>
      <c r="P1629">
        <v>0</v>
      </c>
      <c r="Q1629">
        <v>0</v>
      </c>
      <c r="R1629">
        <v>2</v>
      </c>
      <c r="S1629">
        <v>1</v>
      </c>
      <c r="T1629">
        <v>0</v>
      </c>
      <c r="U1629">
        <v>0</v>
      </c>
      <c r="V1629">
        <v>1</v>
      </c>
      <c r="W1629" t="s">
        <v>55</v>
      </c>
      <c r="X1629">
        <v>3</v>
      </c>
      <c r="Y1629">
        <v>1</v>
      </c>
      <c r="Z1629">
        <f t="shared" si="150"/>
        <v>11</v>
      </c>
      <c r="AA1629">
        <f t="shared" si="151"/>
        <v>8.1081081081081086E-2</v>
      </c>
      <c r="AB1629">
        <f t="shared" si="152"/>
        <v>57</v>
      </c>
      <c r="AC1629" t="str">
        <f t="shared" si="153"/>
        <v>Medium</v>
      </c>
      <c r="AD1629" t="str">
        <f t="shared" si="154"/>
        <v>Nudge core feature adoption</v>
      </c>
      <c r="AE1629">
        <f t="shared" si="155"/>
        <v>89</v>
      </c>
    </row>
    <row r="1630" spans="1:31" x14ac:dyDescent="0.35">
      <c r="A1630" t="s">
        <v>1688</v>
      </c>
      <c r="B1630" s="4">
        <v>45666</v>
      </c>
      <c r="C1630" s="4">
        <v>46143</v>
      </c>
      <c r="D1630" t="s">
        <v>60</v>
      </c>
      <c r="E1630">
        <v>22</v>
      </c>
      <c r="F1630" t="s">
        <v>77</v>
      </c>
      <c r="G1630" t="s">
        <v>40</v>
      </c>
      <c r="H1630" t="s">
        <v>41</v>
      </c>
      <c r="I1630" t="s">
        <v>36</v>
      </c>
      <c r="J1630">
        <v>15</v>
      </c>
      <c r="K1630" s="5">
        <v>12921.62</v>
      </c>
      <c r="L1630" s="5">
        <v>5113.12</v>
      </c>
      <c r="M1630">
        <v>5</v>
      </c>
      <c r="N1630">
        <v>3</v>
      </c>
      <c r="O1630">
        <v>1</v>
      </c>
      <c r="P1630">
        <v>0</v>
      </c>
      <c r="Q1630">
        <v>6</v>
      </c>
      <c r="R1630">
        <v>1</v>
      </c>
      <c r="S1630">
        <v>0</v>
      </c>
      <c r="T1630">
        <v>0</v>
      </c>
      <c r="U1630">
        <v>1</v>
      </c>
      <c r="V1630">
        <v>1</v>
      </c>
      <c r="W1630" t="s">
        <v>55</v>
      </c>
      <c r="X1630">
        <v>-33</v>
      </c>
      <c r="Y1630">
        <v>0</v>
      </c>
      <c r="Z1630">
        <f t="shared" si="150"/>
        <v>29</v>
      </c>
      <c r="AA1630">
        <f t="shared" si="151"/>
        <v>0.24444444444444444</v>
      </c>
      <c r="AB1630">
        <f t="shared" si="152"/>
        <v>51</v>
      </c>
      <c r="AC1630" t="str">
        <f t="shared" si="153"/>
        <v>Medium</v>
      </c>
      <c r="AD1630" t="str">
        <f t="shared" si="154"/>
        <v>Nudge core feature adoption</v>
      </c>
      <c r="AE1630">
        <f t="shared" si="155"/>
        <v>71</v>
      </c>
    </row>
    <row r="1631" spans="1:31" x14ac:dyDescent="0.35">
      <c r="A1631" t="s">
        <v>1689</v>
      </c>
      <c r="B1631" s="4">
        <v>45819</v>
      </c>
      <c r="C1631" s="4">
        <v>46143</v>
      </c>
      <c r="D1631" t="s">
        <v>60</v>
      </c>
      <c r="E1631">
        <v>66</v>
      </c>
      <c r="F1631" t="s">
        <v>33</v>
      </c>
      <c r="G1631" t="s">
        <v>67</v>
      </c>
      <c r="H1631" t="s">
        <v>58</v>
      </c>
      <c r="I1631" t="s">
        <v>36</v>
      </c>
      <c r="J1631">
        <v>10</v>
      </c>
      <c r="K1631" s="5">
        <v>819.22</v>
      </c>
      <c r="L1631" s="5">
        <v>74.260000000000005</v>
      </c>
      <c r="M1631">
        <v>42</v>
      </c>
      <c r="N1631">
        <v>15</v>
      </c>
      <c r="O1631">
        <v>5</v>
      </c>
      <c r="P1631">
        <v>5</v>
      </c>
      <c r="Q1631">
        <v>20</v>
      </c>
      <c r="R1631">
        <v>1</v>
      </c>
      <c r="S1631">
        <v>1</v>
      </c>
      <c r="T1631">
        <v>0</v>
      </c>
      <c r="U1631">
        <v>1</v>
      </c>
      <c r="V1631">
        <v>0</v>
      </c>
      <c r="W1631" t="s">
        <v>37</v>
      </c>
      <c r="X1631">
        <v>-24</v>
      </c>
      <c r="Y1631">
        <v>0</v>
      </c>
      <c r="Z1631">
        <f t="shared" si="150"/>
        <v>96</v>
      </c>
      <c r="AA1631">
        <f t="shared" si="151"/>
        <v>1.55</v>
      </c>
      <c r="AB1631">
        <f t="shared" si="152"/>
        <v>28</v>
      </c>
      <c r="AC1631" t="str">
        <f t="shared" si="153"/>
        <v>Low</v>
      </c>
      <c r="AD1631" t="str">
        <f t="shared" si="154"/>
        <v>Upsell premium bundle</v>
      </c>
      <c r="AE1631">
        <f t="shared" si="155"/>
        <v>4</v>
      </c>
    </row>
    <row r="1632" spans="1:31" x14ac:dyDescent="0.35">
      <c r="A1632" t="s">
        <v>1690</v>
      </c>
      <c r="B1632" s="4">
        <v>45184</v>
      </c>
      <c r="C1632" s="4">
        <v>46143</v>
      </c>
      <c r="D1632" t="s">
        <v>66</v>
      </c>
      <c r="E1632">
        <v>58</v>
      </c>
      <c r="F1632" t="s">
        <v>57</v>
      </c>
      <c r="G1632" t="s">
        <v>85</v>
      </c>
      <c r="H1632" t="s">
        <v>41</v>
      </c>
      <c r="I1632" t="s">
        <v>36</v>
      </c>
      <c r="J1632">
        <v>31</v>
      </c>
      <c r="K1632" s="5">
        <v>2141.73</v>
      </c>
      <c r="L1632" s="5">
        <v>2392.4299999999998</v>
      </c>
      <c r="M1632">
        <v>3</v>
      </c>
      <c r="N1632">
        <v>2</v>
      </c>
      <c r="O1632">
        <v>0</v>
      </c>
      <c r="P1632">
        <v>0</v>
      </c>
      <c r="Q1632">
        <v>2</v>
      </c>
      <c r="R1632">
        <v>0</v>
      </c>
      <c r="S1632">
        <v>2</v>
      </c>
      <c r="T1632">
        <v>0</v>
      </c>
      <c r="U1632">
        <v>0</v>
      </c>
      <c r="V1632">
        <v>0</v>
      </c>
      <c r="W1632" t="s">
        <v>55</v>
      </c>
      <c r="X1632">
        <v>0</v>
      </c>
      <c r="Y1632">
        <v>1</v>
      </c>
      <c r="Z1632">
        <f t="shared" si="150"/>
        <v>7</v>
      </c>
      <c r="AA1632">
        <f t="shared" si="151"/>
        <v>8.1967213114754092E-2</v>
      </c>
      <c r="AB1632">
        <f t="shared" si="152"/>
        <v>61</v>
      </c>
      <c r="AC1632" t="str">
        <f t="shared" si="153"/>
        <v>Medium</v>
      </c>
      <c r="AD1632" t="str">
        <f t="shared" si="154"/>
        <v>Nudge core feature adoption</v>
      </c>
      <c r="AE1632">
        <f t="shared" si="155"/>
        <v>93</v>
      </c>
    </row>
    <row r="1633" spans="1:31" x14ac:dyDescent="0.35">
      <c r="A1633" t="s">
        <v>1691</v>
      </c>
      <c r="B1633" s="4">
        <v>46041</v>
      </c>
      <c r="C1633" s="4">
        <v>46143</v>
      </c>
      <c r="D1633" t="s">
        <v>66</v>
      </c>
      <c r="E1633">
        <v>51</v>
      </c>
      <c r="F1633" t="s">
        <v>33</v>
      </c>
      <c r="G1633" t="s">
        <v>67</v>
      </c>
      <c r="H1633" t="s">
        <v>35</v>
      </c>
      <c r="I1633" t="s">
        <v>49</v>
      </c>
      <c r="J1633">
        <v>3</v>
      </c>
      <c r="K1633" s="5">
        <v>665.71</v>
      </c>
      <c r="L1633" s="5">
        <v>285.66000000000003</v>
      </c>
      <c r="M1633">
        <v>23</v>
      </c>
      <c r="N1633">
        <v>10</v>
      </c>
      <c r="O1633">
        <v>4</v>
      </c>
      <c r="P1633">
        <v>3</v>
      </c>
      <c r="Q1633">
        <v>12</v>
      </c>
      <c r="R1633">
        <v>0</v>
      </c>
      <c r="S1633">
        <v>1</v>
      </c>
      <c r="T1633">
        <v>1</v>
      </c>
      <c r="U1633">
        <v>0</v>
      </c>
      <c r="V1633">
        <v>0</v>
      </c>
      <c r="W1633" t="s">
        <v>45</v>
      </c>
      <c r="X1633">
        <v>44</v>
      </c>
      <c r="Y1633">
        <v>0</v>
      </c>
      <c r="Z1633">
        <f t="shared" si="150"/>
        <v>52</v>
      </c>
      <c r="AA1633">
        <f t="shared" si="151"/>
        <v>1.0606060606060606</v>
      </c>
      <c r="AB1633">
        <f t="shared" si="152"/>
        <v>29</v>
      </c>
      <c r="AC1633" t="str">
        <f t="shared" si="153"/>
        <v>Low</v>
      </c>
      <c r="AD1633" t="str">
        <f t="shared" si="154"/>
        <v>Upsell premium bundle</v>
      </c>
      <c r="AE1633">
        <f t="shared" si="155"/>
        <v>48</v>
      </c>
    </row>
    <row r="1634" spans="1:31" x14ac:dyDescent="0.35">
      <c r="A1634" t="s">
        <v>1692</v>
      </c>
      <c r="B1634" s="4">
        <v>45084</v>
      </c>
      <c r="C1634" s="4">
        <v>46143</v>
      </c>
      <c r="D1634" t="s">
        <v>60</v>
      </c>
      <c r="E1634">
        <v>28</v>
      </c>
      <c r="F1634" t="s">
        <v>33</v>
      </c>
      <c r="G1634" t="s">
        <v>85</v>
      </c>
      <c r="H1634" t="s">
        <v>41</v>
      </c>
      <c r="I1634" t="s">
        <v>36</v>
      </c>
      <c r="J1634">
        <v>35</v>
      </c>
      <c r="K1634" s="5">
        <v>730.4</v>
      </c>
      <c r="L1634" s="5">
        <v>308.29000000000002</v>
      </c>
      <c r="M1634">
        <v>21</v>
      </c>
      <c r="N1634">
        <v>7</v>
      </c>
      <c r="O1634">
        <v>5</v>
      </c>
      <c r="P1634">
        <v>0</v>
      </c>
      <c r="Q1634">
        <v>21</v>
      </c>
      <c r="R1634">
        <v>2</v>
      </c>
      <c r="S1634">
        <v>1</v>
      </c>
      <c r="T1634">
        <v>1</v>
      </c>
      <c r="U1634">
        <v>0</v>
      </c>
      <c r="V1634">
        <v>0</v>
      </c>
      <c r="W1634" t="s">
        <v>50</v>
      </c>
      <c r="X1634">
        <v>15</v>
      </c>
      <c r="Y1634">
        <v>1</v>
      </c>
      <c r="Z1634">
        <f t="shared" si="150"/>
        <v>53</v>
      </c>
      <c r="AA1634">
        <f t="shared" si="151"/>
        <v>0.64615384615384619</v>
      </c>
      <c r="AB1634">
        <f t="shared" si="152"/>
        <v>34</v>
      </c>
      <c r="AC1634" t="str">
        <f t="shared" si="153"/>
        <v>Low</v>
      </c>
      <c r="AD1634" t="str">
        <f t="shared" si="154"/>
        <v>Upsell premium bundle</v>
      </c>
      <c r="AE1634">
        <f t="shared" si="155"/>
        <v>47</v>
      </c>
    </row>
    <row r="1635" spans="1:31" x14ac:dyDescent="0.35">
      <c r="A1635" t="s">
        <v>1693</v>
      </c>
      <c r="B1635" s="4">
        <v>46046</v>
      </c>
      <c r="C1635" s="4">
        <v>46143</v>
      </c>
      <c r="D1635" t="s">
        <v>66</v>
      </c>
      <c r="E1635">
        <v>25</v>
      </c>
      <c r="F1635" t="s">
        <v>57</v>
      </c>
      <c r="G1635" t="s">
        <v>40</v>
      </c>
      <c r="H1635" t="s">
        <v>41</v>
      </c>
      <c r="I1635" t="s">
        <v>36</v>
      </c>
      <c r="J1635">
        <v>3</v>
      </c>
      <c r="K1635" s="5">
        <v>1359.98</v>
      </c>
      <c r="L1635" s="5">
        <v>356.26</v>
      </c>
      <c r="M1635">
        <v>6</v>
      </c>
      <c r="N1635">
        <v>2</v>
      </c>
      <c r="O1635">
        <v>1</v>
      </c>
      <c r="P1635">
        <v>1</v>
      </c>
      <c r="Q1635">
        <v>15</v>
      </c>
      <c r="R1635">
        <v>1</v>
      </c>
      <c r="S1635">
        <v>3</v>
      </c>
      <c r="T1635">
        <v>0</v>
      </c>
      <c r="U1635">
        <v>0</v>
      </c>
      <c r="V1635">
        <v>0</v>
      </c>
      <c r="W1635" t="s">
        <v>52</v>
      </c>
      <c r="X1635">
        <v>22</v>
      </c>
      <c r="Y1635">
        <v>1</v>
      </c>
      <c r="Z1635">
        <f t="shared" si="150"/>
        <v>24</v>
      </c>
      <c r="AA1635">
        <f t="shared" si="151"/>
        <v>0.63636363636363635</v>
      </c>
      <c r="AB1635">
        <f t="shared" si="152"/>
        <v>60</v>
      </c>
      <c r="AC1635" t="str">
        <f t="shared" si="153"/>
        <v>Medium</v>
      </c>
      <c r="AD1635" t="str">
        <f t="shared" si="154"/>
        <v>Nudge core feature adoption</v>
      </c>
      <c r="AE1635">
        <f t="shared" si="155"/>
        <v>76</v>
      </c>
    </row>
    <row r="1636" spans="1:31" x14ac:dyDescent="0.35">
      <c r="A1636" t="s">
        <v>1694</v>
      </c>
      <c r="B1636" s="4">
        <v>45366</v>
      </c>
      <c r="C1636" s="4">
        <v>46143</v>
      </c>
      <c r="D1636" t="s">
        <v>32</v>
      </c>
      <c r="E1636">
        <v>67</v>
      </c>
      <c r="F1636" t="s">
        <v>57</v>
      </c>
      <c r="G1636" t="s">
        <v>40</v>
      </c>
      <c r="H1636" t="s">
        <v>58</v>
      </c>
      <c r="I1636" t="s">
        <v>36</v>
      </c>
      <c r="J1636">
        <v>25</v>
      </c>
      <c r="K1636" s="5">
        <v>1134.98</v>
      </c>
      <c r="L1636" s="5">
        <v>0</v>
      </c>
      <c r="M1636">
        <v>45</v>
      </c>
      <c r="N1636">
        <v>16</v>
      </c>
      <c r="O1636">
        <v>10</v>
      </c>
      <c r="P1636">
        <v>3</v>
      </c>
      <c r="Q1636">
        <v>38</v>
      </c>
      <c r="R1636">
        <v>0</v>
      </c>
      <c r="S1636">
        <v>0</v>
      </c>
      <c r="T1636">
        <v>1</v>
      </c>
      <c r="U1636">
        <v>0</v>
      </c>
      <c r="V1636">
        <v>0</v>
      </c>
      <c r="W1636" t="s">
        <v>37</v>
      </c>
      <c r="X1636">
        <v>63</v>
      </c>
      <c r="Y1636">
        <v>0</v>
      </c>
      <c r="Z1636">
        <f t="shared" si="150"/>
        <v>100</v>
      </c>
      <c r="AA1636">
        <f t="shared" si="151"/>
        <v>1.509090909090909</v>
      </c>
      <c r="AB1636">
        <f t="shared" si="152"/>
        <v>0</v>
      </c>
      <c r="AC1636" t="str">
        <f t="shared" si="153"/>
        <v>Low</v>
      </c>
      <c r="AD1636" t="str">
        <f t="shared" si="154"/>
        <v>Upsell premium bundle</v>
      </c>
      <c r="AE1636">
        <f t="shared" si="155"/>
        <v>0</v>
      </c>
    </row>
    <row r="1637" spans="1:31" x14ac:dyDescent="0.35">
      <c r="A1637" t="s">
        <v>1695</v>
      </c>
      <c r="B1637" s="4">
        <v>45723</v>
      </c>
      <c r="C1637" s="4">
        <v>46143</v>
      </c>
      <c r="D1637" t="s">
        <v>60</v>
      </c>
      <c r="E1637">
        <v>38</v>
      </c>
      <c r="F1637" t="s">
        <v>57</v>
      </c>
      <c r="G1637" t="s">
        <v>85</v>
      </c>
      <c r="H1637" t="s">
        <v>41</v>
      </c>
      <c r="I1637" t="s">
        <v>36</v>
      </c>
      <c r="J1637">
        <v>14</v>
      </c>
      <c r="K1637" s="5">
        <v>1751.32</v>
      </c>
      <c r="L1637" s="5">
        <v>580.16</v>
      </c>
      <c r="M1637">
        <v>21</v>
      </c>
      <c r="N1637">
        <v>5</v>
      </c>
      <c r="O1637">
        <v>6</v>
      </c>
      <c r="P1637">
        <v>2</v>
      </c>
      <c r="Q1637">
        <v>21</v>
      </c>
      <c r="R1637">
        <v>1</v>
      </c>
      <c r="S1637">
        <v>2</v>
      </c>
      <c r="T1637">
        <v>1</v>
      </c>
      <c r="U1637">
        <v>0</v>
      </c>
      <c r="V1637">
        <v>1</v>
      </c>
      <c r="W1637" t="s">
        <v>50</v>
      </c>
      <c r="X1637">
        <v>-18</v>
      </c>
      <c r="Y1637">
        <v>1</v>
      </c>
      <c r="Z1637">
        <f t="shared" si="150"/>
        <v>63</v>
      </c>
      <c r="AA1637">
        <f t="shared" si="151"/>
        <v>0.95454545454545459</v>
      </c>
      <c r="AB1637">
        <f t="shared" si="152"/>
        <v>56</v>
      </c>
      <c r="AC1637" t="str">
        <f t="shared" si="153"/>
        <v>Medium</v>
      </c>
      <c r="AD1637" t="str">
        <f t="shared" si="154"/>
        <v>Nudge core feature adoption</v>
      </c>
      <c r="AE1637">
        <f t="shared" si="155"/>
        <v>37</v>
      </c>
    </row>
    <row r="1638" spans="1:31" x14ac:dyDescent="0.35">
      <c r="A1638" t="s">
        <v>1696</v>
      </c>
      <c r="B1638" s="4">
        <v>45890</v>
      </c>
      <c r="C1638" s="4">
        <v>46143</v>
      </c>
      <c r="D1638" t="s">
        <v>32</v>
      </c>
      <c r="E1638">
        <v>28</v>
      </c>
      <c r="F1638" t="s">
        <v>77</v>
      </c>
      <c r="G1638" t="s">
        <v>67</v>
      </c>
      <c r="H1638" t="s">
        <v>41</v>
      </c>
      <c r="I1638" t="s">
        <v>36</v>
      </c>
      <c r="J1638">
        <v>8</v>
      </c>
      <c r="K1638" s="5">
        <v>16307.07</v>
      </c>
      <c r="L1638" s="5">
        <v>0</v>
      </c>
      <c r="M1638">
        <v>43</v>
      </c>
      <c r="N1638">
        <v>18</v>
      </c>
      <c r="O1638">
        <v>2</v>
      </c>
      <c r="P1638">
        <v>2</v>
      </c>
      <c r="Q1638">
        <v>32</v>
      </c>
      <c r="R1638">
        <v>0</v>
      </c>
      <c r="S1638">
        <v>0</v>
      </c>
      <c r="T1638">
        <v>1</v>
      </c>
      <c r="U1638">
        <v>0</v>
      </c>
      <c r="V1638">
        <v>0</v>
      </c>
      <c r="W1638" t="s">
        <v>55</v>
      </c>
      <c r="X1638">
        <v>38</v>
      </c>
      <c r="Y1638">
        <v>0</v>
      </c>
      <c r="Z1638">
        <f t="shared" si="150"/>
        <v>94</v>
      </c>
      <c r="AA1638">
        <f t="shared" si="151"/>
        <v>1.9736842105263157</v>
      </c>
      <c r="AB1638">
        <f t="shared" si="152"/>
        <v>1</v>
      </c>
      <c r="AC1638" t="str">
        <f t="shared" si="153"/>
        <v>Low</v>
      </c>
      <c r="AD1638" t="str">
        <f t="shared" si="154"/>
        <v>Upsell premium bundle</v>
      </c>
      <c r="AE1638">
        <f t="shared" si="155"/>
        <v>6</v>
      </c>
    </row>
    <row r="1639" spans="1:31" x14ac:dyDescent="0.35">
      <c r="A1639" t="s">
        <v>1697</v>
      </c>
      <c r="B1639" s="4">
        <v>45738</v>
      </c>
      <c r="C1639" s="4">
        <v>46143</v>
      </c>
      <c r="D1639" t="s">
        <v>32</v>
      </c>
      <c r="E1639">
        <v>49</v>
      </c>
      <c r="F1639" t="s">
        <v>57</v>
      </c>
      <c r="G1639" t="s">
        <v>34</v>
      </c>
      <c r="H1639" t="s">
        <v>58</v>
      </c>
      <c r="I1639" t="s">
        <v>49</v>
      </c>
      <c r="J1639">
        <v>13</v>
      </c>
      <c r="K1639" s="5">
        <v>1124.46</v>
      </c>
      <c r="L1639" s="5">
        <v>0</v>
      </c>
      <c r="M1639">
        <v>8</v>
      </c>
      <c r="N1639">
        <v>4</v>
      </c>
      <c r="O1639">
        <v>2</v>
      </c>
      <c r="P1639">
        <v>1</v>
      </c>
      <c r="Q1639">
        <v>9</v>
      </c>
      <c r="R1639">
        <v>1</v>
      </c>
      <c r="S1639">
        <v>0</v>
      </c>
      <c r="T1639">
        <v>1</v>
      </c>
      <c r="U1639">
        <v>0</v>
      </c>
      <c r="V1639">
        <v>0</v>
      </c>
      <c r="W1639" t="s">
        <v>52</v>
      </c>
      <c r="X1639">
        <v>19</v>
      </c>
      <c r="Y1639">
        <v>1</v>
      </c>
      <c r="Z1639">
        <f t="shared" si="150"/>
        <v>24</v>
      </c>
      <c r="AA1639">
        <f t="shared" si="151"/>
        <v>0.39534883720930231</v>
      </c>
      <c r="AB1639">
        <f t="shared" si="152"/>
        <v>43</v>
      </c>
      <c r="AC1639" t="str">
        <f t="shared" si="153"/>
        <v>Medium</v>
      </c>
      <c r="AD1639" t="str">
        <f t="shared" si="154"/>
        <v>Nudge core feature adoption</v>
      </c>
      <c r="AE1639">
        <f t="shared" si="155"/>
        <v>76</v>
      </c>
    </row>
    <row r="1640" spans="1:31" x14ac:dyDescent="0.35">
      <c r="A1640" t="s">
        <v>1698</v>
      </c>
      <c r="B1640" s="4">
        <v>44829</v>
      </c>
      <c r="C1640" s="4">
        <v>46143</v>
      </c>
      <c r="D1640" t="s">
        <v>39</v>
      </c>
      <c r="E1640">
        <v>32</v>
      </c>
      <c r="F1640" t="s">
        <v>61</v>
      </c>
      <c r="G1640" t="s">
        <v>34</v>
      </c>
      <c r="H1640" t="s">
        <v>41</v>
      </c>
      <c r="I1640" t="s">
        <v>36</v>
      </c>
      <c r="J1640">
        <v>43</v>
      </c>
      <c r="K1640" s="5">
        <v>0</v>
      </c>
      <c r="L1640" s="5">
        <v>0</v>
      </c>
      <c r="M1640">
        <v>21</v>
      </c>
      <c r="N1640">
        <v>12</v>
      </c>
      <c r="O1640">
        <v>1</v>
      </c>
      <c r="P1640">
        <v>1</v>
      </c>
      <c r="Q1640">
        <v>17</v>
      </c>
      <c r="R1640">
        <v>0</v>
      </c>
      <c r="S1640">
        <v>0</v>
      </c>
      <c r="T1640">
        <v>0</v>
      </c>
      <c r="U1640">
        <v>0</v>
      </c>
      <c r="V1640">
        <v>1</v>
      </c>
      <c r="W1640" t="s">
        <v>50</v>
      </c>
      <c r="X1640">
        <v>14</v>
      </c>
      <c r="Y1640">
        <v>1</v>
      </c>
      <c r="Z1640">
        <f t="shared" si="150"/>
        <v>56</v>
      </c>
      <c r="AA1640">
        <f t="shared" si="151"/>
        <v>0.52054794520547942</v>
      </c>
      <c r="AB1640">
        <f t="shared" si="152"/>
        <v>29</v>
      </c>
      <c r="AC1640" t="str">
        <f t="shared" si="153"/>
        <v>Low</v>
      </c>
      <c r="AD1640" t="str">
        <f t="shared" si="154"/>
        <v>Upsell premium bundle</v>
      </c>
      <c r="AE1640">
        <f t="shared" si="155"/>
        <v>44</v>
      </c>
    </row>
    <row r="1641" spans="1:31" x14ac:dyDescent="0.35">
      <c r="A1641" t="s">
        <v>1699</v>
      </c>
      <c r="B1641" s="4">
        <v>45958</v>
      </c>
      <c r="C1641" s="4">
        <v>46143</v>
      </c>
      <c r="D1641" t="s">
        <v>72</v>
      </c>
      <c r="E1641">
        <v>70</v>
      </c>
      <c r="F1641" t="s">
        <v>33</v>
      </c>
      <c r="G1641" t="s">
        <v>67</v>
      </c>
      <c r="H1641" t="s">
        <v>41</v>
      </c>
      <c r="I1641" t="s">
        <v>36</v>
      </c>
      <c r="J1641">
        <v>6</v>
      </c>
      <c r="K1641" s="5">
        <v>560.1</v>
      </c>
      <c r="L1641" s="5">
        <v>0</v>
      </c>
      <c r="M1641">
        <v>14</v>
      </c>
      <c r="N1641">
        <v>7</v>
      </c>
      <c r="O1641">
        <v>4</v>
      </c>
      <c r="P1641">
        <v>2</v>
      </c>
      <c r="Q1641">
        <v>7</v>
      </c>
      <c r="R1641">
        <v>1</v>
      </c>
      <c r="S1641">
        <v>0</v>
      </c>
      <c r="T1641">
        <v>1</v>
      </c>
      <c r="U1641">
        <v>0</v>
      </c>
      <c r="V1641">
        <v>0</v>
      </c>
      <c r="W1641" t="s">
        <v>50</v>
      </c>
      <c r="X1641">
        <v>18</v>
      </c>
      <c r="Y1641">
        <v>1</v>
      </c>
      <c r="Z1641">
        <f t="shared" si="150"/>
        <v>34</v>
      </c>
      <c r="AA1641">
        <f t="shared" si="151"/>
        <v>0.58333333333333337</v>
      </c>
      <c r="AB1641">
        <f t="shared" si="152"/>
        <v>34</v>
      </c>
      <c r="AC1641" t="str">
        <f t="shared" si="153"/>
        <v>Low</v>
      </c>
      <c r="AD1641" t="str">
        <f t="shared" si="154"/>
        <v>Upsell premium bundle</v>
      </c>
      <c r="AE1641">
        <f t="shared" si="155"/>
        <v>66</v>
      </c>
    </row>
    <row r="1642" spans="1:31" x14ac:dyDescent="0.35">
      <c r="A1642" t="s">
        <v>1700</v>
      </c>
      <c r="B1642" s="4">
        <v>45985</v>
      </c>
      <c r="C1642" s="4">
        <v>46143</v>
      </c>
      <c r="D1642" t="s">
        <v>47</v>
      </c>
      <c r="E1642">
        <v>57</v>
      </c>
      <c r="F1642" t="s">
        <v>33</v>
      </c>
      <c r="G1642" t="s">
        <v>40</v>
      </c>
      <c r="H1642" t="s">
        <v>58</v>
      </c>
      <c r="I1642" t="s">
        <v>36</v>
      </c>
      <c r="J1642">
        <v>5</v>
      </c>
      <c r="K1642" s="5">
        <v>613.73</v>
      </c>
      <c r="L1642" s="5">
        <v>224.75</v>
      </c>
      <c r="M1642">
        <v>28</v>
      </c>
      <c r="N1642">
        <v>19</v>
      </c>
      <c r="O1642">
        <v>5</v>
      </c>
      <c r="P1642">
        <v>0</v>
      </c>
      <c r="Q1642">
        <v>14</v>
      </c>
      <c r="R1642">
        <v>0</v>
      </c>
      <c r="S1642">
        <v>0</v>
      </c>
      <c r="T1642">
        <v>1</v>
      </c>
      <c r="U1642">
        <v>0</v>
      </c>
      <c r="V1642">
        <v>0</v>
      </c>
      <c r="W1642" t="s">
        <v>55</v>
      </c>
      <c r="X1642">
        <v>61</v>
      </c>
      <c r="Y1642">
        <v>0</v>
      </c>
      <c r="Z1642">
        <f t="shared" si="150"/>
        <v>63</v>
      </c>
      <c r="AA1642">
        <f t="shared" si="151"/>
        <v>1.2</v>
      </c>
      <c r="AB1642">
        <f t="shared" si="152"/>
        <v>0</v>
      </c>
      <c r="AC1642" t="str">
        <f t="shared" si="153"/>
        <v>Low</v>
      </c>
      <c r="AD1642" t="str">
        <f t="shared" si="154"/>
        <v>Upsell premium bundle</v>
      </c>
      <c r="AE1642">
        <f t="shared" si="155"/>
        <v>37</v>
      </c>
    </row>
    <row r="1643" spans="1:31" x14ac:dyDescent="0.35">
      <c r="A1643" t="s">
        <v>1701</v>
      </c>
      <c r="B1643" s="4">
        <v>45350</v>
      </c>
      <c r="C1643" s="4">
        <v>46143</v>
      </c>
      <c r="D1643" t="s">
        <v>72</v>
      </c>
      <c r="E1643">
        <v>57</v>
      </c>
      <c r="F1643" t="s">
        <v>57</v>
      </c>
      <c r="G1643" t="s">
        <v>40</v>
      </c>
      <c r="H1643" t="s">
        <v>41</v>
      </c>
      <c r="I1643" t="s">
        <v>36</v>
      </c>
      <c r="J1643">
        <v>26</v>
      </c>
      <c r="K1643" s="5">
        <v>584.65</v>
      </c>
      <c r="L1643" s="5">
        <v>1261.9100000000001</v>
      </c>
      <c r="M1643">
        <v>10</v>
      </c>
      <c r="N1643">
        <v>5</v>
      </c>
      <c r="O1643">
        <v>1</v>
      </c>
      <c r="P1643">
        <v>0</v>
      </c>
      <c r="Q1643">
        <v>2</v>
      </c>
      <c r="R1643">
        <v>0</v>
      </c>
      <c r="S1643">
        <v>0</v>
      </c>
      <c r="T1643">
        <v>0</v>
      </c>
      <c r="U1643">
        <v>1</v>
      </c>
      <c r="V1643">
        <v>0</v>
      </c>
      <c r="W1643" t="s">
        <v>55</v>
      </c>
      <c r="X1643">
        <v>38</v>
      </c>
      <c r="Y1643">
        <v>1</v>
      </c>
      <c r="Z1643">
        <f t="shared" si="150"/>
        <v>26</v>
      </c>
      <c r="AA1643">
        <f t="shared" si="151"/>
        <v>0.21428571428571427</v>
      </c>
      <c r="AB1643">
        <f t="shared" si="152"/>
        <v>29</v>
      </c>
      <c r="AC1643" t="str">
        <f t="shared" si="153"/>
        <v>Low</v>
      </c>
      <c r="AD1643" t="str">
        <f t="shared" si="154"/>
        <v>Upsell premium bundle</v>
      </c>
      <c r="AE1643">
        <f t="shared" si="155"/>
        <v>74</v>
      </c>
    </row>
    <row r="1644" spans="1:31" x14ac:dyDescent="0.35">
      <c r="A1644" t="s">
        <v>1702</v>
      </c>
      <c r="B1644" s="4">
        <v>45688</v>
      </c>
      <c r="C1644" s="4">
        <v>46143</v>
      </c>
      <c r="D1644" t="s">
        <v>32</v>
      </c>
      <c r="E1644">
        <v>24</v>
      </c>
      <c r="F1644" t="s">
        <v>33</v>
      </c>
      <c r="G1644" t="s">
        <v>34</v>
      </c>
      <c r="H1644" t="s">
        <v>41</v>
      </c>
      <c r="I1644" t="s">
        <v>36</v>
      </c>
      <c r="J1644">
        <v>15</v>
      </c>
      <c r="K1644" s="5">
        <v>384.43</v>
      </c>
      <c r="L1644" s="5">
        <v>149.76</v>
      </c>
      <c r="M1644">
        <v>26</v>
      </c>
      <c r="N1644">
        <v>7</v>
      </c>
      <c r="O1644">
        <v>4</v>
      </c>
      <c r="P1644">
        <v>2</v>
      </c>
      <c r="Q1644">
        <v>21</v>
      </c>
      <c r="R1644">
        <v>3</v>
      </c>
      <c r="S1644">
        <v>0</v>
      </c>
      <c r="T1644">
        <v>0</v>
      </c>
      <c r="U1644">
        <v>1</v>
      </c>
      <c r="V1644">
        <v>0</v>
      </c>
      <c r="W1644" t="s">
        <v>37</v>
      </c>
      <c r="X1644">
        <v>32</v>
      </c>
      <c r="Y1644">
        <v>0</v>
      </c>
      <c r="Z1644">
        <f t="shared" si="150"/>
        <v>68</v>
      </c>
      <c r="AA1644">
        <f t="shared" si="151"/>
        <v>1.0444444444444445</v>
      </c>
      <c r="AB1644">
        <f t="shared" si="152"/>
        <v>10</v>
      </c>
      <c r="AC1644" t="str">
        <f t="shared" si="153"/>
        <v>Low</v>
      </c>
      <c r="AD1644" t="str">
        <f t="shared" si="154"/>
        <v>Upsell premium bundle</v>
      </c>
      <c r="AE1644">
        <f t="shared" si="155"/>
        <v>32</v>
      </c>
    </row>
    <row r="1645" spans="1:31" x14ac:dyDescent="0.35">
      <c r="A1645" t="s">
        <v>1703</v>
      </c>
      <c r="B1645" s="4">
        <v>46118</v>
      </c>
      <c r="C1645" s="4">
        <v>46143</v>
      </c>
      <c r="D1645" t="s">
        <v>66</v>
      </c>
      <c r="E1645">
        <v>65</v>
      </c>
      <c r="F1645" t="s">
        <v>77</v>
      </c>
      <c r="G1645" t="s">
        <v>63</v>
      </c>
      <c r="H1645" t="s">
        <v>44</v>
      </c>
      <c r="I1645" t="s">
        <v>36</v>
      </c>
      <c r="J1645">
        <v>1</v>
      </c>
      <c r="K1645" s="5">
        <v>11965.67</v>
      </c>
      <c r="L1645" s="5">
        <v>2625.14</v>
      </c>
      <c r="M1645">
        <v>41</v>
      </c>
      <c r="N1645">
        <v>21</v>
      </c>
      <c r="O1645">
        <v>9</v>
      </c>
      <c r="P1645">
        <v>1</v>
      </c>
      <c r="Q1645">
        <v>33</v>
      </c>
      <c r="R1645">
        <v>1</v>
      </c>
      <c r="S1645">
        <v>1</v>
      </c>
      <c r="T1645">
        <v>0</v>
      </c>
      <c r="U1645">
        <v>0</v>
      </c>
      <c r="V1645">
        <v>1</v>
      </c>
      <c r="W1645" t="s">
        <v>52</v>
      </c>
      <c r="X1645">
        <v>36</v>
      </c>
      <c r="Y1645">
        <v>0</v>
      </c>
      <c r="Z1645">
        <f t="shared" si="150"/>
        <v>100</v>
      </c>
      <c r="AA1645">
        <f t="shared" si="151"/>
        <v>2.3870967741935485</v>
      </c>
      <c r="AB1645">
        <f t="shared" si="152"/>
        <v>0</v>
      </c>
      <c r="AC1645" t="str">
        <f t="shared" si="153"/>
        <v>Low</v>
      </c>
      <c r="AD1645" t="str">
        <f t="shared" si="154"/>
        <v>Upsell premium bundle</v>
      </c>
      <c r="AE1645">
        <f t="shared" si="155"/>
        <v>0</v>
      </c>
    </row>
    <row r="1646" spans="1:31" x14ac:dyDescent="0.35">
      <c r="A1646" t="s">
        <v>1704</v>
      </c>
      <c r="B1646" s="4">
        <v>45697</v>
      </c>
      <c r="C1646" s="4">
        <v>46143</v>
      </c>
      <c r="D1646" t="s">
        <v>47</v>
      </c>
      <c r="E1646">
        <v>53</v>
      </c>
      <c r="F1646" t="s">
        <v>57</v>
      </c>
      <c r="G1646" t="s">
        <v>85</v>
      </c>
      <c r="H1646" t="s">
        <v>41</v>
      </c>
      <c r="I1646" t="s">
        <v>36</v>
      </c>
      <c r="J1646">
        <v>14</v>
      </c>
      <c r="K1646" s="5">
        <v>1038.94</v>
      </c>
      <c r="L1646" s="5">
        <v>0</v>
      </c>
      <c r="M1646">
        <v>21</v>
      </c>
      <c r="N1646">
        <v>12</v>
      </c>
      <c r="O1646">
        <v>6</v>
      </c>
      <c r="P1646">
        <v>3</v>
      </c>
      <c r="Q1646">
        <v>11</v>
      </c>
      <c r="R1646">
        <v>0</v>
      </c>
      <c r="S1646">
        <v>1</v>
      </c>
      <c r="T1646">
        <v>0</v>
      </c>
      <c r="U1646">
        <v>1</v>
      </c>
      <c r="V1646">
        <v>1</v>
      </c>
      <c r="W1646" t="s">
        <v>37</v>
      </c>
      <c r="X1646">
        <v>-2</v>
      </c>
      <c r="Y1646">
        <v>0</v>
      </c>
      <c r="Z1646">
        <f t="shared" si="150"/>
        <v>68</v>
      </c>
      <c r="AA1646">
        <f t="shared" si="151"/>
        <v>0.72727272727272729</v>
      </c>
      <c r="AB1646">
        <f t="shared" si="152"/>
        <v>40</v>
      </c>
      <c r="AC1646" t="str">
        <f t="shared" si="153"/>
        <v>Medium</v>
      </c>
      <c r="AD1646" t="str">
        <f t="shared" si="154"/>
        <v>Nudge core feature adoption</v>
      </c>
      <c r="AE1646">
        <f t="shared" si="155"/>
        <v>32</v>
      </c>
    </row>
    <row r="1647" spans="1:31" x14ac:dyDescent="0.35">
      <c r="A1647" t="s">
        <v>1705</v>
      </c>
      <c r="B1647" s="4">
        <v>45048</v>
      </c>
      <c r="C1647" s="4">
        <v>46143</v>
      </c>
      <c r="D1647" t="s">
        <v>32</v>
      </c>
      <c r="E1647">
        <v>35</v>
      </c>
      <c r="F1647" t="s">
        <v>33</v>
      </c>
      <c r="G1647" t="s">
        <v>48</v>
      </c>
      <c r="H1647" t="s">
        <v>41</v>
      </c>
      <c r="I1647" t="s">
        <v>36</v>
      </c>
      <c r="J1647">
        <v>36</v>
      </c>
      <c r="K1647" s="5">
        <v>520.12</v>
      </c>
      <c r="L1647" s="5">
        <v>0</v>
      </c>
      <c r="M1647">
        <v>10</v>
      </c>
      <c r="N1647">
        <v>7</v>
      </c>
      <c r="O1647">
        <v>1</v>
      </c>
      <c r="P1647">
        <v>1</v>
      </c>
      <c r="Q1647">
        <v>6</v>
      </c>
      <c r="R1647">
        <v>0</v>
      </c>
      <c r="S1647">
        <v>1</v>
      </c>
      <c r="T1647">
        <v>1</v>
      </c>
      <c r="U1647">
        <v>1</v>
      </c>
      <c r="V1647">
        <v>0</v>
      </c>
      <c r="W1647" t="s">
        <v>37</v>
      </c>
      <c r="X1647">
        <v>6</v>
      </c>
      <c r="Y1647">
        <v>1</v>
      </c>
      <c r="Z1647">
        <f t="shared" si="150"/>
        <v>32</v>
      </c>
      <c r="AA1647">
        <f t="shared" si="151"/>
        <v>0.24242424242424243</v>
      </c>
      <c r="AB1647">
        <f t="shared" si="152"/>
        <v>50</v>
      </c>
      <c r="AC1647" t="str">
        <f t="shared" si="153"/>
        <v>Medium</v>
      </c>
      <c r="AD1647" t="str">
        <f t="shared" si="154"/>
        <v>Nudge core feature adoption</v>
      </c>
      <c r="AE1647">
        <f t="shared" si="155"/>
        <v>68</v>
      </c>
    </row>
    <row r="1648" spans="1:31" x14ac:dyDescent="0.35">
      <c r="A1648" t="s">
        <v>1706</v>
      </c>
      <c r="B1648" s="4">
        <v>46033</v>
      </c>
      <c r="C1648" s="4">
        <v>46143</v>
      </c>
      <c r="D1648" t="s">
        <v>39</v>
      </c>
      <c r="E1648">
        <v>65</v>
      </c>
      <c r="F1648" t="s">
        <v>57</v>
      </c>
      <c r="G1648" t="s">
        <v>85</v>
      </c>
      <c r="H1648" t="s">
        <v>58</v>
      </c>
      <c r="I1648" t="s">
        <v>36</v>
      </c>
      <c r="J1648">
        <v>3</v>
      </c>
      <c r="K1648" s="5">
        <v>1370.38</v>
      </c>
      <c r="L1648" s="5">
        <v>0</v>
      </c>
      <c r="M1648">
        <v>10</v>
      </c>
      <c r="N1648">
        <v>5</v>
      </c>
      <c r="O1648">
        <v>2</v>
      </c>
      <c r="P1648">
        <v>1</v>
      </c>
      <c r="Q1648">
        <v>7</v>
      </c>
      <c r="R1648">
        <v>2</v>
      </c>
      <c r="S1648">
        <v>0</v>
      </c>
      <c r="T1648">
        <v>0</v>
      </c>
      <c r="U1648">
        <v>0</v>
      </c>
      <c r="V1648">
        <v>0</v>
      </c>
      <c r="W1648" t="s">
        <v>52</v>
      </c>
      <c r="X1648">
        <v>0</v>
      </c>
      <c r="Y1648">
        <v>1</v>
      </c>
      <c r="Z1648">
        <f t="shared" si="150"/>
        <v>25</v>
      </c>
      <c r="AA1648">
        <f t="shared" si="151"/>
        <v>0.51515151515151514</v>
      </c>
      <c r="AB1648">
        <f t="shared" si="152"/>
        <v>35</v>
      </c>
      <c r="AC1648" t="str">
        <f t="shared" si="153"/>
        <v>Low</v>
      </c>
      <c r="AD1648" t="str">
        <f t="shared" si="154"/>
        <v>Upsell premium bundle</v>
      </c>
      <c r="AE1648">
        <f t="shared" si="155"/>
        <v>75</v>
      </c>
    </row>
    <row r="1649" spans="1:31" x14ac:dyDescent="0.35">
      <c r="A1649" t="s">
        <v>1707</v>
      </c>
      <c r="B1649" s="4">
        <v>44808</v>
      </c>
      <c r="C1649" s="4">
        <v>46143</v>
      </c>
      <c r="D1649" t="s">
        <v>66</v>
      </c>
      <c r="E1649">
        <v>30</v>
      </c>
      <c r="F1649" t="s">
        <v>33</v>
      </c>
      <c r="G1649" t="s">
        <v>34</v>
      </c>
      <c r="H1649" t="s">
        <v>44</v>
      </c>
      <c r="I1649" t="s">
        <v>36</v>
      </c>
      <c r="J1649">
        <v>44</v>
      </c>
      <c r="K1649" s="5">
        <v>356.44</v>
      </c>
      <c r="L1649" s="5">
        <v>393.96</v>
      </c>
      <c r="M1649">
        <v>57</v>
      </c>
      <c r="N1649">
        <v>19</v>
      </c>
      <c r="O1649">
        <v>3</v>
      </c>
      <c r="P1649">
        <v>1</v>
      </c>
      <c r="Q1649">
        <v>40</v>
      </c>
      <c r="R1649">
        <v>2</v>
      </c>
      <c r="S1649">
        <v>1</v>
      </c>
      <c r="T1649">
        <v>1</v>
      </c>
      <c r="U1649">
        <v>1</v>
      </c>
      <c r="V1649">
        <v>1</v>
      </c>
      <c r="W1649" t="s">
        <v>37</v>
      </c>
      <c r="X1649">
        <v>28</v>
      </c>
      <c r="Y1649">
        <v>0</v>
      </c>
      <c r="Z1649">
        <f t="shared" si="150"/>
        <v>100</v>
      </c>
      <c r="AA1649">
        <f t="shared" si="151"/>
        <v>1.3108108108108107</v>
      </c>
      <c r="AB1649">
        <f t="shared" si="152"/>
        <v>0</v>
      </c>
      <c r="AC1649" t="str">
        <f t="shared" si="153"/>
        <v>Low</v>
      </c>
      <c r="AD1649" t="str">
        <f t="shared" si="154"/>
        <v>Upsell premium bundle</v>
      </c>
      <c r="AE1649">
        <f t="shared" si="155"/>
        <v>0</v>
      </c>
    </row>
    <row r="1650" spans="1:31" x14ac:dyDescent="0.35">
      <c r="A1650" t="s">
        <v>1708</v>
      </c>
      <c r="B1650" s="4">
        <v>45296</v>
      </c>
      <c r="C1650" s="4">
        <v>46143</v>
      </c>
      <c r="D1650" t="s">
        <v>66</v>
      </c>
      <c r="E1650">
        <v>45</v>
      </c>
      <c r="F1650" t="s">
        <v>57</v>
      </c>
      <c r="G1650" t="s">
        <v>40</v>
      </c>
      <c r="H1650" t="s">
        <v>58</v>
      </c>
      <c r="I1650" t="s">
        <v>36</v>
      </c>
      <c r="J1650">
        <v>28</v>
      </c>
      <c r="K1650" s="5">
        <v>790.63</v>
      </c>
      <c r="L1650" s="5">
        <v>1547.32</v>
      </c>
      <c r="M1650">
        <v>42</v>
      </c>
      <c r="N1650">
        <v>24</v>
      </c>
      <c r="O1650">
        <v>11</v>
      </c>
      <c r="P1650">
        <v>3</v>
      </c>
      <c r="Q1650">
        <v>36</v>
      </c>
      <c r="R1650">
        <v>3</v>
      </c>
      <c r="S1650">
        <v>2</v>
      </c>
      <c r="T1650">
        <v>1</v>
      </c>
      <c r="U1650">
        <v>0</v>
      </c>
      <c r="V1650">
        <v>0</v>
      </c>
      <c r="W1650" t="s">
        <v>37</v>
      </c>
      <c r="X1650">
        <v>12</v>
      </c>
      <c r="Y1650">
        <v>0</v>
      </c>
      <c r="Z1650">
        <f t="shared" si="150"/>
        <v>100</v>
      </c>
      <c r="AA1650">
        <f t="shared" si="151"/>
        <v>1.3448275862068966</v>
      </c>
      <c r="AB1650">
        <f t="shared" si="152"/>
        <v>4</v>
      </c>
      <c r="AC1650" t="str">
        <f t="shared" si="153"/>
        <v>Low</v>
      </c>
      <c r="AD1650" t="str">
        <f t="shared" si="154"/>
        <v>Upsell premium bundle</v>
      </c>
      <c r="AE1650">
        <f t="shared" si="155"/>
        <v>0</v>
      </c>
    </row>
    <row r="1651" spans="1:31" x14ac:dyDescent="0.35">
      <c r="A1651" t="s">
        <v>1709</v>
      </c>
      <c r="B1651" s="4">
        <v>44779</v>
      </c>
      <c r="C1651" s="4">
        <v>46143</v>
      </c>
      <c r="D1651" t="s">
        <v>32</v>
      </c>
      <c r="E1651">
        <v>32</v>
      </c>
      <c r="F1651" t="s">
        <v>61</v>
      </c>
      <c r="G1651" t="s">
        <v>40</v>
      </c>
      <c r="H1651" t="s">
        <v>44</v>
      </c>
      <c r="I1651" t="s">
        <v>36</v>
      </c>
      <c r="J1651">
        <v>45</v>
      </c>
      <c r="K1651" s="5">
        <v>4250.76</v>
      </c>
      <c r="L1651" s="5">
        <v>6179.1</v>
      </c>
      <c r="M1651">
        <v>17</v>
      </c>
      <c r="N1651">
        <v>11</v>
      </c>
      <c r="O1651">
        <v>2</v>
      </c>
      <c r="P1651">
        <v>0</v>
      </c>
      <c r="Q1651">
        <v>19</v>
      </c>
      <c r="R1651">
        <v>1</v>
      </c>
      <c r="S1651">
        <v>0</v>
      </c>
      <c r="T1651">
        <v>1</v>
      </c>
      <c r="U1651">
        <v>0</v>
      </c>
      <c r="V1651">
        <v>0</v>
      </c>
      <c r="W1651" t="s">
        <v>50</v>
      </c>
      <c r="X1651">
        <v>10</v>
      </c>
      <c r="Y1651">
        <v>0</v>
      </c>
      <c r="Z1651">
        <f t="shared" si="150"/>
        <v>46</v>
      </c>
      <c r="AA1651">
        <f t="shared" si="151"/>
        <v>0.48</v>
      </c>
      <c r="AB1651">
        <f t="shared" si="152"/>
        <v>13</v>
      </c>
      <c r="AC1651" t="str">
        <f t="shared" si="153"/>
        <v>Low</v>
      </c>
      <c r="AD1651" t="str">
        <f t="shared" si="154"/>
        <v>Upsell premium bundle</v>
      </c>
      <c r="AE1651">
        <f t="shared" si="155"/>
        <v>54</v>
      </c>
    </row>
    <row r="1652" spans="1:31" x14ac:dyDescent="0.35">
      <c r="A1652" t="s">
        <v>1710</v>
      </c>
      <c r="B1652" s="4">
        <v>45471</v>
      </c>
      <c r="C1652" s="4">
        <v>46143</v>
      </c>
      <c r="D1652" t="s">
        <v>60</v>
      </c>
      <c r="E1652">
        <v>57</v>
      </c>
      <c r="F1652" t="s">
        <v>33</v>
      </c>
      <c r="G1652" t="s">
        <v>85</v>
      </c>
      <c r="H1652" t="s">
        <v>44</v>
      </c>
      <c r="I1652" t="s">
        <v>49</v>
      </c>
      <c r="J1652">
        <v>22</v>
      </c>
      <c r="K1652" s="5">
        <v>315.39</v>
      </c>
      <c r="L1652" s="5">
        <v>179.41</v>
      </c>
      <c r="M1652">
        <v>39</v>
      </c>
      <c r="N1652">
        <v>11</v>
      </c>
      <c r="O1652">
        <v>8</v>
      </c>
      <c r="P1652">
        <v>6</v>
      </c>
      <c r="Q1652">
        <v>17</v>
      </c>
      <c r="R1652">
        <v>1</v>
      </c>
      <c r="S1652">
        <v>0</v>
      </c>
      <c r="T1652">
        <v>1</v>
      </c>
      <c r="U1652">
        <v>1</v>
      </c>
      <c r="V1652">
        <v>1</v>
      </c>
      <c r="W1652" t="s">
        <v>45</v>
      </c>
      <c r="X1652">
        <v>12</v>
      </c>
      <c r="Y1652">
        <v>0</v>
      </c>
      <c r="Z1652">
        <f t="shared" si="150"/>
        <v>99</v>
      </c>
      <c r="AA1652">
        <f t="shared" si="151"/>
        <v>1.0769230769230769</v>
      </c>
      <c r="AB1652">
        <f t="shared" si="152"/>
        <v>17</v>
      </c>
      <c r="AC1652" t="str">
        <f t="shared" si="153"/>
        <v>Low</v>
      </c>
      <c r="AD1652" t="str">
        <f t="shared" si="154"/>
        <v>Upsell premium bundle</v>
      </c>
      <c r="AE1652">
        <f t="shared" si="155"/>
        <v>1</v>
      </c>
    </row>
    <row r="1653" spans="1:31" x14ac:dyDescent="0.35">
      <c r="A1653" t="s">
        <v>1711</v>
      </c>
      <c r="B1653" s="4">
        <v>44818</v>
      </c>
      <c r="C1653" s="4">
        <v>46143</v>
      </c>
      <c r="D1653" t="s">
        <v>60</v>
      </c>
      <c r="E1653">
        <v>65</v>
      </c>
      <c r="F1653" t="s">
        <v>61</v>
      </c>
      <c r="G1653" t="s">
        <v>40</v>
      </c>
      <c r="H1653" t="s">
        <v>41</v>
      </c>
      <c r="I1653" t="s">
        <v>36</v>
      </c>
      <c r="J1653">
        <v>44</v>
      </c>
      <c r="K1653" s="5">
        <v>1650.69</v>
      </c>
      <c r="L1653" s="5">
        <v>4363.1899999999996</v>
      </c>
      <c r="M1653">
        <v>25</v>
      </c>
      <c r="N1653">
        <v>7</v>
      </c>
      <c r="O1653">
        <v>2</v>
      </c>
      <c r="P1653">
        <v>2</v>
      </c>
      <c r="Q1653">
        <v>12</v>
      </c>
      <c r="R1653">
        <v>0</v>
      </c>
      <c r="S1653">
        <v>0</v>
      </c>
      <c r="T1653">
        <v>1</v>
      </c>
      <c r="U1653">
        <v>0</v>
      </c>
      <c r="V1653">
        <v>1</v>
      </c>
      <c r="W1653" t="s">
        <v>45</v>
      </c>
      <c r="X1653">
        <v>2</v>
      </c>
      <c r="Y1653">
        <v>0</v>
      </c>
      <c r="Z1653">
        <f t="shared" si="150"/>
        <v>55</v>
      </c>
      <c r="AA1653">
        <f t="shared" si="151"/>
        <v>0.5</v>
      </c>
      <c r="AB1653">
        <f t="shared" si="152"/>
        <v>25</v>
      </c>
      <c r="AC1653" t="str">
        <f t="shared" si="153"/>
        <v>Low</v>
      </c>
      <c r="AD1653" t="str">
        <f t="shared" si="154"/>
        <v>Upsell premium bundle</v>
      </c>
      <c r="AE1653">
        <f t="shared" si="155"/>
        <v>45</v>
      </c>
    </row>
    <row r="1654" spans="1:31" x14ac:dyDescent="0.35">
      <c r="A1654" t="s">
        <v>1712</v>
      </c>
      <c r="B1654" s="4">
        <v>45724</v>
      </c>
      <c r="C1654" s="4">
        <v>46143</v>
      </c>
      <c r="D1654" t="s">
        <v>39</v>
      </c>
      <c r="E1654">
        <v>41</v>
      </c>
      <c r="F1654" t="s">
        <v>33</v>
      </c>
      <c r="G1654" t="s">
        <v>67</v>
      </c>
      <c r="H1654" t="s">
        <v>41</v>
      </c>
      <c r="I1654" t="s">
        <v>36</v>
      </c>
      <c r="J1654">
        <v>13</v>
      </c>
      <c r="K1654" s="5">
        <v>380.46</v>
      </c>
      <c r="L1654" s="5">
        <v>0</v>
      </c>
      <c r="M1654">
        <v>24</v>
      </c>
      <c r="N1654">
        <v>13</v>
      </c>
      <c r="O1654">
        <v>3</v>
      </c>
      <c r="P1654">
        <v>0</v>
      </c>
      <c r="Q1654">
        <v>18</v>
      </c>
      <c r="R1654">
        <v>0</v>
      </c>
      <c r="S1654">
        <v>0</v>
      </c>
      <c r="T1654">
        <v>0</v>
      </c>
      <c r="U1654">
        <v>1</v>
      </c>
      <c r="V1654">
        <v>1</v>
      </c>
      <c r="W1654" t="s">
        <v>55</v>
      </c>
      <c r="X1654">
        <v>69</v>
      </c>
      <c r="Y1654">
        <v>0</v>
      </c>
      <c r="Z1654">
        <f t="shared" si="150"/>
        <v>70</v>
      </c>
      <c r="AA1654">
        <f t="shared" si="151"/>
        <v>0.97674418604651159</v>
      </c>
      <c r="AB1654">
        <f t="shared" si="152"/>
        <v>0</v>
      </c>
      <c r="AC1654" t="str">
        <f t="shared" si="153"/>
        <v>Low</v>
      </c>
      <c r="AD1654" t="str">
        <f t="shared" si="154"/>
        <v>Upsell premium bundle</v>
      </c>
      <c r="AE1654">
        <f t="shared" si="155"/>
        <v>30</v>
      </c>
    </row>
    <row r="1655" spans="1:31" x14ac:dyDescent="0.35">
      <c r="A1655" t="s">
        <v>1713</v>
      </c>
      <c r="B1655" s="4">
        <v>45313</v>
      </c>
      <c r="C1655" s="4">
        <v>46143</v>
      </c>
      <c r="D1655" t="s">
        <v>66</v>
      </c>
      <c r="E1655">
        <v>65</v>
      </c>
      <c r="F1655" t="s">
        <v>43</v>
      </c>
      <c r="G1655" t="s">
        <v>85</v>
      </c>
      <c r="H1655" t="s">
        <v>41</v>
      </c>
      <c r="I1655" t="s">
        <v>36</v>
      </c>
      <c r="J1655">
        <v>27</v>
      </c>
      <c r="K1655" s="5">
        <v>18.3</v>
      </c>
      <c r="L1655" s="5">
        <v>0</v>
      </c>
      <c r="M1655">
        <v>20</v>
      </c>
      <c r="N1655">
        <v>11</v>
      </c>
      <c r="O1655">
        <v>4</v>
      </c>
      <c r="P1655">
        <v>2</v>
      </c>
      <c r="Q1655">
        <v>19</v>
      </c>
      <c r="R1655">
        <v>0</v>
      </c>
      <c r="S1655">
        <v>0</v>
      </c>
      <c r="T1655">
        <v>1</v>
      </c>
      <c r="U1655">
        <v>0</v>
      </c>
      <c r="V1655">
        <v>1</v>
      </c>
      <c r="W1655" t="s">
        <v>50</v>
      </c>
      <c r="X1655">
        <v>65</v>
      </c>
      <c r="Y1655">
        <v>0</v>
      </c>
      <c r="Z1655">
        <f t="shared" si="150"/>
        <v>61</v>
      </c>
      <c r="AA1655">
        <f t="shared" si="151"/>
        <v>0.68421052631578949</v>
      </c>
      <c r="AB1655">
        <f t="shared" si="152"/>
        <v>1</v>
      </c>
      <c r="AC1655" t="str">
        <f t="shared" si="153"/>
        <v>Low</v>
      </c>
      <c r="AD1655" t="str">
        <f t="shared" si="154"/>
        <v>Upsell premium bundle</v>
      </c>
      <c r="AE1655">
        <f t="shared" si="155"/>
        <v>39</v>
      </c>
    </row>
    <row r="1656" spans="1:31" x14ac:dyDescent="0.35">
      <c r="A1656" t="s">
        <v>1714</v>
      </c>
      <c r="B1656" s="4">
        <v>46011</v>
      </c>
      <c r="C1656" s="4">
        <v>46143</v>
      </c>
      <c r="D1656" t="s">
        <v>66</v>
      </c>
      <c r="E1656">
        <v>24</v>
      </c>
      <c r="F1656" t="s">
        <v>57</v>
      </c>
      <c r="G1656" t="s">
        <v>63</v>
      </c>
      <c r="H1656" t="s">
        <v>41</v>
      </c>
      <c r="I1656" t="s">
        <v>36</v>
      </c>
      <c r="J1656">
        <v>4</v>
      </c>
      <c r="K1656" s="5">
        <v>1917.96</v>
      </c>
      <c r="L1656" s="5">
        <v>260.64</v>
      </c>
      <c r="M1656">
        <v>4</v>
      </c>
      <c r="N1656">
        <v>2</v>
      </c>
      <c r="O1656">
        <v>0</v>
      </c>
      <c r="P1656">
        <v>0</v>
      </c>
      <c r="Q1656">
        <v>13</v>
      </c>
      <c r="R1656">
        <v>1</v>
      </c>
      <c r="S1656">
        <v>0</v>
      </c>
      <c r="T1656">
        <v>0</v>
      </c>
      <c r="U1656">
        <v>0</v>
      </c>
      <c r="V1656">
        <v>0</v>
      </c>
      <c r="W1656" t="s">
        <v>37</v>
      </c>
      <c r="X1656">
        <v>41</v>
      </c>
      <c r="Y1656">
        <v>0</v>
      </c>
      <c r="Z1656">
        <f t="shared" si="150"/>
        <v>18</v>
      </c>
      <c r="AA1656">
        <f t="shared" si="151"/>
        <v>0.5</v>
      </c>
      <c r="AB1656">
        <f t="shared" si="152"/>
        <v>29</v>
      </c>
      <c r="AC1656" t="str">
        <f t="shared" si="153"/>
        <v>Low</v>
      </c>
      <c r="AD1656" t="str">
        <f t="shared" si="154"/>
        <v>Upsell premium bundle</v>
      </c>
      <c r="AE1656">
        <f t="shared" si="155"/>
        <v>82</v>
      </c>
    </row>
    <row r="1657" spans="1:31" x14ac:dyDescent="0.35">
      <c r="A1657" t="s">
        <v>1715</v>
      </c>
      <c r="B1657" s="4">
        <v>45665</v>
      </c>
      <c r="C1657" s="4">
        <v>46143</v>
      </c>
      <c r="D1657" t="s">
        <v>66</v>
      </c>
      <c r="E1657">
        <v>24</v>
      </c>
      <c r="F1657" t="s">
        <v>33</v>
      </c>
      <c r="G1657" t="s">
        <v>40</v>
      </c>
      <c r="H1657" t="s">
        <v>41</v>
      </c>
      <c r="I1657" t="s">
        <v>36</v>
      </c>
      <c r="J1657">
        <v>15</v>
      </c>
      <c r="K1657" s="5">
        <v>52.53</v>
      </c>
      <c r="L1657" s="5">
        <v>273.83999999999997</v>
      </c>
      <c r="M1657">
        <v>25</v>
      </c>
      <c r="N1657">
        <v>17</v>
      </c>
      <c r="O1657">
        <v>3</v>
      </c>
      <c r="P1657">
        <v>3</v>
      </c>
      <c r="Q1657">
        <v>5</v>
      </c>
      <c r="R1657">
        <v>0</v>
      </c>
      <c r="S1657">
        <v>1</v>
      </c>
      <c r="T1657">
        <v>0</v>
      </c>
      <c r="U1657">
        <v>0</v>
      </c>
      <c r="V1657">
        <v>1</v>
      </c>
      <c r="W1657" t="s">
        <v>45</v>
      </c>
      <c r="X1657">
        <v>63</v>
      </c>
      <c r="Y1657">
        <v>0</v>
      </c>
      <c r="Z1657">
        <f t="shared" si="150"/>
        <v>59</v>
      </c>
      <c r="AA1657">
        <f t="shared" si="151"/>
        <v>0.66666666666666663</v>
      </c>
      <c r="AB1657">
        <f t="shared" si="152"/>
        <v>11</v>
      </c>
      <c r="AC1657" t="str">
        <f t="shared" si="153"/>
        <v>Low</v>
      </c>
      <c r="AD1657" t="str">
        <f t="shared" si="154"/>
        <v>Upsell premium bundle</v>
      </c>
      <c r="AE1657">
        <f t="shared" si="155"/>
        <v>41</v>
      </c>
    </row>
    <row r="1658" spans="1:31" x14ac:dyDescent="0.35">
      <c r="A1658" t="s">
        <v>1716</v>
      </c>
      <c r="B1658" s="4">
        <v>45631</v>
      </c>
      <c r="C1658" s="4">
        <v>46143</v>
      </c>
      <c r="D1658" t="s">
        <v>60</v>
      </c>
      <c r="E1658">
        <v>37</v>
      </c>
      <c r="F1658" t="s">
        <v>77</v>
      </c>
      <c r="G1658" t="s">
        <v>85</v>
      </c>
      <c r="H1658" t="s">
        <v>35</v>
      </c>
      <c r="I1658" t="s">
        <v>36</v>
      </c>
      <c r="J1658">
        <v>17</v>
      </c>
      <c r="K1658" s="5">
        <v>0</v>
      </c>
      <c r="L1658" s="5">
        <v>6308.96</v>
      </c>
      <c r="M1658">
        <v>31</v>
      </c>
      <c r="N1658">
        <v>8</v>
      </c>
      <c r="O1658">
        <v>7</v>
      </c>
      <c r="P1658">
        <v>3</v>
      </c>
      <c r="Q1658">
        <v>37</v>
      </c>
      <c r="R1658">
        <v>1</v>
      </c>
      <c r="S1658">
        <v>0</v>
      </c>
      <c r="T1658">
        <v>0</v>
      </c>
      <c r="U1658">
        <v>0</v>
      </c>
      <c r="V1658">
        <v>0</v>
      </c>
      <c r="W1658" t="s">
        <v>37</v>
      </c>
      <c r="X1658">
        <v>60</v>
      </c>
      <c r="Y1658">
        <v>0</v>
      </c>
      <c r="Z1658">
        <f t="shared" si="150"/>
        <v>86</v>
      </c>
      <c r="AA1658">
        <f t="shared" si="151"/>
        <v>1.446808510638298</v>
      </c>
      <c r="AB1658">
        <f t="shared" si="152"/>
        <v>0</v>
      </c>
      <c r="AC1658" t="str">
        <f t="shared" si="153"/>
        <v>Low</v>
      </c>
      <c r="AD1658" t="str">
        <f t="shared" si="154"/>
        <v>Upsell premium bundle</v>
      </c>
      <c r="AE1658">
        <f t="shared" si="155"/>
        <v>14</v>
      </c>
    </row>
    <row r="1659" spans="1:31" x14ac:dyDescent="0.35">
      <c r="A1659" t="s">
        <v>1717</v>
      </c>
      <c r="B1659" s="4">
        <v>45564</v>
      </c>
      <c r="C1659" s="4">
        <v>46143</v>
      </c>
      <c r="D1659" t="s">
        <v>72</v>
      </c>
      <c r="E1659">
        <v>41</v>
      </c>
      <c r="F1659" t="s">
        <v>61</v>
      </c>
      <c r="G1659" t="s">
        <v>67</v>
      </c>
      <c r="H1659" t="s">
        <v>44</v>
      </c>
      <c r="I1659" t="s">
        <v>49</v>
      </c>
      <c r="J1659">
        <v>19</v>
      </c>
      <c r="K1659" s="5">
        <v>2188.7399999999998</v>
      </c>
      <c r="L1659" s="5">
        <v>599.19000000000005</v>
      </c>
      <c r="M1659">
        <v>37</v>
      </c>
      <c r="N1659">
        <v>22</v>
      </c>
      <c r="O1659">
        <v>3</v>
      </c>
      <c r="P1659">
        <v>4</v>
      </c>
      <c r="Q1659">
        <v>24</v>
      </c>
      <c r="R1659">
        <v>0</v>
      </c>
      <c r="S1659">
        <v>1</v>
      </c>
      <c r="T1659">
        <v>1</v>
      </c>
      <c r="U1659">
        <v>1</v>
      </c>
      <c r="V1659">
        <v>1</v>
      </c>
      <c r="W1659" t="s">
        <v>45</v>
      </c>
      <c r="X1659">
        <v>0</v>
      </c>
      <c r="Y1659">
        <v>1</v>
      </c>
      <c r="Z1659">
        <f t="shared" si="150"/>
        <v>100</v>
      </c>
      <c r="AA1659">
        <f t="shared" si="151"/>
        <v>1.2448979591836735</v>
      </c>
      <c r="AB1659">
        <f t="shared" si="152"/>
        <v>32</v>
      </c>
      <c r="AC1659" t="str">
        <f t="shared" si="153"/>
        <v>Low</v>
      </c>
      <c r="AD1659" t="str">
        <f t="shared" si="154"/>
        <v>Upsell premium bundle</v>
      </c>
      <c r="AE1659">
        <f t="shared" si="155"/>
        <v>0</v>
      </c>
    </row>
    <row r="1660" spans="1:31" x14ac:dyDescent="0.35">
      <c r="A1660" t="s">
        <v>1718</v>
      </c>
      <c r="B1660" s="4">
        <v>45661</v>
      </c>
      <c r="C1660" s="4">
        <v>46143</v>
      </c>
      <c r="D1660" t="s">
        <v>32</v>
      </c>
      <c r="E1660">
        <v>40</v>
      </c>
      <c r="F1660" t="s">
        <v>43</v>
      </c>
      <c r="G1660" t="s">
        <v>85</v>
      </c>
      <c r="H1660" t="s">
        <v>58</v>
      </c>
      <c r="I1660" t="s">
        <v>36</v>
      </c>
      <c r="J1660">
        <v>16</v>
      </c>
      <c r="K1660" s="5">
        <v>102.56</v>
      </c>
      <c r="L1660" s="5">
        <v>97.27</v>
      </c>
      <c r="M1660">
        <v>31</v>
      </c>
      <c r="N1660">
        <v>13</v>
      </c>
      <c r="O1660">
        <v>3</v>
      </c>
      <c r="P1660">
        <v>3</v>
      </c>
      <c r="Q1660">
        <v>20</v>
      </c>
      <c r="R1660">
        <v>0</v>
      </c>
      <c r="S1660">
        <v>1</v>
      </c>
      <c r="T1660">
        <v>1</v>
      </c>
      <c r="U1660">
        <v>0</v>
      </c>
      <c r="V1660">
        <v>0</v>
      </c>
      <c r="W1660" t="s">
        <v>50</v>
      </c>
      <c r="X1660">
        <v>-27</v>
      </c>
      <c r="Y1660">
        <v>0</v>
      </c>
      <c r="Z1660">
        <f t="shared" si="150"/>
        <v>69</v>
      </c>
      <c r="AA1660">
        <f t="shared" si="151"/>
        <v>1.1086956521739131</v>
      </c>
      <c r="AB1660">
        <f t="shared" si="152"/>
        <v>42</v>
      </c>
      <c r="AC1660" t="str">
        <f t="shared" si="153"/>
        <v>Medium</v>
      </c>
      <c r="AD1660" t="str">
        <f t="shared" si="154"/>
        <v>Nudge core feature adoption</v>
      </c>
      <c r="AE1660">
        <f t="shared" si="155"/>
        <v>31</v>
      </c>
    </row>
    <row r="1661" spans="1:31" x14ac:dyDescent="0.35">
      <c r="A1661" t="s">
        <v>1719</v>
      </c>
      <c r="B1661" s="4">
        <v>45969</v>
      </c>
      <c r="C1661" s="4">
        <v>46143</v>
      </c>
      <c r="D1661" t="s">
        <v>47</v>
      </c>
      <c r="E1661">
        <v>33</v>
      </c>
      <c r="F1661" t="s">
        <v>43</v>
      </c>
      <c r="G1661" t="s">
        <v>34</v>
      </c>
      <c r="H1661" t="s">
        <v>58</v>
      </c>
      <c r="I1661" t="s">
        <v>36</v>
      </c>
      <c r="J1661">
        <v>5</v>
      </c>
      <c r="K1661" s="5">
        <v>107.42</v>
      </c>
      <c r="L1661" s="5">
        <v>156.32</v>
      </c>
      <c r="M1661">
        <v>7</v>
      </c>
      <c r="N1661">
        <v>4</v>
      </c>
      <c r="O1661">
        <v>0</v>
      </c>
      <c r="P1661">
        <v>1</v>
      </c>
      <c r="Q1661">
        <v>21</v>
      </c>
      <c r="R1661">
        <v>1</v>
      </c>
      <c r="S1661">
        <v>0</v>
      </c>
      <c r="T1661">
        <v>0</v>
      </c>
      <c r="U1661">
        <v>0</v>
      </c>
      <c r="V1661">
        <v>1</v>
      </c>
      <c r="W1661" t="s">
        <v>37</v>
      </c>
      <c r="X1661">
        <v>2</v>
      </c>
      <c r="Y1661">
        <v>0</v>
      </c>
      <c r="Z1661">
        <f t="shared" si="150"/>
        <v>38</v>
      </c>
      <c r="AA1661">
        <f t="shared" si="151"/>
        <v>0.8</v>
      </c>
      <c r="AB1661">
        <f t="shared" si="152"/>
        <v>30</v>
      </c>
      <c r="AC1661" t="str">
        <f t="shared" si="153"/>
        <v>Low</v>
      </c>
      <c r="AD1661" t="str">
        <f t="shared" si="154"/>
        <v>Upsell premium bundle</v>
      </c>
      <c r="AE1661">
        <f t="shared" si="155"/>
        <v>62</v>
      </c>
    </row>
    <row r="1662" spans="1:31" x14ac:dyDescent="0.35">
      <c r="A1662" t="s">
        <v>1720</v>
      </c>
      <c r="B1662" s="4">
        <v>44795</v>
      </c>
      <c r="C1662" s="4">
        <v>46143</v>
      </c>
      <c r="D1662" t="s">
        <v>66</v>
      </c>
      <c r="E1662">
        <v>42</v>
      </c>
      <c r="F1662" t="s">
        <v>61</v>
      </c>
      <c r="G1662" t="s">
        <v>48</v>
      </c>
      <c r="H1662" t="s">
        <v>44</v>
      </c>
      <c r="I1662" t="s">
        <v>36</v>
      </c>
      <c r="J1662">
        <v>44</v>
      </c>
      <c r="K1662" s="5">
        <v>4720.13</v>
      </c>
      <c r="L1662" s="5">
        <v>2466.0100000000002</v>
      </c>
      <c r="M1662">
        <v>40</v>
      </c>
      <c r="N1662">
        <v>21</v>
      </c>
      <c r="O1662">
        <v>10</v>
      </c>
      <c r="P1662">
        <v>1</v>
      </c>
      <c r="Q1662">
        <v>35</v>
      </c>
      <c r="R1662">
        <v>0</v>
      </c>
      <c r="S1662">
        <v>0</v>
      </c>
      <c r="T1662">
        <v>0</v>
      </c>
      <c r="U1662">
        <v>0</v>
      </c>
      <c r="V1662">
        <v>1</v>
      </c>
      <c r="W1662" t="s">
        <v>50</v>
      </c>
      <c r="X1662">
        <v>40</v>
      </c>
      <c r="Y1662">
        <v>0</v>
      </c>
      <c r="Z1662">
        <f t="shared" si="150"/>
        <v>100</v>
      </c>
      <c r="AA1662">
        <f t="shared" si="151"/>
        <v>1.0135135135135136</v>
      </c>
      <c r="AB1662">
        <f t="shared" si="152"/>
        <v>0</v>
      </c>
      <c r="AC1662" t="str">
        <f t="shared" si="153"/>
        <v>Low</v>
      </c>
      <c r="AD1662" t="str">
        <f t="shared" si="154"/>
        <v>Upsell premium bundle</v>
      </c>
      <c r="AE1662">
        <f t="shared" si="155"/>
        <v>0</v>
      </c>
    </row>
    <row r="1663" spans="1:31" x14ac:dyDescent="0.35">
      <c r="A1663" t="s">
        <v>1721</v>
      </c>
      <c r="B1663" s="4">
        <v>45226</v>
      </c>
      <c r="C1663" s="4">
        <v>46143</v>
      </c>
      <c r="D1663" t="s">
        <v>47</v>
      </c>
      <c r="E1663">
        <v>29</v>
      </c>
      <c r="F1663" t="s">
        <v>61</v>
      </c>
      <c r="G1663" t="s">
        <v>85</v>
      </c>
      <c r="H1663" t="s">
        <v>41</v>
      </c>
      <c r="I1663" t="s">
        <v>36</v>
      </c>
      <c r="J1663">
        <v>30</v>
      </c>
      <c r="K1663" s="5">
        <v>6452.29</v>
      </c>
      <c r="L1663" s="5">
        <v>1124.95</v>
      </c>
      <c r="M1663">
        <v>29</v>
      </c>
      <c r="N1663">
        <v>9</v>
      </c>
      <c r="O1663">
        <v>4</v>
      </c>
      <c r="P1663">
        <v>5</v>
      </c>
      <c r="Q1663">
        <v>27</v>
      </c>
      <c r="R1663">
        <v>0</v>
      </c>
      <c r="S1663">
        <v>0</v>
      </c>
      <c r="T1663">
        <v>1</v>
      </c>
      <c r="U1663">
        <v>0</v>
      </c>
      <c r="V1663">
        <v>1</v>
      </c>
      <c r="W1663" t="s">
        <v>52</v>
      </c>
      <c r="X1663">
        <v>19</v>
      </c>
      <c r="Y1663">
        <v>0</v>
      </c>
      <c r="Z1663">
        <f t="shared" si="150"/>
        <v>81</v>
      </c>
      <c r="AA1663">
        <f t="shared" si="151"/>
        <v>0.93333333333333335</v>
      </c>
      <c r="AB1663">
        <f t="shared" si="152"/>
        <v>16</v>
      </c>
      <c r="AC1663" t="str">
        <f t="shared" si="153"/>
        <v>Low</v>
      </c>
      <c r="AD1663" t="str">
        <f t="shared" si="154"/>
        <v>Upsell premium bundle</v>
      </c>
      <c r="AE1663">
        <f t="shared" si="155"/>
        <v>19</v>
      </c>
    </row>
    <row r="1664" spans="1:31" x14ac:dyDescent="0.35">
      <c r="A1664" t="s">
        <v>1722</v>
      </c>
      <c r="B1664" s="4">
        <v>44919</v>
      </c>
      <c r="C1664" s="4">
        <v>46143</v>
      </c>
      <c r="D1664" t="s">
        <v>47</v>
      </c>
      <c r="E1664">
        <v>23</v>
      </c>
      <c r="F1664" t="s">
        <v>33</v>
      </c>
      <c r="G1664" t="s">
        <v>40</v>
      </c>
      <c r="H1664" t="s">
        <v>44</v>
      </c>
      <c r="I1664" t="s">
        <v>36</v>
      </c>
      <c r="J1664">
        <v>40</v>
      </c>
      <c r="K1664" s="5">
        <v>123.8</v>
      </c>
      <c r="L1664" s="5">
        <v>342.47</v>
      </c>
      <c r="M1664">
        <v>33</v>
      </c>
      <c r="N1664">
        <v>17</v>
      </c>
      <c r="O1664">
        <v>6</v>
      </c>
      <c r="P1664">
        <v>1</v>
      </c>
      <c r="Q1664">
        <v>24</v>
      </c>
      <c r="R1664">
        <v>2</v>
      </c>
      <c r="S1664">
        <v>2</v>
      </c>
      <c r="T1664">
        <v>1</v>
      </c>
      <c r="U1664">
        <v>1</v>
      </c>
      <c r="V1664">
        <v>1</v>
      </c>
      <c r="W1664" t="s">
        <v>37</v>
      </c>
      <c r="X1664">
        <v>59</v>
      </c>
      <c r="Y1664">
        <v>0</v>
      </c>
      <c r="Z1664">
        <f t="shared" si="150"/>
        <v>93</v>
      </c>
      <c r="AA1664">
        <f t="shared" si="151"/>
        <v>0.81428571428571428</v>
      </c>
      <c r="AB1664">
        <f t="shared" si="152"/>
        <v>0</v>
      </c>
      <c r="AC1664" t="str">
        <f t="shared" si="153"/>
        <v>Low</v>
      </c>
      <c r="AD1664" t="str">
        <f t="shared" si="154"/>
        <v>Upsell premium bundle</v>
      </c>
      <c r="AE1664">
        <f t="shared" si="155"/>
        <v>7</v>
      </c>
    </row>
    <row r="1665" spans="1:31" x14ac:dyDescent="0.35">
      <c r="A1665" t="s">
        <v>1723</v>
      </c>
      <c r="B1665" s="4">
        <v>45777</v>
      </c>
      <c r="C1665" s="4">
        <v>46143</v>
      </c>
      <c r="D1665" t="s">
        <v>32</v>
      </c>
      <c r="E1665">
        <v>56</v>
      </c>
      <c r="F1665" t="s">
        <v>43</v>
      </c>
      <c r="G1665" t="s">
        <v>48</v>
      </c>
      <c r="H1665" t="s">
        <v>44</v>
      </c>
      <c r="I1665" t="s">
        <v>36</v>
      </c>
      <c r="J1665">
        <v>12</v>
      </c>
      <c r="K1665" s="5">
        <v>29.76</v>
      </c>
      <c r="L1665" s="5">
        <v>87.45</v>
      </c>
      <c r="M1665">
        <v>44</v>
      </c>
      <c r="N1665">
        <v>31</v>
      </c>
      <c r="O1665">
        <v>8</v>
      </c>
      <c r="P1665">
        <v>2</v>
      </c>
      <c r="Q1665">
        <v>27</v>
      </c>
      <c r="R1665">
        <v>0</v>
      </c>
      <c r="S1665">
        <v>1</v>
      </c>
      <c r="T1665">
        <v>1</v>
      </c>
      <c r="U1665">
        <v>1</v>
      </c>
      <c r="V1665">
        <v>0</v>
      </c>
      <c r="W1665" t="s">
        <v>50</v>
      </c>
      <c r="X1665">
        <v>18</v>
      </c>
      <c r="Y1665">
        <v>0</v>
      </c>
      <c r="Z1665">
        <f t="shared" si="150"/>
        <v>100</v>
      </c>
      <c r="AA1665">
        <f t="shared" si="151"/>
        <v>1.6904761904761905</v>
      </c>
      <c r="AB1665">
        <f t="shared" si="152"/>
        <v>7</v>
      </c>
      <c r="AC1665" t="str">
        <f t="shared" si="153"/>
        <v>Low</v>
      </c>
      <c r="AD1665" t="str">
        <f t="shared" si="154"/>
        <v>Upsell premium bundle</v>
      </c>
      <c r="AE1665">
        <f t="shared" si="155"/>
        <v>0</v>
      </c>
    </row>
    <row r="1666" spans="1:31" x14ac:dyDescent="0.35">
      <c r="A1666" t="s">
        <v>1724</v>
      </c>
      <c r="B1666" s="4">
        <v>45802</v>
      </c>
      <c r="C1666" s="4">
        <v>46143</v>
      </c>
      <c r="D1666" t="s">
        <v>72</v>
      </c>
      <c r="E1666">
        <v>40</v>
      </c>
      <c r="F1666" t="s">
        <v>33</v>
      </c>
      <c r="G1666" t="s">
        <v>48</v>
      </c>
      <c r="H1666" t="s">
        <v>58</v>
      </c>
      <c r="I1666" t="s">
        <v>36</v>
      </c>
      <c r="J1666">
        <v>11</v>
      </c>
      <c r="K1666" s="5">
        <v>0</v>
      </c>
      <c r="L1666" s="5">
        <v>185.33</v>
      </c>
      <c r="M1666">
        <v>27</v>
      </c>
      <c r="N1666">
        <v>8</v>
      </c>
      <c r="O1666">
        <v>3</v>
      </c>
      <c r="P1666">
        <v>3</v>
      </c>
      <c r="Q1666">
        <v>26</v>
      </c>
      <c r="R1666">
        <v>1</v>
      </c>
      <c r="S1666">
        <v>0</v>
      </c>
      <c r="T1666">
        <v>1</v>
      </c>
      <c r="U1666">
        <v>1</v>
      </c>
      <c r="V1666">
        <v>0</v>
      </c>
      <c r="W1666" t="s">
        <v>45</v>
      </c>
      <c r="X1666">
        <v>-1</v>
      </c>
      <c r="Y1666">
        <v>0</v>
      </c>
      <c r="Z1666">
        <f t="shared" ref="Z1666:Z1729" si="156">MIN(100,ROUND((M1666*1.1+N1666*0.7+O1666*1.2+P1666*1.4+Q1666*0.9+U1666*8+V1666*7),0))</f>
        <v>75</v>
      </c>
      <c r="AA1666">
        <f t="shared" ref="AA1666:AA1729" si="157">IFERROR((M1666+Q1666)/(30+J1666),0)</f>
        <v>1.2926829268292683</v>
      </c>
      <c r="AB1666">
        <f t="shared" ref="AB1666:AB1729" si="158">ROUND(MIN(100,MAX(0,60-Z1666*0.4-R1666*1.5+S1666*8-IF(L1666&gt;1500,10,0)-X1666*0.5+IF(I1666="Completed",-8,8)+IF(H1666="Free",6,-4))),0)</f>
        <v>17</v>
      </c>
      <c r="AC1666" t="str">
        <f t="shared" ref="AC1666:AC1729" si="159">IF(AB1666&gt;=70,"High",IF(AB1666&gt;=40,"Medium","Low"))</f>
        <v>Low</v>
      </c>
      <c r="AD1666" t="str">
        <f t="shared" ref="AD1666:AD1729" si="160">IF(AC1666="High",IF(Q1666&lt;5,"Re-engage with app usage offer",IF(K1666&lt;100,"Deposit incentive","Retention call")),IF(AC1666="Medium","Nudge core feature adoption","Upsell premium bundle"))</f>
        <v>Upsell premium bundle</v>
      </c>
      <c r="AE1666">
        <f t="shared" ref="AE1666:AE1729" si="161">100-Z1666</f>
        <v>25</v>
      </c>
    </row>
    <row r="1667" spans="1:31" x14ac:dyDescent="0.35">
      <c r="A1667" t="s">
        <v>1725</v>
      </c>
      <c r="B1667" s="4">
        <v>44845</v>
      </c>
      <c r="C1667" s="4">
        <v>46143</v>
      </c>
      <c r="D1667" t="s">
        <v>47</v>
      </c>
      <c r="E1667">
        <v>18</v>
      </c>
      <c r="F1667" t="s">
        <v>33</v>
      </c>
      <c r="G1667" t="s">
        <v>85</v>
      </c>
      <c r="H1667" t="s">
        <v>41</v>
      </c>
      <c r="I1667" t="s">
        <v>36</v>
      </c>
      <c r="J1667">
        <v>43</v>
      </c>
      <c r="K1667" s="5">
        <v>248.71</v>
      </c>
      <c r="L1667" s="5">
        <v>65.290000000000006</v>
      </c>
      <c r="M1667">
        <v>2</v>
      </c>
      <c r="N1667">
        <v>0</v>
      </c>
      <c r="O1667">
        <v>0</v>
      </c>
      <c r="P1667">
        <v>0</v>
      </c>
      <c r="Q1667">
        <v>9</v>
      </c>
      <c r="R1667">
        <v>0</v>
      </c>
      <c r="S1667">
        <v>0</v>
      </c>
      <c r="T1667">
        <v>1</v>
      </c>
      <c r="U1667">
        <v>0</v>
      </c>
      <c r="V1667">
        <v>0</v>
      </c>
      <c r="W1667" t="s">
        <v>52</v>
      </c>
      <c r="X1667">
        <v>23</v>
      </c>
      <c r="Y1667">
        <v>0</v>
      </c>
      <c r="Z1667">
        <f t="shared" si="156"/>
        <v>10</v>
      </c>
      <c r="AA1667">
        <f t="shared" si="157"/>
        <v>0.15068493150684931</v>
      </c>
      <c r="AB1667">
        <f t="shared" si="158"/>
        <v>43</v>
      </c>
      <c r="AC1667" t="str">
        <f t="shared" si="159"/>
        <v>Medium</v>
      </c>
      <c r="AD1667" t="str">
        <f t="shared" si="160"/>
        <v>Nudge core feature adoption</v>
      </c>
      <c r="AE1667">
        <f t="shared" si="161"/>
        <v>90</v>
      </c>
    </row>
    <row r="1668" spans="1:31" x14ac:dyDescent="0.35">
      <c r="A1668" t="s">
        <v>1726</v>
      </c>
      <c r="B1668" s="4">
        <v>45428</v>
      </c>
      <c r="C1668" s="4">
        <v>46143</v>
      </c>
      <c r="D1668" t="s">
        <v>66</v>
      </c>
      <c r="E1668">
        <v>71</v>
      </c>
      <c r="F1668" t="s">
        <v>57</v>
      </c>
      <c r="G1668" t="s">
        <v>63</v>
      </c>
      <c r="H1668" t="s">
        <v>35</v>
      </c>
      <c r="I1668" t="s">
        <v>36</v>
      </c>
      <c r="J1668">
        <v>23</v>
      </c>
      <c r="K1668" s="5">
        <v>675.34</v>
      </c>
      <c r="L1668" s="5">
        <v>1498.76</v>
      </c>
      <c r="M1668">
        <v>31</v>
      </c>
      <c r="N1668">
        <v>13</v>
      </c>
      <c r="O1668">
        <v>4</v>
      </c>
      <c r="P1668">
        <v>0</v>
      </c>
      <c r="Q1668">
        <v>9</v>
      </c>
      <c r="R1668">
        <v>1</v>
      </c>
      <c r="S1668">
        <v>1</v>
      </c>
      <c r="T1668">
        <v>0</v>
      </c>
      <c r="U1668">
        <v>0</v>
      </c>
      <c r="V1668">
        <v>1</v>
      </c>
      <c r="W1668" t="s">
        <v>37</v>
      </c>
      <c r="X1668">
        <v>-4</v>
      </c>
      <c r="Y1668">
        <v>0</v>
      </c>
      <c r="Z1668">
        <f t="shared" si="156"/>
        <v>63</v>
      </c>
      <c r="AA1668">
        <f t="shared" si="157"/>
        <v>0.75471698113207553</v>
      </c>
      <c r="AB1668">
        <f t="shared" si="158"/>
        <v>31</v>
      </c>
      <c r="AC1668" t="str">
        <f t="shared" si="159"/>
        <v>Low</v>
      </c>
      <c r="AD1668" t="str">
        <f t="shared" si="160"/>
        <v>Upsell premium bundle</v>
      </c>
      <c r="AE1668">
        <f t="shared" si="161"/>
        <v>37</v>
      </c>
    </row>
    <row r="1669" spans="1:31" x14ac:dyDescent="0.35">
      <c r="A1669" t="s">
        <v>1727</v>
      </c>
      <c r="B1669" s="4">
        <v>44886</v>
      </c>
      <c r="C1669" s="4">
        <v>46143</v>
      </c>
      <c r="D1669" t="s">
        <v>39</v>
      </c>
      <c r="E1669">
        <v>44</v>
      </c>
      <c r="F1669" t="s">
        <v>57</v>
      </c>
      <c r="G1669" t="s">
        <v>85</v>
      </c>
      <c r="H1669" t="s">
        <v>35</v>
      </c>
      <c r="I1669" t="s">
        <v>36</v>
      </c>
      <c r="J1669">
        <v>41</v>
      </c>
      <c r="K1669" s="5">
        <v>353.11</v>
      </c>
      <c r="L1669" s="5">
        <v>687.57</v>
      </c>
      <c r="M1669">
        <v>16</v>
      </c>
      <c r="N1669">
        <v>9</v>
      </c>
      <c r="O1669">
        <v>1</v>
      </c>
      <c r="P1669">
        <v>1</v>
      </c>
      <c r="Q1669">
        <v>16</v>
      </c>
      <c r="R1669">
        <v>3</v>
      </c>
      <c r="S1669">
        <v>3</v>
      </c>
      <c r="T1669">
        <v>0</v>
      </c>
      <c r="U1669">
        <v>0</v>
      </c>
      <c r="V1669">
        <v>1</v>
      </c>
      <c r="W1669" t="s">
        <v>55</v>
      </c>
      <c r="X1669">
        <v>-1</v>
      </c>
      <c r="Y1669">
        <v>1</v>
      </c>
      <c r="Z1669">
        <f t="shared" si="156"/>
        <v>48</v>
      </c>
      <c r="AA1669">
        <f t="shared" si="157"/>
        <v>0.45070422535211269</v>
      </c>
      <c r="AB1669">
        <f t="shared" si="158"/>
        <v>49</v>
      </c>
      <c r="AC1669" t="str">
        <f t="shared" si="159"/>
        <v>Medium</v>
      </c>
      <c r="AD1669" t="str">
        <f t="shared" si="160"/>
        <v>Nudge core feature adoption</v>
      </c>
      <c r="AE1669">
        <f t="shared" si="161"/>
        <v>52</v>
      </c>
    </row>
    <row r="1670" spans="1:31" x14ac:dyDescent="0.35">
      <c r="A1670" t="s">
        <v>1728</v>
      </c>
      <c r="B1670" s="4">
        <v>45874</v>
      </c>
      <c r="C1670" s="4">
        <v>46143</v>
      </c>
      <c r="D1670" t="s">
        <v>47</v>
      </c>
      <c r="E1670">
        <v>21</v>
      </c>
      <c r="F1670" t="s">
        <v>57</v>
      </c>
      <c r="G1670" t="s">
        <v>67</v>
      </c>
      <c r="H1670" t="s">
        <v>41</v>
      </c>
      <c r="I1670" t="s">
        <v>36</v>
      </c>
      <c r="J1670">
        <v>8</v>
      </c>
      <c r="K1670" s="5">
        <v>1143.48</v>
      </c>
      <c r="L1670" s="5">
        <v>749.67</v>
      </c>
      <c r="M1670">
        <v>33</v>
      </c>
      <c r="N1670">
        <v>17</v>
      </c>
      <c r="O1670">
        <v>2</v>
      </c>
      <c r="P1670">
        <v>5</v>
      </c>
      <c r="Q1670">
        <v>26</v>
      </c>
      <c r="R1670">
        <v>2</v>
      </c>
      <c r="S1670">
        <v>0</v>
      </c>
      <c r="T1670">
        <v>1</v>
      </c>
      <c r="U1670">
        <v>0</v>
      </c>
      <c r="V1670">
        <v>0</v>
      </c>
      <c r="W1670" t="s">
        <v>50</v>
      </c>
      <c r="X1670">
        <v>-8</v>
      </c>
      <c r="Y1670">
        <v>0</v>
      </c>
      <c r="Z1670">
        <f t="shared" si="156"/>
        <v>81</v>
      </c>
      <c r="AA1670">
        <f t="shared" si="157"/>
        <v>1.5526315789473684</v>
      </c>
      <c r="AB1670">
        <f t="shared" si="158"/>
        <v>27</v>
      </c>
      <c r="AC1670" t="str">
        <f t="shared" si="159"/>
        <v>Low</v>
      </c>
      <c r="AD1670" t="str">
        <f t="shared" si="160"/>
        <v>Upsell premium bundle</v>
      </c>
      <c r="AE1670">
        <f t="shared" si="161"/>
        <v>19</v>
      </c>
    </row>
    <row r="1671" spans="1:31" x14ac:dyDescent="0.35">
      <c r="A1671" t="s">
        <v>1729</v>
      </c>
      <c r="B1671" s="4">
        <v>45025</v>
      </c>
      <c r="C1671" s="4">
        <v>46143</v>
      </c>
      <c r="D1671" t="s">
        <v>72</v>
      </c>
      <c r="E1671">
        <v>37</v>
      </c>
      <c r="F1671" t="s">
        <v>33</v>
      </c>
      <c r="G1671" t="s">
        <v>40</v>
      </c>
      <c r="H1671" t="s">
        <v>41</v>
      </c>
      <c r="I1671" t="s">
        <v>36</v>
      </c>
      <c r="J1671">
        <v>37</v>
      </c>
      <c r="K1671" s="5">
        <v>394</v>
      </c>
      <c r="L1671" s="5">
        <v>311.51</v>
      </c>
      <c r="M1671">
        <v>31</v>
      </c>
      <c r="N1671">
        <v>10</v>
      </c>
      <c r="O1671">
        <v>4</v>
      </c>
      <c r="P1671">
        <v>0</v>
      </c>
      <c r="Q1671">
        <v>17</v>
      </c>
      <c r="R1671">
        <v>0</v>
      </c>
      <c r="S1671">
        <v>0</v>
      </c>
      <c r="T1671">
        <v>1</v>
      </c>
      <c r="U1671">
        <v>1</v>
      </c>
      <c r="V1671">
        <v>0</v>
      </c>
      <c r="W1671" t="s">
        <v>50</v>
      </c>
      <c r="X1671">
        <v>76</v>
      </c>
      <c r="Y1671">
        <v>0</v>
      </c>
      <c r="Z1671">
        <f t="shared" si="156"/>
        <v>69</v>
      </c>
      <c r="AA1671">
        <f t="shared" si="157"/>
        <v>0.71641791044776115</v>
      </c>
      <c r="AB1671">
        <f t="shared" si="158"/>
        <v>0</v>
      </c>
      <c r="AC1671" t="str">
        <f t="shared" si="159"/>
        <v>Low</v>
      </c>
      <c r="AD1671" t="str">
        <f t="shared" si="160"/>
        <v>Upsell premium bundle</v>
      </c>
      <c r="AE1671">
        <f t="shared" si="161"/>
        <v>31</v>
      </c>
    </row>
    <row r="1672" spans="1:31" x14ac:dyDescent="0.35">
      <c r="A1672" t="s">
        <v>1730</v>
      </c>
      <c r="B1672" s="4">
        <v>44693</v>
      </c>
      <c r="C1672" s="4">
        <v>46143</v>
      </c>
      <c r="D1672" t="s">
        <v>32</v>
      </c>
      <c r="E1672">
        <v>49</v>
      </c>
      <c r="F1672" t="s">
        <v>43</v>
      </c>
      <c r="G1672" t="s">
        <v>67</v>
      </c>
      <c r="H1672" t="s">
        <v>41</v>
      </c>
      <c r="I1672" t="s">
        <v>36</v>
      </c>
      <c r="J1672">
        <v>48</v>
      </c>
      <c r="K1672" s="5">
        <v>88.57</v>
      </c>
      <c r="L1672" s="5">
        <v>6.42</v>
      </c>
      <c r="M1672">
        <v>41</v>
      </c>
      <c r="N1672">
        <v>13</v>
      </c>
      <c r="O1672">
        <v>2</v>
      </c>
      <c r="P1672">
        <v>3</v>
      </c>
      <c r="Q1672">
        <v>30</v>
      </c>
      <c r="R1672">
        <v>4</v>
      </c>
      <c r="S1672">
        <v>2</v>
      </c>
      <c r="T1672">
        <v>0</v>
      </c>
      <c r="U1672">
        <v>0</v>
      </c>
      <c r="V1672">
        <v>1</v>
      </c>
      <c r="W1672" t="s">
        <v>45</v>
      </c>
      <c r="X1672">
        <v>14</v>
      </c>
      <c r="Y1672">
        <v>0</v>
      </c>
      <c r="Z1672">
        <f t="shared" si="156"/>
        <v>95</v>
      </c>
      <c r="AA1672">
        <f t="shared" si="157"/>
        <v>0.91025641025641024</v>
      </c>
      <c r="AB1672">
        <f t="shared" si="158"/>
        <v>23</v>
      </c>
      <c r="AC1672" t="str">
        <f t="shared" si="159"/>
        <v>Low</v>
      </c>
      <c r="AD1672" t="str">
        <f t="shared" si="160"/>
        <v>Upsell premium bundle</v>
      </c>
      <c r="AE1672">
        <f t="shared" si="161"/>
        <v>5</v>
      </c>
    </row>
    <row r="1673" spans="1:31" x14ac:dyDescent="0.35">
      <c r="A1673" t="s">
        <v>1731</v>
      </c>
      <c r="B1673" s="4">
        <v>45555</v>
      </c>
      <c r="C1673" s="4">
        <v>46143</v>
      </c>
      <c r="D1673" t="s">
        <v>72</v>
      </c>
      <c r="E1673">
        <v>54</v>
      </c>
      <c r="F1673" t="s">
        <v>43</v>
      </c>
      <c r="G1673" t="s">
        <v>67</v>
      </c>
      <c r="H1673" t="s">
        <v>41</v>
      </c>
      <c r="I1673" t="s">
        <v>36</v>
      </c>
      <c r="J1673">
        <v>19</v>
      </c>
      <c r="K1673" s="5">
        <v>97.95</v>
      </c>
      <c r="L1673" s="5">
        <v>43.09</v>
      </c>
      <c r="M1673">
        <v>11</v>
      </c>
      <c r="N1673">
        <v>7</v>
      </c>
      <c r="O1673">
        <v>1</v>
      </c>
      <c r="P1673">
        <v>1</v>
      </c>
      <c r="Q1673">
        <v>0</v>
      </c>
      <c r="R1673">
        <v>1</v>
      </c>
      <c r="S1673">
        <v>1</v>
      </c>
      <c r="T1673">
        <v>0</v>
      </c>
      <c r="U1673">
        <v>0</v>
      </c>
      <c r="V1673">
        <v>1</v>
      </c>
      <c r="W1673" t="s">
        <v>52</v>
      </c>
      <c r="X1673">
        <v>-7</v>
      </c>
      <c r="Y1673">
        <v>0</v>
      </c>
      <c r="Z1673">
        <f t="shared" si="156"/>
        <v>27</v>
      </c>
      <c r="AA1673">
        <f t="shared" si="157"/>
        <v>0.22448979591836735</v>
      </c>
      <c r="AB1673">
        <f t="shared" si="158"/>
        <v>57</v>
      </c>
      <c r="AC1673" t="str">
        <f t="shared" si="159"/>
        <v>Medium</v>
      </c>
      <c r="AD1673" t="str">
        <f t="shared" si="160"/>
        <v>Nudge core feature adoption</v>
      </c>
      <c r="AE1673">
        <f t="shared" si="161"/>
        <v>73</v>
      </c>
    </row>
    <row r="1674" spans="1:31" x14ac:dyDescent="0.35">
      <c r="A1674" t="s">
        <v>1732</v>
      </c>
      <c r="B1674" s="4">
        <v>45842</v>
      </c>
      <c r="C1674" s="4">
        <v>46143</v>
      </c>
      <c r="D1674" t="s">
        <v>39</v>
      </c>
      <c r="E1674">
        <v>50</v>
      </c>
      <c r="F1674" t="s">
        <v>33</v>
      </c>
      <c r="G1674" t="s">
        <v>67</v>
      </c>
      <c r="H1674" t="s">
        <v>58</v>
      </c>
      <c r="I1674" t="s">
        <v>36</v>
      </c>
      <c r="J1674">
        <v>10</v>
      </c>
      <c r="K1674" s="5">
        <v>0</v>
      </c>
      <c r="L1674" s="5">
        <v>387.37</v>
      </c>
      <c r="M1674">
        <v>39</v>
      </c>
      <c r="N1674">
        <v>16</v>
      </c>
      <c r="O1674">
        <v>3</v>
      </c>
      <c r="P1674">
        <v>2</v>
      </c>
      <c r="Q1674">
        <v>25</v>
      </c>
      <c r="R1674">
        <v>1</v>
      </c>
      <c r="S1674">
        <v>1</v>
      </c>
      <c r="T1674">
        <v>1</v>
      </c>
      <c r="U1674">
        <v>0</v>
      </c>
      <c r="V1674">
        <v>0</v>
      </c>
      <c r="W1674" t="s">
        <v>50</v>
      </c>
      <c r="X1674">
        <v>59</v>
      </c>
      <c r="Y1674">
        <v>0</v>
      </c>
      <c r="Z1674">
        <f t="shared" si="156"/>
        <v>83</v>
      </c>
      <c r="AA1674">
        <f t="shared" si="157"/>
        <v>1.6</v>
      </c>
      <c r="AB1674">
        <f t="shared" si="158"/>
        <v>0</v>
      </c>
      <c r="AC1674" t="str">
        <f t="shared" si="159"/>
        <v>Low</v>
      </c>
      <c r="AD1674" t="str">
        <f t="shared" si="160"/>
        <v>Upsell premium bundle</v>
      </c>
      <c r="AE1674">
        <f t="shared" si="161"/>
        <v>17</v>
      </c>
    </row>
    <row r="1675" spans="1:31" x14ac:dyDescent="0.35">
      <c r="A1675" t="s">
        <v>1733</v>
      </c>
      <c r="B1675" s="4">
        <v>45740</v>
      </c>
      <c r="C1675" s="4">
        <v>46143</v>
      </c>
      <c r="D1675" t="s">
        <v>60</v>
      </c>
      <c r="E1675">
        <v>29</v>
      </c>
      <c r="F1675" t="s">
        <v>43</v>
      </c>
      <c r="G1675" t="s">
        <v>67</v>
      </c>
      <c r="H1675" t="s">
        <v>41</v>
      </c>
      <c r="I1675" t="s">
        <v>36</v>
      </c>
      <c r="J1675">
        <v>13</v>
      </c>
      <c r="K1675" s="5">
        <v>129.04</v>
      </c>
      <c r="L1675" s="5">
        <v>54.19</v>
      </c>
      <c r="M1675">
        <v>15</v>
      </c>
      <c r="N1675">
        <v>10</v>
      </c>
      <c r="O1675">
        <v>1</v>
      </c>
      <c r="P1675">
        <v>0</v>
      </c>
      <c r="Q1675">
        <v>5</v>
      </c>
      <c r="R1675">
        <v>2</v>
      </c>
      <c r="S1675">
        <v>0</v>
      </c>
      <c r="T1675">
        <v>0</v>
      </c>
      <c r="U1675">
        <v>1</v>
      </c>
      <c r="V1675">
        <v>0</v>
      </c>
      <c r="W1675" t="s">
        <v>45</v>
      </c>
      <c r="X1675">
        <v>-8</v>
      </c>
      <c r="Y1675">
        <v>1</v>
      </c>
      <c r="Z1675">
        <f t="shared" si="156"/>
        <v>37</v>
      </c>
      <c r="AA1675">
        <f t="shared" si="157"/>
        <v>0.46511627906976744</v>
      </c>
      <c r="AB1675">
        <f t="shared" si="158"/>
        <v>44</v>
      </c>
      <c r="AC1675" t="str">
        <f t="shared" si="159"/>
        <v>Medium</v>
      </c>
      <c r="AD1675" t="str">
        <f t="shared" si="160"/>
        <v>Nudge core feature adoption</v>
      </c>
      <c r="AE1675">
        <f t="shared" si="161"/>
        <v>63</v>
      </c>
    </row>
    <row r="1676" spans="1:31" x14ac:dyDescent="0.35">
      <c r="A1676" t="s">
        <v>1734</v>
      </c>
      <c r="B1676" s="4">
        <v>45644</v>
      </c>
      <c r="C1676" s="4">
        <v>46143</v>
      </c>
      <c r="D1676" t="s">
        <v>72</v>
      </c>
      <c r="E1676">
        <v>43</v>
      </c>
      <c r="F1676" t="s">
        <v>57</v>
      </c>
      <c r="G1676" t="s">
        <v>63</v>
      </c>
      <c r="H1676" t="s">
        <v>41</v>
      </c>
      <c r="I1676" t="s">
        <v>36</v>
      </c>
      <c r="J1676">
        <v>16</v>
      </c>
      <c r="K1676" s="5">
        <v>703.6</v>
      </c>
      <c r="L1676" s="5">
        <v>1474.15</v>
      </c>
      <c r="M1676">
        <v>23</v>
      </c>
      <c r="N1676">
        <v>8</v>
      </c>
      <c r="O1676">
        <v>2</v>
      </c>
      <c r="P1676">
        <v>2</v>
      </c>
      <c r="Q1676">
        <v>12</v>
      </c>
      <c r="R1676">
        <v>1</v>
      </c>
      <c r="S1676">
        <v>1</v>
      </c>
      <c r="T1676">
        <v>1</v>
      </c>
      <c r="U1676">
        <v>0</v>
      </c>
      <c r="V1676">
        <v>0</v>
      </c>
      <c r="W1676" t="s">
        <v>52</v>
      </c>
      <c r="X1676">
        <v>41</v>
      </c>
      <c r="Y1676">
        <v>1</v>
      </c>
      <c r="Z1676">
        <f t="shared" si="156"/>
        <v>47</v>
      </c>
      <c r="AA1676">
        <f t="shared" si="157"/>
        <v>0.76086956521739135</v>
      </c>
      <c r="AB1676">
        <f t="shared" si="158"/>
        <v>25</v>
      </c>
      <c r="AC1676" t="str">
        <f t="shared" si="159"/>
        <v>Low</v>
      </c>
      <c r="AD1676" t="str">
        <f t="shared" si="160"/>
        <v>Upsell premium bundle</v>
      </c>
      <c r="AE1676">
        <f t="shared" si="161"/>
        <v>53</v>
      </c>
    </row>
    <row r="1677" spans="1:31" x14ac:dyDescent="0.35">
      <c r="A1677" t="s">
        <v>1735</v>
      </c>
      <c r="B1677" s="4">
        <v>45713</v>
      </c>
      <c r="C1677" s="4">
        <v>46143</v>
      </c>
      <c r="D1677" t="s">
        <v>39</v>
      </c>
      <c r="E1677">
        <v>63</v>
      </c>
      <c r="F1677" t="s">
        <v>57</v>
      </c>
      <c r="G1677" t="s">
        <v>85</v>
      </c>
      <c r="H1677" t="s">
        <v>41</v>
      </c>
      <c r="I1677" t="s">
        <v>36</v>
      </c>
      <c r="J1677">
        <v>14</v>
      </c>
      <c r="K1677" s="5">
        <v>266.07</v>
      </c>
      <c r="L1677" s="5">
        <v>1097.6099999999999</v>
      </c>
      <c r="M1677">
        <v>31</v>
      </c>
      <c r="N1677">
        <v>12</v>
      </c>
      <c r="O1677">
        <v>9</v>
      </c>
      <c r="P1677">
        <v>6</v>
      </c>
      <c r="Q1677">
        <v>20</v>
      </c>
      <c r="R1677">
        <v>2</v>
      </c>
      <c r="S1677">
        <v>2</v>
      </c>
      <c r="T1677">
        <v>0</v>
      </c>
      <c r="U1677">
        <v>0</v>
      </c>
      <c r="V1677">
        <v>0</v>
      </c>
      <c r="W1677" t="s">
        <v>55</v>
      </c>
      <c r="X1677">
        <v>10</v>
      </c>
      <c r="Y1677">
        <v>0</v>
      </c>
      <c r="Z1677">
        <f t="shared" si="156"/>
        <v>80</v>
      </c>
      <c r="AA1677">
        <f t="shared" si="157"/>
        <v>1.1590909090909092</v>
      </c>
      <c r="AB1677">
        <f t="shared" si="158"/>
        <v>34</v>
      </c>
      <c r="AC1677" t="str">
        <f t="shared" si="159"/>
        <v>Low</v>
      </c>
      <c r="AD1677" t="str">
        <f t="shared" si="160"/>
        <v>Upsell premium bundle</v>
      </c>
      <c r="AE1677">
        <f t="shared" si="161"/>
        <v>20</v>
      </c>
    </row>
    <row r="1678" spans="1:31" x14ac:dyDescent="0.35">
      <c r="A1678" t="s">
        <v>1736</v>
      </c>
      <c r="B1678" s="4">
        <v>45554</v>
      </c>
      <c r="C1678" s="4">
        <v>46143</v>
      </c>
      <c r="D1678" t="s">
        <v>72</v>
      </c>
      <c r="E1678">
        <v>58</v>
      </c>
      <c r="F1678" t="s">
        <v>33</v>
      </c>
      <c r="G1678" t="s">
        <v>67</v>
      </c>
      <c r="H1678" t="s">
        <v>41</v>
      </c>
      <c r="I1678" t="s">
        <v>36</v>
      </c>
      <c r="J1678">
        <v>19</v>
      </c>
      <c r="K1678" s="5">
        <v>479.73</v>
      </c>
      <c r="L1678" s="5">
        <v>178.42</v>
      </c>
      <c r="M1678">
        <v>13</v>
      </c>
      <c r="N1678">
        <v>7</v>
      </c>
      <c r="O1678">
        <v>2</v>
      </c>
      <c r="P1678">
        <v>0</v>
      </c>
      <c r="Q1678">
        <v>6</v>
      </c>
      <c r="R1678">
        <v>1</v>
      </c>
      <c r="S1678">
        <v>0</v>
      </c>
      <c r="T1678">
        <v>1</v>
      </c>
      <c r="U1678">
        <v>0</v>
      </c>
      <c r="V1678">
        <v>0</v>
      </c>
      <c r="W1678" t="s">
        <v>45</v>
      </c>
      <c r="X1678">
        <v>17</v>
      </c>
      <c r="Y1678">
        <v>1</v>
      </c>
      <c r="Z1678">
        <f t="shared" si="156"/>
        <v>27</v>
      </c>
      <c r="AA1678">
        <f t="shared" si="157"/>
        <v>0.38775510204081631</v>
      </c>
      <c r="AB1678">
        <f t="shared" si="158"/>
        <v>37</v>
      </c>
      <c r="AC1678" t="str">
        <f t="shared" si="159"/>
        <v>Low</v>
      </c>
      <c r="AD1678" t="str">
        <f t="shared" si="160"/>
        <v>Upsell premium bundle</v>
      </c>
      <c r="AE1678">
        <f t="shared" si="161"/>
        <v>73</v>
      </c>
    </row>
    <row r="1679" spans="1:31" x14ac:dyDescent="0.35">
      <c r="A1679" t="s">
        <v>1737</v>
      </c>
      <c r="B1679" s="4">
        <v>44855</v>
      </c>
      <c r="C1679" s="4">
        <v>46143</v>
      </c>
      <c r="D1679" t="s">
        <v>72</v>
      </c>
      <c r="E1679">
        <v>52</v>
      </c>
      <c r="F1679" t="s">
        <v>43</v>
      </c>
      <c r="G1679" t="s">
        <v>85</v>
      </c>
      <c r="H1679" t="s">
        <v>41</v>
      </c>
      <c r="I1679" t="s">
        <v>36</v>
      </c>
      <c r="J1679">
        <v>42</v>
      </c>
      <c r="K1679" s="5">
        <v>7.97</v>
      </c>
      <c r="L1679" s="5">
        <v>29.1</v>
      </c>
      <c r="M1679">
        <v>17</v>
      </c>
      <c r="N1679">
        <v>5</v>
      </c>
      <c r="O1679">
        <v>1</v>
      </c>
      <c r="P1679">
        <v>0</v>
      </c>
      <c r="Q1679">
        <v>15</v>
      </c>
      <c r="R1679">
        <v>0</v>
      </c>
      <c r="S1679">
        <v>0</v>
      </c>
      <c r="T1679">
        <v>0</v>
      </c>
      <c r="U1679">
        <v>0</v>
      </c>
      <c r="V1679">
        <v>1</v>
      </c>
      <c r="W1679" t="s">
        <v>52</v>
      </c>
      <c r="X1679">
        <v>59</v>
      </c>
      <c r="Y1679">
        <v>1</v>
      </c>
      <c r="Z1679">
        <f t="shared" si="156"/>
        <v>44</v>
      </c>
      <c r="AA1679">
        <f t="shared" si="157"/>
        <v>0.44444444444444442</v>
      </c>
      <c r="AB1679">
        <f t="shared" si="158"/>
        <v>11</v>
      </c>
      <c r="AC1679" t="str">
        <f t="shared" si="159"/>
        <v>Low</v>
      </c>
      <c r="AD1679" t="str">
        <f t="shared" si="160"/>
        <v>Upsell premium bundle</v>
      </c>
      <c r="AE1679">
        <f t="shared" si="161"/>
        <v>56</v>
      </c>
    </row>
    <row r="1680" spans="1:31" x14ac:dyDescent="0.35">
      <c r="A1680" t="s">
        <v>1738</v>
      </c>
      <c r="B1680" s="4">
        <v>44919</v>
      </c>
      <c r="C1680" s="4">
        <v>46143</v>
      </c>
      <c r="D1680" t="s">
        <v>47</v>
      </c>
      <c r="E1680">
        <v>46</v>
      </c>
      <c r="F1680" t="s">
        <v>33</v>
      </c>
      <c r="G1680" t="s">
        <v>40</v>
      </c>
      <c r="H1680" t="s">
        <v>41</v>
      </c>
      <c r="I1680" t="s">
        <v>36</v>
      </c>
      <c r="J1680">
        <v>40</v>
      </c>
      <c r="K1680" s="5">
        <v>397.16</v>
      </c>
      <c r="L1680" s="5">
        <v>298.06</v>
      </c>
      <c r="M1680">
        <v>25</v>
      </c>
      <c r="N1680">
        <v>9</v>
      </c>
      <c r="O1680">
        <v>4</v>
      </c>
      <c r="P1680">
        <v>3</v>
      </c>
      <c r="Q1680">
        <v>20</v>
      </c>
      <c r="R1680">
        <v>1</v>
      </c>
      <c r="S1680">
        <v>0</v>
      </c>
      <c r="T1680">
        <v>0</v>
      </c>
      <c r="U1680">
        <v>0</v>
      </c>
      <c r="V1680">
        <v>0</v>
      </c>
      <c r="W1680" t="s">
        <v>45</v>
      </c>
      <c r="X1680">
        <v>48</v>
      </c>
      <c r="Y1680">
        <v>1</v>
      </c>
      <c r="Z1680">
        <f t="shared" si="156"/>
        <v>61</v>
      </c>
      <c r="AA1680">
        <f t="shared" si="157"/>
        <v>0.6428571428571429</v>
      </c>
      <c r="AB1680">
        <f t="shared" si="158"/>
        <v>8</v>
      </c>
      <c r="AC1680" t="str">
        <f t="shared" si="159"/>
        <v>Low</v>
      </c>
      <c r="AD1680" t="str">
        <f t="shared" si="160"/>
        <v>Upsell premium bundle</v>
      </c>
      <c r="AE1680">
        <f t="shared" si="161"/>
        <v>39</v>
      </c>
    </row>
    <row r="1681" spans="1:31" x14ac:dyDescent="0.35">
      <c r="A1681" t="s">
        <v>1739</v>
      </c>
      <c r="B1681" s="4">
        <v>45463</v>
      </c>
      <c r="C1681" s="4">
        <v>46143</v>
      </c>
      <c r="D1681" t="s">
        <v>32</v>
      </c>
      <c r="E1681">
        <v>64</v>
      </c>
      <c r="F1681" t="s">
        <v>57</v>
      </c>
      <c r="G1681" t="s">
        <v>85</v>
      </c>
      <c r="H1681" t="s">
        <v>41</v>
      </c>
      <c r="I1681" t="s">
        <v>36</v>
      </c>
      <c r="J1681">
        <v>22</v>
      </c>
      <c r="K1681" s="5">
        <v>2026.92</v>
      </c>
      <c r="L1681" s="5">
        <v>0</v>
      </c>
      <c r="M1681">
        <v>16</v>
      </c>
      <c r="N1681">
        <v>6</v>
      </c>
      <c r="O1681">
        <v>1</v>
      </c>
      <c r="P1681">
        <v>0</v>
      </c>
      <c r="Q1681">
        <v>12</v>
      </c>
      <c r="R1681">
        <v>3</v>
      </c>
      <c r="S1681">
        <v>0</v>
      </c>
      <c r="T1681">
        <v>0</v>
      </c>
      <c r="U1681">
        <v>1</v>
      </c>
      <c r="V1681">
        <v>0</v>
      </c>
      <c r="W1681" t="s">
        <v>37</v>
      </c>
      <c r="X1681">
        <v>14</v>
      </c>
      <c r="Y1681">
        <v>0</v>
      </c>
      <c r="Z1681">
        <f t="shared" si="156"/>
        <v>42</v>
      </c>
      <c r="AA1681">
        <f t="shared" si="157"/>
        <v>0.53846153846153844</v>
      </c>
      <c r="AB1681">
        <f t="shared" si="158"/>
        <v>30</v>
      </c>
      <c r="AC1681" t="str">
        <f t="shared" si="159"/>
        <v>Low</v>
      </c>
      <c r="AD1681" t="str">
        <f t="shared" si="160"/>
        <v>Upsell premium bundle</v>
      </c>
      <c r="AE1681">
        <f t="shared" si="161"/>
        <v>58</v>
      </c>
    </row>
    <row r="1682" spans="1:31" x14ac:dyDescent="0.35">
      <c r="A1682" t="s">
        <v>1740</v>
      </c>
      <c r="B1682" s="4">
        <v>45092</v>
      </c>
      <c r="C1682" s="4">
        <v>46143</v>
      </c>
      <c r="D1682" t="s">
        <v>32</v>
      </c>
      <c r="E1682">
        <v>29</v>
      </c>
      <c r="F1682" t="s">
        <v>43</v>
      </c>
      <c r="G1682" t="s">
        <v>67</v>
      </c>
      <c r="H1682" t="s">
        <v>44</v>
      </c>
      <c r="I1682" t="s">
        <v>36</v>
      </c>
      <c r="J1682">
        <v>35</v>
      </c>
      <c r="K1682" s="5">
        <v>45.16</v>
      </c>
      <c r="L1682" s="5">
        <v>26.77</v>
      </c>
      <c r="M1682">
        <v>58</v>
      </c>
      <c r="N1682">
        <v>16</v>
      </c>
      <c r="O1682">
        <v>15</v>
      </c>
      <c r="P1682">
        <v>0</v>
      </c>
      <c r="Q1682">
        <v>38</v>
      </c>
      <c r="R1682">
        <v>2</v>
      </c>
      <c r="S1682">
        <v>2</v>
      </c>
      <c r="T1682">
        <v>0</v>
      </c>
      <c r="U1682">
        <v>0</v>
      </c>
      <c r="V1682">
        <v>1</v>
      </c>
      <c r="W1682" t="s">
        <v>50</v>
      </c>
      <c r="X1682">
        <v>6</v>
      </c>
      <c r="Y1682">
        <v>0</v>
      </c>
      <c r="Z1682">
        <f t="shared" si="156"/>
        <v>100</v>
      </c>
      <c r="AA1682">
        <f t="shared" si="157"/>
        <v>1.476923076923077</v>
      </c>
      <c r="AB1682">
        <f t="shared" si="158"/>
        <v>18</v>
      </c>
      <c r="AC1682" t="str">
        <f t="shared" si="159"/>
        <v>Low</v>
      </c>
      <c r="AD1682" t="str">
        <f t="shared" si="160"/>
        <v>Upsell premium bundle</v>
      </c>
      <c r="AE1682">
        <f t="shared" si="161"/>
        <v>0</v>
      </c>
    </row>
    <row r="1683" spans="1:31" x14ac:dyDescent="0.35">
      <c r="A1683" t="s">
        <v>1741</v>
      </c>
      <c r="B1683" s="4">
        <v>45038</v>
      </c>
      <c r="C1683" s="4">
        <v>46143</v>
      </c>
      <c r="D1683" t="s">
        <v>72</v>
      </c>
      <c r="E1683">
        <v>60</v>
      </c>
      <c r="F1683" t="s">
        <v>43</v>
      </c>
      <c r="G1683" t="s">
        <v>85</v>
      </c>
      <c r="H1683" t="s">
        <v>41</v>
      </c>
      <c r="I1683" t="s">
        <v>54</v>
      </c>
      <c r="J1683">
        <v>36</v>
      </c>
      <c r="K1683" s="5">
        <v>0</v>
      </c>
      <c r="L1683" s="5">
        <v>74.819999999999993</v>
      </c>
      <c r="M1683">
        <v>21</v>
      </c>
      <c r="N1683">
        <v>9</v>
      </c>
      <c r="O1683">
        <v>3</v>
      </c>
      <c r="P1683">
        <v>1</v>
      </c>
      <c r="Q1683">
        <v>16</v>
      </c>
      <c r="R1683">
        <v>0</v>
      </c>
      <c r="S1683">
        <v>0</v>
      </c>
      <c r="T1683">
        <v>1</v>
      </c>
      <c r="U1683">
        <v>0</v>
      </c>
      <c r="V1683">
        <v>1</v>
      </c>
      <c r="W1683" t="s">
        <v>52</v>
      </c>
      <c r="X1683">
        <v>47</v>
      </c>
      <c r="Y1683">
        <v>0</v>
      </c>
      <c r="Z1683">
        <f t="shared" si="156"/>
        <v>56</v>
      </c>
      <c r="AA1683">
        <f t="shared" si="157"/>
        <v>0.56060606060606055</v>
      </c>
      <c r="AB1683">
        <f t="shared" si="158"/>
        <v>28</v>
      </c>
      <c r="AC1683" t="str">
        <f t="shared" si="159"/>
        <v>Low</v>
      </c>
      <c r="AD1683" t="str">
        <f t="shared" si="160"/>
        <v>Upsell premium bundle</v>
      </c>
      <c r="AE1683">
        <f t="shared" si="161"/>
        <v>44</v>
      </c>
    </row>
    <row r="1684" spans="1:31" x14ac:dyDescent="0.35">
      <c r="A1684" t="s">
        <v>1742</v>
      </c>
      <c r="B1684" s="4">
        <v>45432</v>
      </c>
      <c r="C1684" s="4">
        <v>46143</v>
      </c>
      <c r="D1684" t="s">
        <v>32</v>
      </c>
      <c r="E1684">
        <v>72</v>
      </c>
      <c r="F1684" t="s">
        <v>57</v>
      </c>
      <c r="G1684" t="s">
        <v>63</v>
      </c>
      <c r="H1684" t="s">
        <v>41</v>
      </c>
      <c r="I1684" t="s">
        <v>36</v>
      </c>
      <c r="J1684">
        <v>23</v>
      </c>
      <c r="K1684" s="5">
        <v>563.78</v>
      </c>
      <c r="L1684" s="5">
        <v>256.13</v>
      </c>
      <c r="M1684">
        <v>27</v>
      </c>
      <c r="N1684">
        <v>17</v>
      </c>
      <c r="O1684">
        <v>2</v>
      </c>
      <c r="P1684">
        <v>1</v>
      </c>
      <c r="Q1684">
        <v>24</v>
      </c>
      <c r="R1684">
        <v>3</v>
      </c>
      <c r="S1684">
        <v>2</v>
      </c>
      <c r="T1684">
        <v>1</v>
      </c>
      <c r="U1684">
        <v>1</v>
      </c>
      <c r="V1684">
        <v>0</v>
      </c>
      <c r="W1684" t="s">
        <v>45</v>
      </c>
      <c r="X1684">
        <v>-27</v>
      </c>
      <c r="Y1684">
        <v>1</v>
      </c>
      <c r="Z1684">
        <f t="shared" si="156"/>
        <v>75</v>
      </c>
      <c r="AA1684">
        <f t="shared" si="157"/>
        <v>0.96226415094339623</v>
      </c>
      <c r="AB1684">
        <f t="shared" si="158"/>
        <v>53</v>
      </c>
      <c r="AC1684" t="str">
        <f t="shared" si="159"/>
        <v>Medium</v>
      </c>
      <c r="AD1684" t="str">
        <f t="shared" si="160"/>
        <v>Nudge core feature adoption</v>
      </c>
      <c r="AE1684">
        <f t="shared" si="161"/>
        <v>25</v>
      </c>
    </row>
    <row r="1685" spans="1:31" x14ac:dyDescent="0.35">
      <c r="A1685" t="s">
        <v>1743</v>
      </c>
      <c r="B1685" s="4">
        <v>45754</v>
      </c>
      <c r="C1685" s="4">
        <v>46143</v>
      </c>
      <c r="D1685" t="s">
        <v>60</v>
      </c>
      <c r="E1685">
        <v>60</v>
      </c>
      <c r="F1685" t="s">
        <v>43</v>
      </c>
      <c r="G1685" t="s">
        <v>63</v>
      </c>
      <c r="H1685" t="s">
        <v>41</v>
      </c>
      <c r="I1685" t="s">
        <v>49</v>
      </c>
      <c r="J1685">
        <v>12</v>
      </c>
      <c r="K1685" s="5">
        <v>30.14</v>
      </c>
      <c r="L1685" s="5">
        <v>64.78</v>
      </c>
      <c r="M1685">
        <v>7</v>
      </c>
      <c r="N1685">
        <v>2</v>
      </c>
      <c r="O1685">
        <v>0</v>
      </c>
      <c r="P1685">
        <v>0</v>
      </c>
      <c r="Q1685">
        <v>2</v>
      </c>
      <c r="R1685">
        <v>2</v>
      </c>
      <c r="S1685">
        <v>0</v>
      </c>
      <c r="T1685">
        <v>0</v>
      </c>
      <c r="U1685">
        <v>0</v>
      </c>
      <c r="V1685">
        <v>1</v>
      </c>
      <c r="W1685" t="s">
        <v>37</v>
      </c>
      <c r="X1685">
        <v>100</v>
      </c>
      <c r="Y1685">
        <v>1</v>
      </c>
      <c r="Z1685">
        <f t="shared" si="156"/>
        <v>18</v>
      </c>
      <c r="AA1685">
        <f t="shared" si="157"/>
        <v>0.21428571428571427</v>
      </c>
      <c r="AB1685">
        <f t="shared" si="158"/>
        <v>14</v>
      </c>
      <c r="AC1685" t="str">
        <f t="shared" si="159"/>
        <v>Low</v>
      </c>
      <c r="AD1685" t="str">
        <f t="shared" si="160"/>
        <v>Upsell premium bundle</v>
      </c>
      <c r="AE1685">
        <f t="shared" si="161"/>
        <v>82</v>
      </c>
    </row>
    <row r="1686" spans="1:31" x14ac:dyDescent="0.35">
      <c r="A1686" t="s">
        <v>1744</v>
      </c>
      <c r="B1686" s="4">
        <v>45695</v>
      </c>
      <c r="C1686" s="4">
        <v>46143</v>
      </c>
      <c r="D1686" t="s">
        <v>66</v>
      </c>
      <c r="E1686">
        <v>32</v>
      </c>
      <c r="F1686" t="s">
        <v>33</v>
      </c>
      <c r="G1686" t="s">
        <v>40</v>
      </c>
      <c r="H1686" t="s">
        <v>41</v>
      </c>
      <c r="I1686" t="s">
        <v>36</v>
      </c>
      <c r="J1686">
        <v>14</v>
      </c>
      <c r="K1686" s="5">
        <v>631.41</v>
      </c>
      <c r="L1686" s="5">
        <v>175.56</v>
      </c>
      <c r="M1686">
        <v>15</v>
      </c>
      <c r="N1686">
        <v>7</v>
      </c>
      <c r="O1686">
        <v>1</v>
      </c>
      <c r="P1686">
        <v>2</v>
      </c>
      <c r="Q1686">
        <v>14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55</v>
      </c>
      <c r="X1686">
        <v>42</v>
      </c>
      <c r="Y1686">
        <v>1</v>
      </c>
      <c r="Z1686">
        <f t="shared" si="156"/>
        <v>38</v>
      </c>
      <c r="AA1686">
        <f t="shared" si="157"/>
        <v>0.65909090909090906</v>
      </c>
      <c r="AB1686">
        <f t="shared" si="158"/>
        <v>22</v>
      </c>
      <c r="AC1686" t="str">
        <f t="shared" si="159"/>
        <v>Low</v>
      </c>
      <c r="AD1686" t="str">
        <f t="shared" si="160"/>
        <v>Upsell premium bundle</v>
      </c>
      <c r="AE1686">
        <f t="shared" si="161"/>
        <v>62</v>
      </c>
    </row>
    <row r="1687" spans="1:31" x14ac:dyDescent="0.35">
      <c r="A1687" t="s">
        <v>1745</v>
      </c>
      <c r="B1687" s="4">
        <v>45330</v>
      </c>
      <c r="C1687" s="4">
        <v>46143</v>
      </c>
      <c r="D1687" t="s">
        <v>32</v>
      </c>
      <c r="E1687">
        <v>30</v>
      </c>
      <c r="F1687" t="s">
        <v>33</v>
      </c>
      <c r="G1687" t="s">
        <v>34</v>
      </c>
      <c r="H1687" t="s">
        <v>41</v>
      </c>
      <c r="I1687" t="s">
        <v>36</v>
      </c>
      <c r="J1687">
        <v>27</v>
      </c>
      <c r="K1687" s="5">
        <v>0</v>
      </c>
      <c r="L1687" s="5">
        <v>145.09</v>
      </c>
      <c r="M1687">
        <v>34</v>
      </c>
      <c r="N1687">
        <v>10</v>
      </c>
      <c r="O1687">
        <v>4</v>
      </c>
      <c r="P1687">
        <v>5</v>
      </c>
      <c r="Q1687">
        <v>24</v>
      </c>
      <c r="R1687">
        <v>0</v>
      </c>
      <c r="S1687">
        <v>2</v>
      </c>
      <c r="T1687">
        <v>0</v>
      </c>
      <c r="U1687">
        <v>0</v>
      </c>
      <c r="V1687">
        <v>0</v>
      </c>
      <c r="W1687" t="s">
        <v>52</v>
      </c>
      <c r="X1687">
        <v>3</v>
      </c>
      <c r="Y1687">
        <v>0</v>
      </c>
      <c r="Z1687">
        <f t="shared" si="156"/>
        <v>78</v>
      </c>
      <c r="AA1687">
        <f t="shared" si="157"/>
        <v>1.0175438596491229</v>
      </c>
      <c r="AB1687">
        <f t="shared" si="158"/>
        <v>41</v>
      </c>
      <c r="AC1687" t="str">
        <f t="shared" si="159"/>
        <v>Medium</v>
      </c>
      <c r="AD1687" t="str">
        <f t="shared" si="160"/>
        <v>Nudge core feature adoption</v>
      </c>
      <c r="AE1687">
        <f t="shared" si="161"/>
        <v>22</v>
      </c>
    </row>
    <row r="1688" spans="1:31" x14ac:dyDescent="0.35">
      <c r="A1688" t="s">
        <v>1746</v>
      </c>
      <c r="B1688" s="4">
        <v>45382</v>
      </c>
      <c r="C1688" s="4">
        <v>46143</v>
      </c>
      <c r="D1688" t="s">
        <v>66</v>
      </c>
      <c r="E1688">
        <v>72</v>
      </c>
      <c r="F1688" t="s">
        <v>57</v>
      </c>
      <c r="G1688" t="s">
        <v>85</v>
      </c>
      <c r="H1688" t="s">
        <v>41</v>
      </c>
      <c r="I1688" t="s">
        <v>36</v>
      </c>
      <c r="J1688">
        <v>25</v>
      </c>
      <c r="K1688" s="5">
        <v>1279.73</v>
      </c>
      <c r="L1688" s="5">
        <v>162.72</v>
      </c>
      <c r="M1688">
        <v>18</v>
      </c>
      <c r="N1688">
        <v>10</v>
      </c>
      <c r="O1688">
        <v>2</v>
      </c>
      <c r="P1688">
        <v>2</v>
      </c>
      <c r="Q1688">
        <v>13</v>
      </c>
      <c r="R1688">
        <v>0</v>
      </c>
      <c r="S1688">
        <v>0</v>
      </c>
      <c r="T1688">
        <v>0</v>
      </c>
      <c r="U1688">
        <v>0</v>
      </c>
      <c r="V1688">
        <v>1</v>
      </c>
      <c r="W1688" t="s">
        <v>37</v>
      </c>
      <c r="X1688">
        <v>80</v>
      </c>
      <c r="Y1688">
        <v>0</v>
      </c>
      <c r="Z1688">
        <f t="shared" si="156"/>
        <v>51</v>
      </c>
      <c r="AA1688">
        <f t="shared" si="157"/>
        <v>0.5636363636363636</v>
      </c>
      <c r="AB1688">
        <f t="shared" si="158"/>
        <v>0</v>
      </c>
      <c r="AC1688" t="str">
        <f t="shared" si="159"/>
        <v>Low</v>
      </c>
      <c r="AD1688" t="str">
        <f t="shared" si="160"/>
        <v>Upsell premium bundle</v>
      </c>
      <c r="AE1688">
        <f t="shared" si="161"/>
        <v>49</v>
      </c>
    </row>
    <row r="1689" spans="1:31" x14ac:dyDescent="0.35">
      <c r="A1689" t="s">
        <v>1747</v>
      </c>
      <c r="B1689" s="4">
        <v>44793</v>
      </c>
      <c r="C1689" s="4">
        <v>46143</v>
      </c>
      <c r="D1689" t="s">
        <v>66</v>
      </c>
      <c r="E1689">
        <v>33</v>
      </c>
      <c r="F1689" t="s">
        <v>43</v>
      </c>
      <c r="G1689" t="s">
        <v>40</v>
      </c>
      <c r="H1689" t="s">
        <v>41</v>
      </c>
      <c r="I1689" t="s">
        <v>36</v>
      </c>
      <c r="J1689">
        <v>45</v>
      </c>
      <c r="K1689" s="5">
        <v>57.03</v>
      </c>
      <c r="L1689" s="5">
        <v>31.98</v>
      </c>
      <c r="M1689">
        <v>15</v>
      </c>
      <c r="N1689">
        <v>6</v>
      </c>
      <c r="O1689">
        <v>1</v>
      </c>
      <c r="P1689">
        <v>2</v>
      </c>
      <c r="Q1689">
        <v>9</v>
      </c>
      <c r="R1689">
        <v>1</v>
      </c>
      <c r="S1689">
        <v>0</v>
      </c>
      <c r="T1689">
        <v>0</v>
      </c>
      <c r="U1689">
        <v>1</v>
      </c>
      <c r="V1689">
        <v>1</v>
      </c>
      <c r="W1689" t="s">
        <v>45</v>
      </c>
      <c r="X1689">
        <v>56</v>
      </c>
      <c r="Y1689">
        <v>0</v>
      </c>
      <c r="Z1689">
        <f t="shared" si="156"/>
        <v>48</v>
      </c>
      <c r="AA1689">
        <f t="shared" si="157"/>
        <v>0.32</v>
      </c>
      <c r="AB1689">
        <f t="shared" si="158"/>
        <v>9</v>
      </c>
      <c r="AC1689" t="str">
        <f t="shared" si="159"/>
        <v>Low</v>
      </c>
      <c r="AD1689" t="str">
        <f t="shared" si="160"/>
        <v>Upsell premium bundle</v>
      </c>
      <c r="AE1689">
        <f t="shared" si="161"/>
        <v>52</v>
      </c>
    </row>
    <row r="1690" spans="1:31" x14ac:dyDescent="0.35">
      <c r="A1690" t="s">
        <v>1748</v>
      </c>
      <c r="B1690" s="4">
        <v>44980</v>
      </c>
      <c r="C1690" s="4">
        <v>46143</v>
      </c>
      <c r="D1690" t="s">
        <v>66</v>
      </c>
      <c r="E1690">
        <v>70</v>
      </c>
      <c r="F1690" t="s">
        <v>61</v>
      </c>
      <c r="G1690" t="s">
        <v>67</v>
      </c>
      <c r="H1690" t="s">
        <v>58</v>
      </c>
      <c r="I1690" t="s">
        <v>36</v>
      </c>
      <c r="J1690">
        <v>38</v>
      </c>
      <c r="K1690" s="5">
        <v>2418.59</v>
      </c>
      <c r="L1690" s="5">
        <v>3855.37</v>
      </c>
      <c r="M1690">
        <v>39</v>
      </c>
      <c r="N1690">
        <v>15</v>
      </c>
      <c r="O1690">
        <v>11</v>
      </c>
      <c r="P1690">
        <v>3</v>
      </c>
      <c r="Q1690">
        <v>23</v>
      </c>
      <c r="R1690">
        <v>5</v>
      </c>
      <c r="S1690">
        <v>2</v>
      </c>
      <c r="T1690">
        <v>1</v>
      </c>
      <c r="U1690">
        <v>0</v>
      </c>
      <c r="V1690">
        <v>1</v>
      </c>
      <c r="W1690" t="s">
        <v>37</v>
      </c>
      <c r="X1690">
        <v>-3</v>
      </c>
      <c r="Y1690">
        <v>0</v>
      </c>
      <c r="Z1690">
        <f t="shared" si="156"/>
        <v>99</v>
      </c>
      <c r="AA1690">
        <f t="shared" si="157"/>
        <v>0.91176470588235292</v>
      </c>
      <c r="AB1690">
        <f t="shared" si="158"/>
        <v>8</v>
      </c>
      <c r="AC1690" t="str">
        <f t="shared" si="159"/>
        <v>Low</v>
      </c>
      <c r="AD1690" t="str">
        <f t="shared" si="160"/>
        <v>Upsell premium bundle</v>
      </c>
      <c r="AE1690">
        <f t="shared" si="161"/>
        <v>1</v>
      </c>
    </row>
    <row r="1691" spans="1:31" x14ac:dyDescent="0.35">
      <c r="A1691" t="s">
        <v>1749</v>
      </c>
      <c r="B1691" s="4">
        <v>45256</v>
      </c>
      <c r="C1691" s="4">
        <v>46143</v>
      </c>
      <c r="D1691" t="s">
        <v>47</v>
      </c>
      <c r="E1691">
        <v>49</v>
      </c>
      <c r="F1691" t="s">
        <v>33</v>
      </c>
      <c r="G1691" t="s">
        <v>34</v>
      </c>
      <c r="H1691" t="s">
        <v>41</v>
      </c>
      <c r="I1691" t="s">
        <v>36</v>
      </c>
      <c r="J1691">
        <v>29</v>
      </c>
      <c r="K1691" s="5">
        <v>0</v>
      </c>
      <c r="L1691" s="5">
        <v>232.62</v>
      </c>
      <c r="M1691">
        <v>25</v>
      </c>
      <c r="N1691">
        <v>17</v>
      </c>
      <c r="O1691">
        <v>6</v>
      </c>
      <c r="P1691">
        <v>3</v>
      </c>
      <c r="Q1691">
        <v>27</v>
      </c>
      <c r="R1691">
        <v>0</v>
      </c>
      <c r="S1691">
        <v>1</v>
      </c>
      <c r="T1691">
        <v>1</v>
      </c>
      <c r="U1691">
        <v>0</v>
      </c>
      <c r="V1691">
        <v>1</v>
      </c>
      <c r="W1691" t="s">
        <v>37</v>
      </c>
      <c r="X1691">
        <v>60</v>
      </c>
      <c r="Y1691">
        <v>0</v>
      </c>
      <c r="Z1691">
        <f t="shared" si="156"/>
        <v>82</v>
      </c>
      <c r="AA1691">
        <f t="shared" si="157"/>
        <v>0.88135593220338981</v>
      </c>
      <c r="AB1691">
        <f t="shared" si="158"/>
        <v>3</v>
      </c>
      <c r="AC1691" t="str">
        <f t="shared" si="159"/>
        <v>Low</v>
      </c>
      <c r="AD1691" t="str">
        <f t="shared" si="160"/>
        <v>Upsell premium bundle</v>
      </c>
      <c r="AE1691">
        <f t="shared" si="161"/>
        <v>18</v>
      </c>
    </row>
    <row r="1692" spans="1:31" x14ac:dyDescent="0.35">
      <c r="A1692" t="s">
        <v>1750</v>
      </c>
      <c r="B1692" s="4">
        <v>45941</v>
      </c>
      <c r="C1692" s="4">
        <v>46143</v>
      </c>
      <c r="D1692" t="s">
        <v>60</v>
      </c>
      <c r="E1692">
        <v>63</v>
      </c>
      <c r="F1692" t="s">
        <v>33</v>
      </c>
      <c r="G1692" t="s">
        <v>85</v>
      </c>
      <c r="H1692" t="s">
        <v>44</v>
      </c>
      <c r="I1692" t="s">
        <v>36</v>
      </c>
      <c r="J1692">
        <v>6</v>
      </c>
      <c r="K1692" s="5">
        <v>236.63</v>
      </c>
      <c r="L1692" s="5">
        <v>8.35</v>
      </c>
      <c r="M1692">
        <v>31</v>
      </c>
      <c r="N1692">
        <v>7</v>
      </c>
      <c r="O1692">
        <v>3</v>
      </c>
      <c r="P1692">
        <v>6</v>
      </c>
      <c r="Q1692">
        <v>20</v>
      </c>
      <c r="R1692">
        <v>5</v>
      </c>
      <c r="S1692">
        <v>0</v>
      </c>
      <c r="T1692">
        <v>1</v>
      </c>
      <c r="U1692">
        <v>0</v>
      </c>
      <c r="V1692">
        <v>1</v>
      </c>
      <c r="W1692" t="s">
        <v>37</v>
      </c>
      <c r="X1692">
        <v>-26</v>
      </c>
      <c r="Y1692">
        <v>1</v>
      </c>
      <c r="Z1692">
        <f t="shared" si="156"/>
        <v>76</v>
      </c>
      <c r="AA1692">
        <f t="shared" si="157"/>
        <v>1.4166666666666667</v>
      </c>
      <c r="AB1692">
        <f t="shared" si="158"/>
        <v>23</v>
      </c>
      <c r="AC1692" t="str">
        <f t="shared" si="159"/>
        <v>Low</v>
      </c>
      <c r="AD1692" t="str">
        <f t="shared" si="160"/>
        <v>Upsell premium bundle</v>
      </c>
      <c r="AE1692">
        <f t="shared" si="161"/>
        <v>24</v>
      </c>
    </row>
    <row r="1693" spans="1:31" x14ac:dyDescent="0.35">
      <c r="A1693" t="s">
        <v>1751</v>
      </c>
      <c r="B1693" s="4">
        <v>45913</v>
      </c>
      <c r="C1693" s="4">
        <v>46143</v>
      </c>
      <c r="D1693" t="s">
        <v>60</v>
      </c>
      <c r="E1693">
        <v>35</v>
      </c>
      <c r="F1693" t="s">
        <v>33</v>
      </c>
      <c r="G1693" t="s">
        <v>67</v>
      </c>
      <c r="H1693" t="s">
        <v>44</v>
      </c>
      <c r="I1693" t="s">
        <v>36</v>
      </c>
      <c r="J1693">
        <v>7</v>
      </c>
      <c r="K1693" s="5">
        <v>836.6</v>
      </c>
      <c r="L1693" s="5">
        <v>55.89</v>
      </c>
      <c r="M1693">
        <v>36</v>
      </c>
      <c r="N1693">
        <v>14</v>
      </c>
      <c r="O1693">
        <v>9</v>
      </c>
      <c r="P1693">
        <v>2</v>
      </c>
      <c r="Q1693">
        <v>16</v>
      </c>
      <c r="R1693">
        <v>0</v>
      </c>
      <c r="S1693">
        <v>0</v>
      </c>
      <c r="T1693">
        <v>0</v>
      </c>
      <c r="U1693">
        <v>1</v>
      </c>
      <c r="V1693">
        <v>1</v>
      </c>
      <c r="W1693" t="s">
        <v>55</v>
      </c>
      <c r="X1693">
        <v>3</v>
      </c>
      <c r="Y1693">
        <v>0</v>
      </c>
      <c r="Z1693">
        <f t="shared" si="156"/>
        <v>92</v>
      </c>
      <c r="AA1693">
        <f t="shared" si="157"/>
        <v>1.4054054054054055</v>
      </c>
      <c r="AB1693">
        <f t="shared" si="158"/>
        <v>10</v>
      </c>
      <c r="AC1693" t="str">
        <f t="shared" si="159"/>
        <v>Low</v>
      </c>
      <c r="AD1693" t="str">
        <f t="shared" si="160"/>
        <v>Upsell premium bundle</v>
      </c>
      <c r="AE1693">
        <f t="shared" si="161"/>
        <v>8</v>
      </c>
    </row>
    <row r="1694" spans="1:31" x14ac:dyDescent="0.35">
      <c r="A1694" t="s">
        <v>1752</v>
      </c>
      <c r="B1694" s="4">
        <v>45229</v>
      </c>
      <c r="C1694" s="4">
        <v>46143</v>
      </c>
      <c r="D1694" t="s">
        <v>32</v>
      </c>
      <c r="E1694">
        <v>37</v>
      </c>
      <c r="F1694" t="s">
        <v>57</v>
      </c>
      <c r="G1694" t="s">
        <v>85</v>
      </c>
      <c r="H1694" t="s">
        <v>41</v>
      </c>
      <c r="I1694" t="s">
        <v>36</v>
      </c>
      <c r="J1694">
        <v>30</v>
      </c>
      <c r="K1694" s="5">
        <v>255.7</v>
      </c>
      <c r="L1694" s="5">
        <v>1215.72</v>
      </c>
      <c r="M1694">
        <v>16</v>
      </c>
      <c r="N1694">
        <v>6</v>
      </c>
      <c r="O1694">
        <v>1</v>
      </c>
      <c r="P1694">
        <v>1</v>
      </c>
      <c r="Q1694">
        <v>16</v>
      </c>
      <c r="R1694">
        <v>1</v>
      </c>
      <c r="S1694">
        <v>0</v>
      </c>
      <c r="T1694">
        <v>0</v>
      </c>
      <c r="U1694">
        <v>0</v>
      </c>
      <c r="V1694">
        <v>0</v>
      </c>
      <c r="W1694" t="s">
        <v>55</v>
      </c>
      <c r="X1694">
        <v>6</v>
      </c>
      <c r="Y1694">
        <v>0</v>
      </c>
      <c r="Z1694">
        <f t="shared" si="156"/>
        <v>39</v>
      </c>
      <c r="AA1694">
        <f t="shared" si="157"/>
        <v>0.53333333333333333</v>
      </c>
      <c r="AB1694">
        <f t="shared" si="158"/>
        <v>38</v>
      </c>
      <c r="AC1694" t="str">
        <f t="shared" si="159"/>
        <v>Low</v>
      </c>
      <c r="AD1694" t="str">
        <f t="shared" si="160"/>
        <v>Upsell premium bundle</v>
      </c>
      <c r="AE1694">
        <f t="shared" si="161"/>
        <v>61</v>
      </c>
    </row>
    <row r="1695" spans="1:31" x14ac:dyDescent="0.35">
      <c r="A1695" t="s">
        <v>1753</v>
      </c>
      <c r="B1695" s="4">
        <v>46049</v>
      </c>
      <c r="C1695" s="4">
        <v>46143</v>
      </c>
      <c r="D1695" t="s">
        <v>32</v>
      </c>
      <c r="E1695">
        <v>20</v>
      </c>
      <c r="F1695" t="s">
        <v>33</v>
      </c>
      <c r="G1695" t="s">
        <v>34</v>
      </c>
      <c r="H1695" t="s">
        <v>41</v>
      </c>
      <c r="I1695" t="s">
        <v>36</v>
      </c>
      <c r="J1695">
        <v>3</v>
      </c>
      <c r="K1695" s="5">
        <v>398.02</v>
      </c>
      <c r="L1695" s="5">
        <v>218.15</v>
      </c>
      <c r="M1695">
        <v>6</v>
      </c>
      <c r="N1695">
        <v>4</v>
      </c>
      <c r="O1695">
        <v>1</v>
      </c>
      <c r="P1695">
        <v>0</v>
      </c>
      <c r="Q1695">
        <v>9</v>
      </c>
      <c r="R1695">
        <v>3</v>
      </c>
      <c r="S1695">
        <v>2</v>
      </c>
      <c r="T1695">
        <v>1</v>
      </c>
      <c r="U1695">
        <v>1</v>
      </c>
      <c r="V1695">
        <v>1</v>
      </c>
      <c r="W1695" t="s">
        <v>52</v>
      </c>
      <c r="X1695">
        <v>17</v>
      </c>
      <c r="Y1695">
        <v>1</v>
      </c>
      <c r="Z1695">
        <f t="shared" si="156"/>
        <v>34</v>
      </c>
      <c r="AA1695">
        <f t="shared" si="157"/>
        <v>0.45454545454545453</v>
      </c>
      <c r="AB1695">
        <f t="shared" si="158"/>
        <v>47</v>
      </c>
      <c r="AC1695" t="str">
        <f t="shared" si="159"/>
        <v>Medium</v>
      </c>
      <c r="AD1695" t="str">
        <f t="shared" si="160"/>
        <v>Nudge core feature adoption</v>
      </c>
      <c r="AE1695">
        <f t="shared" si="161"/>
        <v>66</v>
      </c>
    </row>
    <row r="1696" spans="1:31" x14ac:dyDescent="0.35">
      <c r="A1696" t="s">
        <v>1754</v>
      </c>
      <c r="B1696" s="4">
        <v>45959</v>
      </c>
      <c r="C1696" s="4">
        <v>46143</v>
      </c>
      <c r="D1696" t="s">
        <v>39</v>
      </c>
      <c r="E1696">
        <v>42</v>
      </c>
      <c r="F1696" t="s">
        <v>43</v>
      </c>
      <c r="G1696" t="s">
        <v>34</v>
      </c>
      <c r="H1696" t="s">
        <v>58</v>
      </c>
      <c r="I1696" t="s">
        <v>36</v>
      </c>
      <c r="J1696">
        <v>6</v>
      </c>
      <c r="K1696" s="5">
        <v>44.02</v>
      </c>
      <c r="L1696" s="5">
        <v>11.58</v>
      </c>
      <c r="M1696">
        <v>30</v>
      </c>
      <c r="N1696">
        <v>9</v>
      </c>
      <c r="O1696">
        <v>8</v>
      </c>
      <c r="P1696">
        <v>3</v>
      </c>
      <c r="Q1696">
        <v>27</v>
      </c>
      <c r="R1696">
        <v>2</v>
      </c>
      <c r="S1696">
        <v>1</v>
      </c>
      <c r="T1696">
        <v>1</v>
      </c>
      <c r="U1696">
        <v>1</v>
      </c>
      <c r="V1696">
        <v>0</v>
      </c>
      <c r="W1696" t="s">
        <v>37</v>
      </c>
      <c r="X1696">
        <v>22</v>
      </c>
      <c r="Y1696">
        <v>0</v>
      </c>
      <c r="Z1696">
        <f t="shared" si="156"/>
        <v>85</v>
      </c>
      <c r="AA1696">
        <f t="shared" si="157"/>
        <v>1.5833333333333333</v>
      </c>
      <c r="AB1696">
        <f t="shared" si="158"/>
        <v>8</v>
      </c>
      <c r="AC1696" t="str">
        <f t="shared" si="159"/>
        <v>Low</v>
      </c>
      <c r="AD1696" t="str">
        <f t="shared" si="160"/>
        <v>Upsell premium bundle</v>
      </c>
      <c r="AE1696">
        <f t="shared" si="161"/>
        <v>15</v>
      </c>
    </row>
    <row r="1697" spans="1:31" x14ac:dyDescent="0.35">
      <c r="A1697" t="s">
        <v>1755</v>
      </c>
      <c r="B1697" s="4">
        <v>45696</v>
      </c>
      <c r="C1697" s="4">
        <v>46143</v>
      </c>
      <c r="D1697" t="s">
        <v>39</v>
      </c>
      <c r="E1697">
        <v>43</v>
      </c>
      <c r="F1697" t="s">
        <v>33</v>
      </c>
      <c r="G1697" t="s">
        <v>63</v>
      </c>
      <c r="H1697" t="s">
        <v>41</v>
      </c>
      <c r="I1697" t="s">
        <v>36</v>
      </c>
      <c r="J1697">
        <v>14</v>
      </c>
      <c r="K1697" s="5">
        <v>566.79999999999995</v>
      </c>
      <c r="L1697" s="5">
        <v>502.55</v>
      </c>
      <c r="M1697">
        <v>16</v>
      </c>
      <c r="N1697">
        <v>7</v>
      </c>
      <c r="O1697">
        <v>2</v>
      </c>
      <c r="P1697">
        <v>2</v>
      </c>
      <c r="Q1697">
        <v>22</v>
      </c>
      <c r="R1697">
        <v>1</v>
      </c>
      <c r="S1697">
        <v>0</v>
      </c>
      <c r="T1697">
        <v>0</v>
      </c>
      <c r="U1697">
        <v>0</v>
      </c>
      <c r="V1697">
        <v>0</v>
      </c>
      <c r="W1697" t="s">
        <v>37</v>
      </c>
      <c r="X1697">
        <v>82</v>
      </c>
      <c r="Y1697">
        <v>0</v>
      </c>
      <c r="Z1697">
        <f t="shared" si="156"/>
        <v>48</v>
      </c>
      <c r="AA1697">
        <f t="shared" si="157"/>
        <v>0.86363636363636365</v>
      </c>
      <c r="AB1697">
        <f t="shared" si="158"/>
        <v>0</v>
      </c>
      <c r="AC1697" t="str">
        <f t="shared" si="159"/>
        <v>Low</v>
      </c>
      <c r="AD1697" t="str">
        <f t="shared" si="160"/>
        <v>Upsell premium bundle</v>
      </c>
      <c r="AE1697">
        <f t="shared" si="161"/>
        <v>52</v>
      </c>
    </row>
    <row r="1698" spans="1:31" x14ac:dyDescent="0.35">
      <c r="A1698" t="s">
        <v>1756</v>
      </c>
      <c r="B1698" s="4">
        <v>44834</v>
      </c>
      <c r="C1698" s="4">
        <v>46143</v>
      </c>
      <c r="D1698" t="s">
        <v>39</v>
      </c>
      <c r="E1698">
        <v>66</v>
      </c>
      <c r="F1698" t="s">
        <v>43</v>
      </c>
      <c r="G1698" t="s">
        <v>40</v>
      </c>
      <c r="H1698" t="s">
        <v>41</v>
      </c>
      <c r="I1698" t="s">
        <v>36</v>
      </c>
      <c r="J1698">
        <v>43</v>
      </c>
      <c r="K1698" s="5">
        <v>0</v>
      </c>
      <c r="L1698" s="5">
        <v>58.21</v>
      </c>
      <c r="M1698">
        <v>27</v>
      </c>
      <c r="N1698">
        <v>11</v>
      </c>
      <c r="O1698">
        <v>1</v>
      </c>
      <c r="P1698">
        <v>4</v>
      </c>
      <c r="Q1698">
        <v>20</v>
      </c>
      <c r="R1698">
        <v>5</v>
      </c>
      <c r="S1698">
        <v>0</v>
      </c>
      <c r="T1698">
        <v>1</v>
      </c>
      <c r="U1698">
        <v>0</v>
      </c>
      <c r="V1698">
        <v>1</v>
      </c>
      <c r="W1698" t="s">
        <v>45</v>
      </c>
      <c r="X1698">
        <v>-1</v>
      </c>
      <c r="Y1698">
        <v>0</v>
      </c>
      <c r="Z1698">
        <f t="shared" si="156"/>
        <v>69</v>
      </c>
      <c r="AA1698">
        <f t="shared" si="157"/>
        <v>0.64383561643835618</v>
      </c>
      <c r="AB1698">
        <f t="shared" si="158"/>
        <v>23</v>
      </c>
      <c r="AC1698" t="str">
        <f t="shared" si="159"/>
        <v>Low</v>
      </c>
      <c r="AD1698" t="str">
        <f t="shared" si="160"/>
        <v>Upsell premium bundle</v>
      </c>
      <c r="AE1698">
        <f t="shared" si="161"/>
        <v>31</v>
      </c>
    </row>
    <row r="1699" spans="1:31" x14ac:dyDescent="0.35">
      <c r="A1699" t="s">
        <v>1757</v>
      </c>
      <c r="B1699" s="4">
        <v>44870</v>
      </c>
      <c r="C1699" s="4">
        <v>46143</v>
      </c>
      <c r="D1699" t="s">
        <v>60</v>
      </c>
      <c r="E1699">
        <v>68</v>
      </c>
      <c r="F1699" t="s">
        <v>33</v>
      </c>
      <c r="G1699" t="s">
        <v>67</v>
      </c>
      <c r="H1699" t="s">
        <v>58</v>
      </c>
      <c r="I1699" t="s">
        <v>36</v>
      </c>
      <c r="J1699">
        <v>42</v>
      </c>
      <c r="K1699" s="5">
        <v>577.24</v>
      </c>
      <c r="L1699" s="5">
        <v>0</v>
      </c>
      <c r="M1699">
        <v>54</v>
      </c>
      <c r="N1699">
        <v>35</v>
      </c>
      <c r="O1699">
        <v>3</v>
      </c>
      <c r="P1699">
        <v>7</v>
      </c>
      <c r="Q1699">
        <v>38</v>
      </c>
      <c r="R1699">
        <v>0</v>
      </c>
      <c r="S1699">
        <v>0</v>
      </c>
      <c r="T1699">
        <v>0</v>
      </c>
      <c r="U1699">
        <v>0</v>
      </c>
      <c r="V1699">
        <v>0</v>
      </c>
      <c r="W1699" t="s">
        <v>55</v>
      </c>
      <c r="X1699">
        <v>56</v>
      </c>
      <c r="Y1699">
        <v>0</v>
      </c>
      <c r="Z1699">
        <f t="shared" si="156"/>
        <v>100</v>
      </c>
      <c r="AA1699">
        <f t="shared" si="157"/>
        <v>1.2777777777777777</v>
      </c>
      <c r="AB1699">
        <f t="shared" si="158"/>
        <v>0</v>
      </c>
      <c r="AC1699" t="str">
        <f t="shared" si="159"/>
        <v>Low</v>
      </c>
      <c r="AD1699" t="str">
        <f t="shared" si="160"/>
        <v>Upsell premium bundle</v>
      </c>
      <c r="AE1699">
        <f t="shared" si="161"/>
        <v>0</v>
      </c>
    </row>
    <row r="1700" spans="1:31" x14ac:dyDescent="0.35">
      <c r="A1700" t="s">
        <v>1758</v>
      </c>
      <c r="B1700" s="4">
        <v>44871</v>
      </c>
      <c r="C1700" s="4">
        <v>46143</v>
      </c>
      <c r="D1700" t="s">
        <v>60</v>
      </c>
      <c r="E1700">
        <v>63</v>
      </c>
      <c r="F1700" t="s">
        <v>43</v>
      </c>
      <c r="G1700" t="s">
        <v>85</v>
      </c>
      <c r="H1700" t="s">
        <v>41</v>
      </c>
      <c r="I1700" t="s">
        <v>36</v>
      </c>
      <c r="J1700">
        <v>42</v>
      </c>
      <c r="K1700" s="5">
        <v>143.38999999999999</v>
      </c>
      <c r="L1700" s="5">
        <v>60.5</v>
      </c>
      <c r="M1700">
        <v>38</v>
      </c>
      <c r="N1700">
        <v>20</v>
      </c>
      <c r="O1700">
        <v>9</v>
      </c>
      <c r="P1700">
        <v>8</v>
      </c>
      <c r="Q1700">
        <v>22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55</v>
      </c>
      <c r="X1700">
        <v>22</v>
      </c>
      <c r="Y1700">
        <v>0</v>
      </c>
      <c r="Z1700">
        <f t="shared" si="156"/>
        <v>98</v>
      </c>
      <c r="AA1700">
        <f t="shared" si="157"/>
        <v>0.83333333333333337</v>
      </c>
      <c r="AB1700">
        <f t="shared" si="158"/>
        <v>8</v>
      </c>
      <c r="AC1700" t="str">
        <f t="shared" si="159"/>
        <v>Low</v>
      </c>
      <c r="AD1700" t="str">
        <f t="shared" si="160"/>
        <v>Upsell premium bundle</v>
      </c>
      <c r="AE1700">
        <f t="shared" si="161"/>
        <v>2</v>
      </c>
    </row>
    <row r="1701" spans="1:31" x14ac:dyDescent="0.35">
      <c r="A1701" t="s">
        <v>1759</v>
      </c>
      <c r="B1701" s="4">
        <v>45711</v>
      </c>
      <c r="C1701" s="4">
        <v>46143</v>
      </c>
      <c r="D1701" t="s">
        <v>32</v>
      </c>
      <c r="E1701">
        <v>51</v>
      </c>
      <c r="F1701" t="s">
        <v>57</v>
      </c>
      <c r="G1701" t="s">
        <v>40</v>
      </c>
      <c r="H1701" t="s">
        <v>41</v>
      </c>
      <c r="I1701" t="s">
        <v>36</v>
      </c>
      <c r="J1701">
        <v>14</v>
      </c>
      <c r="K1701" s="5">
        <v>2022.12</v>
      </c>
      <c r="L1701" s="5">
        <v>1208.8800000000001</v>
      </c>
      <c r="M1701">
        <v>35</v>
      </c>
      <c r="N1701">
        <v>17</v>
      </c>
      <c r="O1701">
        <v>6</v>
      </c>
      <c r="P1701">
        <v>0</v>
      </c>
      <c r="Q1701">
        <v>43</v>
      </c>
      <c r="R1701">
        <v>0</v>
      </c>
      <c r="S1701">
        <v>1</v>
      </c>
      <c r="T1701">
        <v>1</v>
      </c>
      <c r="U1701">
        <v>0</v>
      </c>
      <c r="V1701">
        <v>0</v>
      </c>
      <c r="W1701" t="s">
        <v>45</v>
      </c>
      <c r="X1701">
        <v>-7</v>
      </c>
      <c r="Y1701">
        <v>0</v>
      </c>
      <c r="Z1701">
        <f t="shared" si="156"/>
        <v>96</v>
      </c>
      <c r="AA1701">
        <f t="shared" si="157"/>
        <v>1.7727272727272727</v>
      </c>
      <c r="AB1701">
        <f t="shared" si="158"/>
        <v>31</v>
      </c>
      <c r="AC1701" t="str">
        <f t="shared" si="159"/>
        <v>Low</v>
      </c>
      <c r="AD1701" t="str">
        <f t="shared" si="160"/>
        <v>Upsell premium bundle</v>
      </c>
      <c r="AE1701">
        <f t="shared" si="161"/>
        <v>4</v>
      </c>
    </row>
    <row r="1702" spans="1:31" x14ac:dyDescent="0.35">
      <c r="A1702" t="s">
        <v>1760</v>
      </c>
      <c r="B1702" s="4">
        <v>45000</v>
      </c>
      <c r="C1702" s="4">
        <v>46143</v>
      </c>
      <c r="D1702" t="s">
        <v>66</v>
      </c>
      <c r="E1702">
        <v>44</v>
      </c>
      <c r="F1702" t="s">
        <v>33</v>
      </c>
      <c r="G1702" t="s">
        <v>40</v>
      </c>
      <c r="H1702" t="s">
        <v>41</v>
      </c>
      <c r="I1702" t="s">
        <v>36</v>
      </c>
      <c r="J1702">
        <v>38</v>
      </c>
      <c r="K1702" s="5">
        <v>251.68</v>
      </c>
      <c r="L1702" s="5">
        <v>0</v>
      </c>
      <c r="M1702">
        <v>51</v>
      </c>
      <c r="N1702">
        <v>33</v>
      </c>
      <c r="O1702">
        <v>6</v>
      </c>
      <c r="P1702">
        <v>11</v>
      </c>
      <c r="Q1702">
        <v>24</v>
      </c>
      <c r="R1702">
        <v>0</v>
      </c>
      <c r="S1702">
        <v>0</v>
      </c>
      <c r="T1702">
        <v>1</v>
      </c>
      <c r="U1702">
        <v>0</v>
      </c>
      <c r="V1702">
        <v>0</v>
      </c>
      <c r="W1702" t="s">
        <v>55</v>
      </c>
      <c r="X1702">
        <v>12</v>
      </c>
      <c r="Y1702">
        <v>0</v>
      </c>
      <c r="Z1702">
        <f t="shared" si="156"/>
        <v>100</v>
      </c>
      <c r="AA1702">
        <f t="shared" si="157"/>
        <v>1.1029411764705883</v>
      </c>
      <c r="AB1702">
        <f t="shared" si="158"/>
        <v>12</v>
      </c>
      <c r="AC1702" t="str">
        <f t="shared" si="159"/>
        <v>Low</v>
      </c>
      <c r="AD1702" t="str">
        <f t="shared" si="160"/>
        <v>Upsell premium bundle</v>
      </c>
      <c r="AE1702">
        <f t="shared" si="161"/>
        <v>0</v>
      </c>
    </row>
    <row r="1703" spans="1:31" x14ac:dyDescent="0.35">
      <c r="A1703" t="s">
        <v>1761</v>
      </c>
      <c r="B1703" s="4">
        <v>46068</v>
      </c>
      <c r="C1703" s="4">
        <v>46143</v>
      </c>
      <c r="D1703" t="s">
        <v>39</v>
      </c>
      <c r="E1703">
        <v>36</v>
      </c>
      <c r="F1703" t="s">
        <v>61</v>
      </c>
      <c r="G1703" t="s">
        <v>63</v>
      </c>
      <c r="H1703" t="s">
        <v>41</v>
      </c>
      <c r="I1703" t="s">
        <v>36</v>
      </c>
      <c r="J1703">
        <v>2</v>
      </c>
      <c r="K1703" s="5">
        <v>4341.33</v>
      </c>
      <c r="L1703" s="5">
        <v>618.37</v>
      </c>
      <c r="M1703">
        <v>29</v>
      </c>
      <c r="N1703">
        <v>15</v>
      </c>
      <c r="O1703">
        <v>6</v>
      </c>
      <c r="P1703">
        <v>0</v>
      </c>
      <c r="Q1703">
        <v>11</v>
      </c>
      <c r="R1703">
        <v>1</v>
      </c>
      <c r="S1703">
        <v>0</v>
      </c>
      <c r="T1703">
        <v>1</v>
      </c>
      <c r="U1703">
        <v>1</v>
      </c>
      <c r="V1703">
        <v>1</v>
      </c>
      <c r="W1703" t="s">
        <v>55</v>
      </c>
      <c r="X1703">
        <v>11</v>
      </c>
      <c r="Y1703">
        <v>0</v>
      </c>
      <c r="Z1703">
        <f t="shared" si="156"/>
        <v>75</v>
      </c>
      <c r="AA1703">
        <f t="shared" si="157"/>
        <v>1.25</v>
      </c>
      <c r="AB1703">
        <f t="shared" si="158"/>
        <v>21</v>
      </c>
      <c r="AC1703" t="str">
        <f t="shared" si="159"/>
        <v>Low</v>
      </c>
      <c r="AD1703" t="str">
        <f t="shared" si="160"/>
        <v>Upsell premium bundle</v>
      </c>
      <c r="AE1703">
        <f t="shared" si="161"/>
        <v>25</v>
      </c>
    </row>
    <row r="1704" spans="1:31" x14ac:dyDescent="0.35">
      <c r="A1704" t="s">
        <v>1762</v>
      </c>
      <c r="B1704" s="4">
        <v>45542</v>
      </c>
      <c r="C1704" s="4">
        <v>46143</v>
      </c>
      <c r="D1704" t="s">
        <v>72</v>
      </c>
      <c r="E1704">
        <v>25</v>
      </c>
      <c r="F1704" t="s">
        <v>43</v>
      </c>
      <c r="G1704" t="s">
        <v>67</v>
      </c>
      <c r="H1704" t="s">
        <v>41</v>
      </c>
      <c r="I1704" t="s">
        <v>36</v>
      </c>
      <c r="J1704">
        <v>20</v>
      </c>
      <c r="K1704" s="5">
        <v>189.91</v>
      </c>
      <c r="L1704" s="5">
        <v>116.12</v>
      </c>
      <c r="M1704">
        <v>27</v>
      </c>
      <c r="N1704">
        <v>11</v>
      </c>
      <c r="O1704">
        <v>1</v>
      </c>
      <c r="P1704">
        <v>3</v>
      </c>
      <c r="Q1704">
        <v>7</v>
      </c>
      <c r="R1704">
        <v>0</v>
      </c>
      <c r="S1704">
        <v>0</v>
      </c>
      <c r="T1704">
        <v>1</v>
      </c>
      <c r="U1704">
        <v>0</v>
      </c>
      <c r="V1704">
        <v>0</v>
      </c>
      <c r="W1704" t="s">
        <v>45</v>
      </c>
      <c r="X1704">
        <v>26</v>
      </c>
      <c r="Y1704">
        <v>0</v>
      </c>
      <c r="Z1704">
        <f t="shared" si="156"/>
        <v>49</v>
      </c>
      <c r="AA1704">
        <f t="shared" si="157"/>
        <v>0.68</v>
      </c>
      <c r="AB1704">
        <f t="shared" si="158"/>
        <v>25</v>
      </c>
      <c r="AC1704" t="str">
        <f t="shared" si="159"/>
        <v>Low</v>
      </c>
      <c r="AD1704" t="str">
        <f t="shared" si="160"/>
        <v>Upsell premium bundle</v>
      </c>
      <c r="AE1704">
        <f t="shared" si="161"/>
        <v>51</v>
      </c>
    </row>
    <row r="1705" spans="1:31" x14ac:dyDescent="0.35">
      <c r="A1705" t="s">
        <v>1763</v>
      </c>
      <c r="B1705" s="4">
        <v>45661</v>
      </c>
      <c r="C1705" s="4">
        <v>46143</v>
      </c>
      <c r="D1705" t="s">
        <v>39</v>
      </c>
      <c r="E1705">
        <v>67</v>
      </c>
      <c r="F1705" t="s">
        <v>61</v>
      </c>
      <c r="G1705" t="s">
        <v>48</v>
      </c>
      <c r="H1705" t="s">
        <v>58</v>
      </c>
      <c r="I1705" t="s">
        <v>36</v>
      </c>
      <c r="J1705">
        <v>16</v>
      </c>
      <c r="K1705" s="5">
        <v>4359.67</v>
      </c>
      <c r="L1705" s="5">
        <v>47.54</v>
      </c>
      <c r="M1705">
        <v>31</v>
      </c>
      <c r="N1705">
        <v>20</v>
      </c>
      <c r="O1705">
        <v>6</v>
      </c>
      <c r="P1705">
        <v>1</v>
      </c>
      <c r="Q1705">
        <v>27</v>
      </c>
      <c r="R1705">
        <v>0</v>
      </c>
      <c r="S1705">
        <v>1</v>
      </c>
      <c r="T1705">
        <v>1</v>
      </c>
      <c r="U1705">
        <v>0</v>
      </c>
      <c r="V1705">
        <v>0</v>
      </c>
      <c r="W1705" t="s">
        <v>50</v>
      </c>
      <c r="X1705">
        <v>28</v>
      </c>
      <c r="Y1705">
        <v>0</v>
      </c>
      <c r="Z1705">
        <f t="shared" si="156"/>
        <v>81</v>
      </c>
      <c r="AA1705">
        <f t="shared" si="157"/>
        <v>1.2608695652173914</v>
      </c>
      <c r="AB1705">
        <f t="shared" si="158"/>
        <v>10</v>
      </c>
      <c r="AC1705" t="str">
        <f t="shared" si="159"/>
        <v>Low</v>
      </c>
      <c r="AD1705" t="str">
        <f t="shared" si="160"/>
        <v>Upsell premium bundle</v>
      </c>
      <c r="AE1705">
        <f t="shared" si="161"/>
        <v>19</v>
      </c>
    </row>
    <row r="1706" spans="1:31" x14ac:dyDescent="0.35">
      <c r="A1706" t="s">
        <v>1764</v>
      </c>
      <c r="B1706" s="4">
        <v>45322</v>
      </c>
      <c r="C1706" s="4">
        <v>46143</v>
      </c>
      <c r="D1706" t="s">
        <v>72</v>
      </c>
      <c r="E1706">
        <v>63</v>
      </c>
      <c r="F1706" t="s">
        <v>33</v>
      </c>
      <c r="G1706" t="s">
        <v>40</v>
      </c>
      <c r="H1706" t="s">
        <v>41</v>
      </c>
      <c r="I1706" t="s">
        <v>36</v>
      </c>
      <c r="J1706">
        <v>27</v>
      </c>
      <c r="K1706" s="5">
        <v>657.75</v>
      </c>
      <c r="L1706" s="5">
        <v>0</v>
      </c>
      <c r="M1706">
        <v>3</v>
      </c>
      <c r="N1706">
        <v>1</v>
      </c>
      <c r="O1706">
        <v>0</v>
      </c>
      <c r="P1706">
        <v>0</v>
      </c>
      <c r="Q1706">
        <v>15</v>
      </c>
      <c r="R1706">
        <v>1</v>
      </c>
      <c r="S1706">
        <v>0</v>
      </c>
      <c r="T1706">
        <v>0</v>
      </c>
      <c r="U1706">
        <v>1</v>
      </c>
      <c r="V1706">
        <v>0</v>
      </c>
      <c r="W1706" t="s">
        <v>52</v>
      </c>
      <c r="X1706">
        <v>10</v>
      </c>
      <c r="Y1706">
        <v>1</v>
      </c>
      <c r="Z1706">
        <f t="shared" si="156"/>
        <v>26</v>
      </c>
      <c r="AA1706">
        <f t="shared" si="157"/>
        <v>0.31578947368421051</v>
      </c>
      <c r="AB1706">
        <f t="shared" si="158"/>
        <v>41</v>
      </c>
      <c r="AC1706" t="str">
        <f t="shared" si="159"/>
        <v>Medium</v>
      </c>
      <c r="AD1706" t="str">
        <f t="shared" si="160"/>
        <v>Nudge core feature adoption</v>
      </c>
      <c r="AE1706">
        <f t="shared" si="161"/>
        <v>74</v>
      </c>
    </row>
    <row r="1707" spans="1:31" x14ac:dyDescent="0.35">
      <c r="A1707" t="s">
        <v>1765</v>
      </c>
      <c r="B1707" s="4">
        <v>45428</v>
      </c>
      <c r="C1707" s="4">
        <v>46143</v>
      </c>
      <c r="D1707" t="s">
        <v>60</v>
      </c>
      <c r="E1707">
        <v>28</v>
      </c>
      <c r="F1707" t="s">
        <v>61</v>
      </c>
      <c r="G1707" t="s">
        <v>85</v>
      </c>
      <c r="H1707" t="s">
        <v>41</v>
      </c>
      <c r="I1707" t="s">
        <v>36</v>
      </c>
      <c r="J1707">
        <v>23</v>
      </c>
      <c r="K1707" s="5">
        <v>5867.9</v>
      </c>
      <c r="L1707" s="5">
        <v>2069.13</v>
      </c>
      <c r="M1707">
        <v>32</v>
      </c>
      <c r="N1707">
        <v>20</v>
      </c>
      <c r="O1707">
        <v>5</v>
      </c>
      <c r="P1707">
        <v>6</v>
      </c>
      <c r="Q1707">
        <v>28</v>
      </c>
      <c r="R1707">
        <v>1</v>
      </c>
      <c r="S1707">
        <v>0</v>
      </c>
      <c r="T1707">
        <v>0</v>
      </c>
      <c r="U1707">
        <v>0</v>
      </c>
      <c r="V1707">
        <v>1</v>
      </c>
      <c r="W1707" t="s">
        <v>52</v>
      </c>
      <c r="X1707">
        <v>16</v>
      </c>
      <c r="Y1707">
        <v>0</v>
      </c>
      <c r="Z1707">
        <f t="shared" si="156"/>
        <v>96</v>
      </c>
      <c r="AA1707">
        <f t="shared" si="157"/>
        <v>1.1320754716981132</v>
      </c>
      <c r="AB1707">
        <f t="shared" si="158"/>
        <v>0</v>
      </c>
      <c r="AC1707" t="str">
        <f t="shared" si="159"/>
        <v>Low</v>
      </c>
      <c r="AD1707" t="str">
        <f t="shared" si="160"/>
        <v>Upsell premium bundle</v>
      </c>
      <c r="AE1707">
        <f t="shared" si="161"/>
        <v>4</v>
      </c>
    </row>
    <row r="1708" spans="1:31" x14ac:dyDescent="0.35">
      <c r="A1708" t="s">
        <v>1766</v>
      </c>
      <c r="B1708" s="4">
        <v>45343</v>
      </c>
      <c r="C1708" s="4">
        <v>46143</v>
      </c>
      <c r="D1708" t="s">
        <v>32</v>
      </c>
      <c r="E1708">
        <v>66</v>
      </c>
      <c r="F1708" t="s">
        <v>33</v>
      </c>
      <c r="G1708" t="s">
        <v>40</v>
      </c>
      <c r="H1708" t="s">
        <v>41</v>
      </c>
      <c r="I1708" t="s">
        <v>36</v>
      </c>
      <c r="J1708">
        <v>26</v>
      </c>
      <c r="K1708" s="5">
        <v>333.15</v>
      </c>
      <c r="L1708" s="5">
        <v>241.98</v>
      </c>
      <c r="M1708">
        <v>26</v>
      </c>
      <c r="N1708">
        <v>11</v>
      </c>
      <c r="O1708">
        <v>5</v>
      </c>
      <c r="P1708">
        <v>0</v>
      </c>
      <c r="Q1708">
        <v>29</v>
      </c>
      <c r="R1708">
        <v>4</v>
      </c>
      <c r="S1708">
        <v>1</v>
      </c>
      <c r="T1708">
        <v>1</v>
      </c>
      <c r="U1708">
        <v>0</v>
      </c>
      <c r="V1708">
        <v>1</v>
      </c>
      <c r="W1708" t="s">
        <v>50</v>
      </c>
      <c r="X1708">
        <v>-42</v>
      </c>
      <c r="Y1708">
        <v>1</v>
      </c>
      <c r="Z1708">
        <f t="shared" si="156"/>
        <v>75</v>
      </c>
      <c r="AA1708">
        <f t="shared" si="157"/>
        <v>0.9821428571428571</v>
      </c>
      <c r="AB1708">
        <f t="shared" si="158"/>
        <v>51</v>
      </c>
      <c r="AC1708" t="str">
        <f t="shared" si="159"/>
        <v>Medium</v>
      </c>
      <c r="AD1708" t="str">
        <f t="shared" si="160"/>
        <v>Nudge core feature adoption</v>
      </c>
      <c r="AE1708">
        <f t="shared" si="161"/>
        <v>25</v>
      </c>
    </row>
    <row r="1709" spans="1:31" x14ac:dyDescent="0.35">
      <c r="A1709" t="s">
        <v>1767</v>
      </c>
      <c r="B1709" s="4">
        <v>44888</v>
      </c>
      <c r="C1709" s="4">
        <v>46143</v>
      </c>
      <c r="D1709" t="s">
        <v>72</v>
      </c>
      <c r="E1709">
        <v>29</v>
      </c>
      <c r="F1709" t="s">
        <v>33</v>
      </c>
      <c r="G1709" t="s">
        <v>67</v>
      </c>
      <c r="H1709" t="s">
        <v>41</v>
      </c>
      <c r="I1709" t="s">
        <v>36</v>
      </c>
      <c r="J1709">
        <v>41</v>
      </c>
      <c r="K1709" s="5">
        <v>482.72</v>
      </c>
      <c r="L1709" s="5">
        <v>343.68</v>
      </c>
      <c r="M1709">
        <v>19</v>
      </c>
      <c r="N1709">
        <v>10</v>
      </c>
      <c r="O1709">
        <v>5</v>
      </c>
      <c r="P1709">
        <v>0</v>
      </c>
      <c r="Q1709">
        <v>12</v>
      </c>
      <c r="R1709">
        <v>2</v>
      </c>
      <c r="S1709">
        <v>2</v>
      </c>
      <c r="T1709">
        <v>1</v>
      </c>
      <c r="U1709">
        <v>1</v>
      </c>
      <c r="V1709">
        <v>0</v>
      </c>
      <c r="W1709" t="s">
        <v>50</v>
      </c>
      <c r="X1709">
        <v>-17</v>
      </c>
      <c r="Y1709">
        <v>1</v>
      </c>
      <c r="Z1709">
        <f t="shared" si="156"/>
        <v>53</v>
      </c>
      <c r="AA1709">
        <f t="shared" si="157"/>
        <v>0.43661971830985913</v>
      </c>
      <c r="AB1709">
        <f t="shared" si="158"/>
        <v>58</v>
      </c>
      <c r="AC1709" t="str">
        <f t="shared" si="159"/>
        <v>Medium</v>
      </c>
      <c r="AD1709" t="str">
        <f t="shared" si="160"/>
        <v>Nudge core feature adoption</v>
      </c>
      <c r="AE1709">
        <f t="shared" si="161"/>
        <v>47</v>
      </c>
    </row>
    <row r="1710" spans="1:31" x14ac:dyDescent="0.35">
      <c r="A1710" t="s">
        <v>1768</v>
      </c>
      <c r="B1710" s="4">
        <v>44800</v>
      </c>
      <c r="C1710" s="4">
        <v>46143</v>
      </c>
      <c r="D1710" t="s">
        <v>39</v>
      </c>
      <c r="E1710">
        <v>51</v>
      </c>
      <c r="F1710" t="s">
        <v>33</v>
      </c>
      <c r="G1710" t="s">
        <v>40</v>
      </c>
      <c r="H1710" t="s">
        <v>44</v>
      </c>
      <c r="I1710" t="s">
        <v>36</v>
      </c>
      <c r="J1710">
        <v>44</v>
      </c>
      <c r="K1710" s="5">
        <v>145.57</v>
      </c>
      <c r="L1710" s="5">
        <v>0</v>
      </c>
      <c r="M1710">
        <v>24</v>
      </c>
      <c r="N1710">
        <v>13</v>
      </c>
      <c r="O1710">
        <v>4</v>
      </c>
      <c r="P1710">
        <v>4</v>
      </c>
      <c r="Q1710">
        <v>13</v>
      </c>
      <c r="R1710">
        <v>2</v>
      </c>
      <c r="S1710">
        <v>0</v>
      </c>
      <c r="T1710">
        <v>1</v>
      </c>
      <c r="U1710">
        <v>0</v>
      </c>
      <c r="V1710">
        <v>0</v>
      </c>
      <c r="W1710" t="s">
        <v>45</v>
      </c>
      <c r="X1710">
        <v>29</v>
      </c>
      <c r="Y1710">
        <v>1</v>
      </c>
      <c r="Z1710">
        <f t="shared" si="156"/>
        <v>58</v>
      </c>
      <c r="AA1710">
        <f t="shared" si="157"/>
        <v>0.5</v>
      </c>
      <c r="AB1710">
        <f t="shared" si="158"/>
        <v>7</v>
      </c>
      <c r="AC1710" t="str">
        <f t="shared" si="159"/>
        <v>Low</v>
      </c>
      <c r="AD1710" t="str">
        <f t="shared" si="160"/>
        <v>Upsell premium bundle</v>
      </c>
      <c r="AE1710">
        <f t="shared" si="161"/>
        <v>42</v>
      </c>
    </row>
    <row r="1711" spans="1:31" x14ac:dyDescent="0.35">
      <c r="A1711" t="s">
        <v>1769</v>
      </c>
      <c r="B1711" s="4">
        <v>44816</v>
      </c>
      <c r="C1711" s="4">
        <v>46143</v>
      </c>
      <c r="D1711" t="s">
        <v>47</v>
      </c>
      <c r="E1711">
        <v>44</v>
      </c>
      <c r="F1711" t="s">
        <v>61</v>
      </c>
      <c r="G1711" t="s">
        <v>85</v>
      </c>
      <c r="H1711" t="s">
        <v>41</v>
      </c>
      <c r="I1711" t="s">
        <v>36</v>
      </c>
      <c r="J1711">
        <v>44</v>
      </c>
      <c r="K1711" s="5">
        <v>1607.95</v>
      </c>
      <c r="L1711" s="5">
        <v>4596.8999999999996</v>
      </c>
      <c r="M1711">
        <v>16</v>
      </c>
      <c r="N1711">
        <v>9</v>
      </c>
      <c r="O1711">
        <v>4</v>
      </c>
      <c r="P1711">
        <v>0</v>
      </c>
      <c r="Q1711">
        <v>15</v>
      </c>
      <c r="R1711">
        <v>3</v>
      </c>
      <c r="S1711">
        <v>2</v>
      </c>
      <c r="T1711">
        <v>0</v>
      </c>
      <c r="U1711">
        <v>0</v>
      </c>
      <c r="V1711">
        <v>0</v>
      </c>
      <c r="W1711" t="s">
        <v>37</v>
      </c>
      <c r="X1711">
        <v>33</v>
      </c>
      <c r="Y1711">
        <v>1</v>
      </c>
      <c r="Z1711">
        <f t="shared" si="156"/>
        <v>42</v>
      </c>
      <c r="AA1711">
        <f t="shared" si="157"/>
        <v>0.41891891891891891</v>
      </c>
      <c r="AB1711">
        <f t="shared" si="158"/>
        <v>26</v>
      </c>
      <c r="AC1711" t="str">
        <f t="shared" si="159"/>
        <v>Low</v>
      </c>
      <c r="AD1711" t="str">
        <f t="shared" si="160"/>
        <v>Upsell premium bundle</v>
      </c>
      <c r="AE1711">
        <f t="shared" si="161"/>
        <v>58</v>
      </c>
    </row>
    <row r="1712" spans="1:31" x14ac:dyDescent="0.35">
      <c r="A1712" t="s">
        <v>1770</v>
      </c>
      <c r="B1712" s="4">
        <v>44977</v>
      </c>
      <c r="C1712" s="4">
        <v>46143</v>
      </c>
      <c r="D1712" t="s">
        <v>39</v>
      </c>
      <c r="E1712">
        <v>49</v>
      </c>
      <c r="F1712" t="s">
        <v>77</v>
      </c>
      <c r="G1712" t="s">
        <v>85</v>
      </c>
      <c r="H1712" t="s">
        <v>41</v>
      </c>
      <c r="I1712" t="s">
        <v>36</v>
      </c>
      <c r="J1712">
        <v>38</v>
      </c>
      <c r="K1712" s="5">
        <v>11265.42</v>
      </c>
      <c r="L1712" s="5">
        <v>4368.1000000000004</v>
      </c>
      <c r="M1712">
        <v>26</v>
      </c>
      <c r="N1712">
        <v>19</v>
      </c>
      <c r="O1712">
        <v>4</v>
      </c>
      <c r="P1712">
        <v>0</v>
      </c>
      <c r="Q1712">
        <v>14</v>
      </c>
      <c r="R1712">
        <v>1</v>
      </c>
      <c r="S1712">
        <v>1</v>
      </c>
      <c r="T1712">
        <v>1</v>
      </c>
      <c r="U1712">
        <v>1</v>
      </c>
      <c r="V1712">
        <v>1</v>
      </c>
      <c r="W1712" t="s">
        <v>52</v>
      </c>
      <c r="X1712">
        <v>40</v>
      </c>
      <c r="Y1712">
        <v>0</v>
      </c>
      <c r="Z1712">
        <f t="shared" si="156"/>
        <v>74</v>
      </c>
      <c r="AA1712">
        <f t="shared" si="157"/>
        <v>0.58823529411764708</v>
      </c>
      <c r="AB1712">
        <f t="shared" si="158"/>
        <v>5</v>
      </c>
      <c r="AC1712" t="str">
        <f t="shared" si="159"/>
        <v>Low</v>
      </c>
      <c r="AD1712" t="str">
        <f t="shared" si="160"/>
        <v>Upsell premium bundle</v>
      </c>
      <c r="AE1712">
        <f t="shared" si="161"/>
        <v>26</v>
      </c>
    </row>
    <row r="1713" spans="1:31" x14ac:dyDescent="0.35">
      <c r="A1713" t="s">
        <v>1771</v>
      </c>
      <c r="B1713" s="4">
        <v>45981</v>
      </c>
      <c r="C1713" s="4">
        <v>46143</v>
      </c>
      <c r="D1713" t="s">
        <v>47</v>
      </c>
      <c r="E1713">
        <v>63</v>
      </c>
      <c r="F1713" t="s">
        <v>61</v>
      </c>
      <c r="G1713" t="s">
        <v>48</v>
      </c>
      <c r="H1713" t="s">
        <v>58</v>
      </c>
      <c r="I1713" t="s">
        <v>36</v>
      </c>
      <c r="J1713">
        <v>5</v>
      </c>
      <c r="K1713" s="5">
        <v>0</v>
      </c>
      <c r="L1713" s="5">
        <v>1426.35</v>
      </c>
      <c r="M1713">
        <v>8</v>
      </c>
      <c r="N1713">
        <v>4</v>
      </c>
      <c r="O1713">
        <v>0</v>
      </c>
      <c r="P1713">
        <v>0</v>
      </c>
      <c r="Q1713">
        <v>18</v>
      </c>
      <c r="R1713">
        <v>2</v>
      </c>
      <c r="S1713">
        <v>2</v>
      </c>
      <c r="T1713">
        <v>1</v>
      </c>
      <c r="U1713">
        <v>0</v>
      </c>
      <c r="V1713">
        <v>0</v>
      </c>
      <c r="W1713" t="s">
        <v>37</v>
      </c>
      <c r="X1713">
        <v>26</v>
      </c>
      <c r="Y1713">
        <v>0</v>
      </c>
      <c r="Z1713">
        <f t="shared" si="156"/>
        <v>28</v>
      </c>
      <c r="AA1713">
        <f t="shared" si="157"/>
        <v>0.74285714285714288</v>
      </c>
      <c r="AB1713">
        <f t="shared" si="158"/>
        <v>37</v>
      </c>
      <c r="AC1713" t="str">
        <f t="shared" si="159"/>
        <v>Low</v>
      </c>
      <c r="AD1713" t="str">
        <f t="shared" si="160"/>
        <v>Upsell premium bundle</v>
      </c>
      <c r="AE1713">
        <f t="shared" si="161"/>
        <v>72</v>
      </c>
    </row>
    <row r="1714" spans="1:31" x14ac:dyDescent="0.35">
      <c r="A1714" t="s">
        <v>1772</v>
      </c>
      <c r="B1714" s="4">
        <v>45648</v>
      </c>
      <c r="C1714" s="4">
        <v>46143</v>
      </c>
      <c r="D1714" t="s">
        <v>47</v>
      </c>
      <c r="E1714">
        <v>18</v>
      </c>
      <c r="F1714" t="s">
        <v>33</v>
      </c>
      <c r="G1714" t="s">
        <v>85</v>
      </c>
      <c r="H1714" t="s">
        <v>44</v>
      </c>
      <c r="I1714" t="s">
        <v>36</v>
      </c>
      <c r="J1714">
        <v>16</v>
      </c>
      <c r="K1714" s="5">
        <v>753.37</v>
      </c>
      <c r="L1714" s="5">
        <v>313.07</v>
      </c>
      <c r="M1714">
        <v>42</v>
      </c>
      <c r="N1714">
        <v>29</v>
      </c>
      <c r="O1714">
        <v>11</v>
      </c>
      <c r="P1714">
        <v>5</v>
      </c>
      <c r="Q1714">
        <v>27</v>
      </c>
      <c r="R1714">
        <v>3</v>
      </c>
      <c r="S1714">
        <v>0</v>
      </c>
      <c r="T1714">
        <v>1</v>
      </c>
      <c r="U1714">
        <v>0</v>
      </c>
      <c r="V1714">
        <v>0</v>
      </c>
      <c r="W1714" t="s">
        <v>37</v>
      </c>
      <c r="X1714">
        <v>37</v>
      </c>
      <c r="Y1714">
        <v>0</v>
      </c>
      <c r="Z1714">
        <f t="shared" si="156"/>
        <v>100</v>
      </c>
      <c r="AA1714">
        <f t="shared" si="157"/>
        <v>1.5</v>
      </c>
      <c r="AB1714">
        <f t="shared" si="158"/>
        <v>0</v>
      </c>
      <c r="AC1714" t="str">
        <f t="shared" si="159"/>
        <v>Low</v>
      </c>
      <c r="AD1714" t="str">
        <f t="shared" si="160"/>
        <v>Upsell premium bundle</v>
      </c>
      <c r="AE1714">
        <f t="shared" si="161"/>
        <v>0</v>
      </c>
    </row>
    <row r="1715" spans="1:31" x14ac:dyDescent="0.35">
      <c r="A1715" t="s">
        <v>1773</v>
      </c>
      <c r="B1715" s="4">
        <v>45165</v>
      </c>
      <c r="C1715" s="4">
        <v>46143</v>
      </c>
      <c r="D1715" t="s">
        <v>47</v>
      </c>
      <c r="E1715">
        <v>52</v>
      </c>
      <c r="F1715" t="s">
        <v>57</v>
      </c>
      <c r="G1715" t="s">
        <v>40</v>
      </c>
      <c r="H1715" t="s">
        <v>41</v>
      </c>
      <c r="I1715" t="s">
        <v>36</v>
      </c>
      <c r="J1715">
        <v>32</v>
      </c>
      <c r="K1715" s="5">
        <v>700.18</v>
      </c>
      <c r="L1715" s="5">
        <v>613.16</v>
      </c>
      <c r="M1715">
        <v>36</v>
      </c>
      <c r="N1715">
        <v>25</v>
      </c>
      <c r="O1715">
        <v>2</v>
      </c>
      <c r="P1715">
        <v>2</v>
      </c>
      <c r="Q1715">
        <v>19</v>
      </c>
      <c r="R1715">
        <v>2</v>
      </c>
      <c r="S1715">
        <v>3</v>
      </c>
      <c r="T1715">
        <v>0</v>
      </c>
      <c r="U1715">
        <v>0</v>
      </c>
      <c r="V1715">
        <v>1</v>
      </c>
      <c r="W1715" t="s">
        <v>37</v>
      </c>
      <c r="X1715">
        <v>15</v>
      </c>
      <c r="Y1715">
        <v>0</v>
      </c>
      <c r="Z1715">
        <f t="shared" si="156"/>
        <v>86</v>
      </c>
      <c r="AA1715">
        <f t="shared" si="157"/>
        <v>0.88709677419354838</v>
      </c>
      <c r="AB1715">
        <f t="shared" si="158"/>
        <v>37</v>
      </c>
      <c r="AC1715" t="str">
        <f t="shared" si="159"/>
        <v>Low</v>
      </c>
      <c r="AD1715" t="str">
        <f t="shared" si="160"/>
        <v>Upsell premium bundle</v>
      </c>
      <c r="AE1715">
        <f t="shared" si="161"/>
        <v>14</v>
      </c>
    </row>
    <row r="1716" spans="1:31" x14ac:dyDescent="0.35">
      <c r="A1716" t="s">
        <v>1774</v>
      </c>
      <c r="B1716" s="4">
        <v>45910</v>
      </c>
      <c r="C1716" s="4">
        <v>46143</v>
      </c>
      <c r="D1716" t="s">
        <v>72</v>
      </c>
      <c r="E1716">
        <v>65</v>
      </c>
      <c r="F1716" t="s">
        <v>77</v>
      </c>
      <c r="G1716" t="s">
        <v>85</v>
      </c>
      <c r="H1716" t="s">
        <v>58</v>
      </c>
      <c r="I1716" t="s">
        <v>36</v>
      </c>
      <c r="J1716">
        <v>7</v>
      </c>
      <c r="K1716" s="5">
        <v>11076.06</v>
      </c>
      <c r="L1716" s="5">
        <v>2141.41</v>
      </c>
      <c r="M1716">
        <v>4</v>
      </c>
      <c r="N1716">
        <v>2</v>
      </c>
      <c r="O1716">
        <v>0</v>
      </c>
      <c r="P1716">
        <v>0</v>
      </c>
      <c r="Q1716">
        <v>26</v>
      </c>
      <c r="R1716">
        <v>0</v>
      </c>
      <c r="S1716">
        <v>1</v>
      </c>
      <c r="T1716">
        <v>0</v>
      </c>
      <c r="U1716">
        <v>1</v>
      </c>
      <c r="V1716">
        <v>0</v>
      </c>
      <c r="W1716" t="s">
        <v>52</v>
      </c>
      <c r="X1716">
        <v>11</v>
      </c>
      <c r="Y1716">
        <v>0</v>
      </c>
      <c r="Z1716">
        <f t="shared" si="156"/>
        <v>37</v>
      </c>
      <c r="AA1716">
        <f t="shared" si="157"/>
        <v>0.81081081081081086</v>
      </c>
      <c r="AB1716">
        <f t="shared" si="158"/>
        <v>26</v>
      </c>
      <c r="AC1716" t="str">
        <f t="shared" si="159"/>
        <v>Low</v>
      </c>
      <c r="AD1716" t="str">
        <f t="shared" si="160"/>
        <v>Upsell premium bundle</v>
      </c>
      <c r="AE1716">
        <f t="shared" si="161"/>
        <v>63</v>
      </c>
    </row>
    <row r="1717" spans="1:31" x14ac:dyDescent="0.35">
      <c r="A1717" t="s">
        <v>1775</v>
      </c>
      <c r="B1717" s="4">
        <v>45042</v>
      </c>
      <c r="C1717" s="4">
        <v>46143</v>
      </c>
      <c r="D1717" t="s">
        <v>66</v>
      </c>
      <c r="E1717">
        <v>37</v>
      </c>
      <c r="F1717" t="s">
        <v>33</v>
      </c>
      <c r="G1717" t="s">
        <v>63</v>
      </c>
      <c r="H1717" t="s">
        <v>35</v>
      </c>
      <c r="I1717" t="s">
        <v>36</v>
      </c>
      <c r="J1717">
        <v>36</v>
      </c>
      <c r="K1717" s="5">
        <v>212.5</v>
      </c>
      <c r="L1717" s="5">
        <v>215</v>
      </c>
      <c r="M1717">
        <v>36</v>
      </c>
      <c r="N1717">
        <v>10</v>
      </c>
      <c r="O1717">
        <v>6</v>
      </c>
      <c r="P1717">
        <v>2</v>
      </c>
      <c r="Q1717">
        <v>26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45</v>
      </c>
      <c r="X1717">
        <v>48</v>
      </c>
      <c r="Y1717">
        <v>0</v>
      </c>
      <c r="Z1717">
        <f t="shared" si="156"/>
        <v>80</v>
      </c>
      <c r="AA1717">
        <f t="shared" si="157"/>
        <v>0.93939393939393945</v>
      </c>
      <c r="AB1717">
        <f t="shared" si="158"/>
        <v>0</v>
      </c>
      <c r="AC1717" t="str">
        <f t="shared" si="159"/>
        <v>Low</v>
      </c>
      <c r="AD1717" t="str">
        <f t="shared" si="160"/>
        <v>Upsell premium bundle</v>
      </c>
      <c r="AE1717">
        <f t="shared" si="161"/>
        <v>20</v>
      </c>
    </row>
    <row r="1718" spans="1:31" x14ac:dyDescent="0.35">
      <c r="A1718" t="s">
        <v>1776</v>
      </c>
      <c r="B1718" s="4">
        <v>44911</v>
      </c>
      <c r="C1718" s="4">
        <v>46143</v>
      </c>
      <c r="D1718" t="s">
        <v>60</v>
      </c>
      <c r="E1718">
        <v>22</v>
      </c>
      <c r="F1718" t="s">
        <v>33</v>
      </c>
      <c r="G1718" t="s">
        <v>63</v>
      </c>
      <c r="H1718" t="s">
        <v>41</v>
      </c>
      <c r="I1718" t="s">
        <v>36</v>
      </c>
      <c r="J1718">
        <v>41</v>
      </c>
      <c r="K1718" s="5">
        <v>97.7</v>
      </c>
      <c r="L1718" s="5">
        <v>220.13</v>
      </c>
      <c r="M1718">
        <v>14</v>
      </c>
      <c r="N1718">
        <v>9</v>
      </c>
      <c r="O1718">
        <v>1</v>
      </c>
      <c r="P1718">
        <v>2</v>
      </c>
      <c r="Q1718">
        <v>20</v>
      </c>
      <c r="R1718">
        <v>0</v>
      </c>
      <c r="S1718">
        <v>0</v>
      </c>
      <c r="T1718">
        <v>1</v>
      </c>
      <c r="U1718">
        <v>1</v>
      </c>
      <c r="V1718">
        <v>0</v>
      </c>
      <c r="W1718" t="s">
        <v>55</v>
      </c>
      <c r="X1718">
        <v>37</v>
      </c>
      <c r="Y1718">
        <v>1</v>
      </c>
      <c r="Z1718">
        <f t="shared" si="156"/>
        <v>52</v>
      </c>
      <c r="AA1718">
        <f t="shared" si="157"/>
        <v>0.47887323943661969</v>
      </c>
      <c r="AB1718">
        <f t="shared" si="158"/>
        <v>19</v>
      </c>
      <c r="AC1718" t="str">
        <f t="shared" si="159"/>
        <v>Low</v>
      </c>
      <c r="AD1718" t="str">
        <f t="shared" si="160"/>
        <v>Upsell premium bundle</v>
      </c>
      <c r="AE1718">
        <f t="shared" si="161"/>
        <v>48</v>
      </c>
    </row>
    <row r="1719" spans="1:31" x14ac:dyDescent="0.35">
      <c r="A1719" t="s">
        <v>1777</v>
      </c>
      <c r="B1719" s="4">
        <v>45629</v>
      </c>
      <c r="C1719" s="4">
        <v>46143</v>
      </c>
      <c r="D1719" t="s">
        <v>47</v>
      </c>
      <c r="E1719">
        <v>67</v>
      </c>
      <c r="F1719" t="s">
        <v>33</v>
      </c>
      <c r="G1719" t="s">
        <v>48</v>
      </c>
      <c r="H1719" t="s">
        <v>41</v>
      </c>
      <c r="I1719" t="s">
        <v>36</v>
      </c>
      <c r="J1719">
        <v>17</v>
      </c>
      <c r="K1719" s="5">
        <v>447.56</v>
      </c>
      <c r="L1719" s="5">
        <v>343.82</v>
      </c>
      <c r="M1719">
        <v>35</v>
      </c>
      <c r="N1719">
        <v>11</v>
      </c>
      <c r="O1719">
        <v>6</v>
      </c>
      <c r="P1719">
        <v>5</v>
      </c>
      <c r="Q1719">
        <v>21</v>
      </c>
      <c r="R1719">
        <v>0</v>
      </c>
      <c r="S1719">
        <v>0</v>
      </c>
      <c r="T1719">
        <v>1</v>
      </c>
      <c r="U1719">
        <v>1</v>
      </c>
      <c r="V1719">
        <v>1</v>
      </c>
      <c r="W1719" t="s">
        <v>37</v>
      </c>
      <c r="X1719">
        <v>54</v>
      </c>
      <c r="Y1719">
        <v>0</v>
      </c>
      <c r="Z1719">
        <f t="shared" si="156"/>
        <v>94</v>
      </c>
      <c r="AA1719">
        <f t="shared" si="157"/>
        <v>1.1914893617021276</v>
      </c>
      <c r="AB1719">
        <f t="shared" si="158"/>
        <v>0</v>
      </c>
      <c r="AC1719" t="str">
        <f t="shared" si="159"/>
        <v>Low</v>
      </c>
      <c r="AD1719" t="str">
        <f t="shared" si="160"/>
        <v>Upsell premium bundle</v>
      </c>
      <c r="AE1719">
        <f t="shared" si="161"/>
        <v>6</v>
      </c>
    </row>
    <row r="1720" spans="1:31" x14ac:dyDescent="0.35">
      <c r="A1720" t="s">
        <v>1778</v>
      </c>
      <c r="B1720" s="4">
        <v>45881</v>
      </c>
      <c r="C1720" s="4">
        <v>46143</v>
      </c>
      <c r="D1720" t="s">
        <v>39</v>
      </c>
      <c r="E1720">
        <v>21</v>
      </c>
      <c r="F1720" t="s">
        <v>33</v>
      </c>
      <c r="G1720" t="s">
        <v>34</v>
      </c>
      <c r="H1720" t="s">
        <v>58</v>
      </c>
      <c r="I1720" t="s">
        <v>36</v>
      </c>
      <c r="J1720">
        <v>8</v>
      </c>
      <c r="K1720" s="5">
        <v>325.08</v>
      </c>
      <c r="L1720" s="5">
        <v>247.06</v>
      </c>
      <c r="M1720">
        <v>21</v>
      </c>
      <c r="N1720">
        <v>8</v>
      </c>
      <c r="O1720">
        <v>3</v>
      </c>
      <c r="P1720">
        <v>0</v>
      </c>
      <c r="Q1720">
        <v>10</v>
      </c>
      <c r="R1720">
        <v>0</v>
      </c>
      <c r="S1720">
        <v>0</v>
      </c>
      <c r="T1720">
        <v>1</v>
      </c>
      <c r="U1720">
        <v>0</v>
      </c>
      <c r="V1720">
        <v>1</v>
      </c>
      <c r="W1720" t="s">
        <v>45</v>
      </c>
      <c r="X1720">
        <v>-15</v>
      </c>
      <c r="Y1720">
        <v>0</v>
      </c>
      <c r="Z1720">
        <f t="shared" si="156"/>
        <v>48</v>
      </c>
      <c r="AA1720">
        <f t="shared" si="157"/>
        <v>0.81578947368421051</v>
      </c>
      <c r="AB1720">
        <f t="shared" si="158"/>
        <v>36</v>
      </c>
      <c r="AC1720" t="str">
        <f t="shared" si="159"/>
        <v>Low</v>
      </c>
      <c r="AD1720" t="str">
        <f t="shared" si="160"/>
        <v>Upsell premium bundle</v>
      </c>
      <c r="AE1720">
        <f t="shared" si="161"/>
        <v>52</v>
      </c>
    </row>
    <row r="1721" spans="1:31" x14ac:dyDescent="0.35">
      <c r="A1721" t="s">
        <v>1779</v>
      </c>
      <c r="B1721" s="4">
        <v>44759</v>
      </c>
      <c r="C1721" s="4">
        <v>46143</v>
      </c>
      <c r="D1721" t="s">
        <v>72</v>
      </c>
      <c r="E1721">
        <v>56</v>
      </c>
      <c r="F1721" t="s">
        <v>33</v>
      </c>
      <c r="G1721" t="s">
        <v>67</v>
      </c>
      <c r="H1721" t="s">
        <v>41</v>
      </c>
      <c r="I1721" t="s">
        <v>49</v>
      </c>
      <c r="J1721">
        <v>46</v>
      </c>
      <c r="K1721" s="5">
        <v>190.62</v>
      </c>
      <c r="L1721" s="5">
        <v>194.45</v>
      </c>
      <c r="M1721">
        <v>17</v>
      </c>
      <c r="N1721">
        <v>5</v>
      </c>
      <c r="O1721">
        <v>2</v>
      </c>
      <c r="P1721">
        <v>1</v>
      </c>
      <c r="Q1721">
        <v>6</v>
      </c>
      <c r="R1721">
        <v>0</v>
      </c>
      <c r="S1721">
        <v>0</v>
      </c>
      <c r="T1721">
        <v>1</v>
      </c>
      <c r="U1721">
        <v>0</v>
      </c>
      <c r="V1721">
        <v>1</v>
      </c>
      <c r="W1721" t="s">
        <v>45</v>
      </c>
      <c r="X1721">
        <v>26</v>
      </c>
      <c r="Y1721">
        <v>0</v>
      </c>
      <c r="Z1721">
        <f t="shared" si="156"/>
        <v>38</v>
      </c>
      <c r="AA1721">
        <f t="shared" si="157"/>
        <v>0.30263157894736842</v>
      </c>
      <c r="AB1721">
        <f t="shared" si="158"/>
        <v>46</v>
      </c>
      <c r="AC1721" t="str">
        <f t="shared" si="159"/>
        <v>Medium</v>
      </c>
      <c r="AD1721" t="str">
        <f t="shared" si="160"/>
        <v>Nudge core feature adoption</v>
      </c>
      <c r="AE1721">
        <f t="shared" si="161"/>
        <v>62</v>
      </c>
    </row>
    <row r="1722" spans="1:31" x14ac:dyDescent="0.35">
      <c r="A1722" t="s">
        <v>1780</v>
      </c>
      <c r="B1722" s="4">
        <v>44804</v>
      </c>
      <c r="C1722" s="4">
        <v>46143</v>
      </c>
      <c r="D1722" t="s">
        <v>60</v>
      </c>
      <c r="E1722">
        <v>31</v>
      </c>
      <c r="F1722" t="s">
        <v>61</v>
      </c>
      <c r="G1722" t="s">
        <v>40</v>
      </c>
      <c r="H1722" t="s">
        <v>41</v>
      </c>
      <c r="I1722" t="s">
        <v>36</v>
      </c>
      <c r="J1722">
        <v>44</v>
      </c>
      <c r="K1722" s="5">
        <v>5115.68</v>
      </c>
      <c r="L1722" s="5">
        <v>268.82</v>
      </c>
      <c r="M1722">
        <v>29</v>
      </c>
      <c r="N1722">
        <v>11</v>
      </c>
      <c r="O1722">
        <v>8</v>
      </c>
      <c r="P1722">
        <v>5</v>
      </c>
      <c r="Q1722">
        <v>14</v>
      </c>
      <c r="R1722">
        <v>0</v>
      </c>
      <c r="S1722">
        <v>0</v>
      </c>
      <c r="T1722">
        <v>1</v>
      </c>
      <c r="U1722">
        <v>0</v>
      </c>
      <c r="V1722">
        <v>1</v>
      </c>
      <c r="W1722" t="s">
        <v>55</v>
      </c>
      <c r="X1722">
        <v>50</v>
      </c>
      <c r="Y1722">
        <v>0</v>
      </c>
      <c r="Z1722">
        <f t="shared" si="156"/>
        <v>76</v>
      </c>
      <c r="AA1722">
        <f t="shared" si="157"/>
        <v>0.58108108108108103</v>
      </c>
      <c r="AB1722">
        <f t="shared" si="158"/>
        <v>3</v>
      </c>
      <c r="AC1722" t="str">
        <f t="shared" si="159"/>
        <v>Low</v>
      </c>
      <c r="AD1722" t="str">
        <f t="shared" si="160"/>
        <v>Upsell premium bundle</v>
      </c>
      <c r="AE1722">
        <f t="shared" si="161"/>
        <v>24</v>
      </c>
    </row>
    <row r="1723" spans="1:31" x14ac:dyDescent="0.35">
      <c r="A1723" t="s">
        <v>1781</v>
      </c>
      <c r="B1723" s="4">
        <v>44787</v>
      </c>
      <c r="C1723" s="4">
        <v>46143</v>
      </c>
      <c r="D1723" t="s">
        <v>39</v>
      </c>
      <c r="E1723">
        <v>31</v>
      </c>
      <c r="F1723" t="s">
        <v>33</v>
      </c>
      <c r="G1723" t="s">
        <v>48</v>
      </c>
      <c r="H1723" t="s">
        <v>58</v>
      </c>
      <c r="I1723" t="s">
        <v>49</v>
      </c>
      <c r="J1723">
        <v>45</v>
      </c>
      <c r="K1723" s="5">
        <v>382.29</v>
      </c>
      <c r="L1723" s="5">
        <v>157.07</v>
      </c>
      <c r="M1723">
        <v>19</v>
      </c>
      <c r="N1723">
        <v>8</v>
      </c>
      <c r="O1723">
        <v>5</v>
      </c>
      <c r="P1723">
        <v>1</v>
      </c>
      <c r="Q1723">
        <v>13</v>
      </c>
      <c r="R1723">
        <v>2</v>
      </c>
      <c r="S1723">
        <v>1</v>
      </c>
      <c r="T1723">
        <v>1</v>
      </c>
      <c r="U1723">
        <v>1</v>
      </c>
      <c r="V1723">
        <v>1</v>
      </c>
      <c r="W1723" t="s">
        <v>37</v>
      </c>
      <c r="X1723">
        <v>-28</v>
      </c>
      <c r="Y1723">
        <v>1</v>
      </c>
      <c r="Z1723">
        <f t="shared" si="156"/>
        <v>61</v>
      </c>
      <c r="AA1723">
        <f t="shared" si="157"/>
        <v>0.42666666666666669</v>
      </c>
      <c r="AB1723">
        <f t="shared" si="158"/>
        <v>59</v>
      </c>
      <c r="AC1723" t="str">
        <f t="shared" si="159"/>
        <v>Medium</v>
      </c>
      <c r="AD1723" t="str">
        <f t="shared" si="160"/>
        <v>Nudge core feature adoption</v>
      </c>
      <c r="AE1723">
        <f t="shared" si="161"/>
        <v>39</v>
      </c>
    </row>
    <row r="1724" spans="1:31" x14ac:dyDescent="0.35">
      <c r="A1724" t="s">
        <v>1782</v>
      </c>
      <c r="B1724" s="4">
        <v>45877</v>
      </c>
      <c r="C1724" s="4">
        <v>46143</v>
      </c>
      <c r="D1724" t="s">
        <v>72</v>
      </c>
      <c r="E1724">
        <v>27</v>
      </c>
      <c r="F1724" t="s">
        <v>57</v>
      </c>
      <c r="G1724" t="s">
        <v>40</v>
      </c>
      <c r="H1724" t="s">
        <v>44</v>
      </c>
      <c r="I1724" t="s">
        <v>36</v>
      </c>
      <c r="J1724">
        <v>8</v>
      </c>
      <c r="K1724" s="5">
        <v>846.62</v>
      </c>
      <c r="L1724" s="5">
        <v>0</v>
      </c>
      <c r="M1724">
        <v>26</v>
      </c>
      <c r="N1724">
        <v>10</v>
      </c>
      <c r="O1724">
        <v>6</v>
      </c>
      <c r="P1724">
        <v>3</v>
      </c>
      <c r="Q1724">
        <v>18</v>
      </c>
      <c r="R1724">
        <v>2</v>
      </c>
      <c r="S1724">
        <v>1</v>
      </c>
      <c r="T1724">
        <v>1</v>
      </c>
      <c r="U1724">
        <v>1</v>
      </c>
      <c r="V1724">
        <v>1</v>
      </c>
      <c r="W1724" t="s">
        <v>52</v>
      </c>
      <c r="X1724">
        <v>45</v>
      </c>
      <c r="Y1724">
        <v>0</v>
      </c>
      <c r="Z1724">
        <f t="shared" si="156"/>
        <v>78</v>
      </c>
      <c r="AA1724">
        <f t="shared" si="157"/>
        <v>1.1578947368421053</v>
      </c>
      <c r="AB1724">
        <f t="shared" si="158"/>
        <v>0</v>
      </c>
      <c r="AC1724" t="str">
        <f t="shared" si="159"/>
        <v>Low</v>
      </c>
      <c r="AD1724" t="str">
        <f t="shared" si="160"/>
        <v>Upsell premium bundle</v>
      </c>
      <c r="AE1724">
        <f t="shared" si="161"/>
        <v>22</v>
      </c>
    </row>
    <row r="1725" spans="1:31" x14ac:dyDescent="0.35">
      <c r="A1725" t="s">
        <v>1783</v>
      </c>
      <c r="B1725" s="4">
        <v>45730</v>
      </c>
      <c r="C1725" s="4">
        <v>46143</v>
      </c>
      <c r="D1725" t="s">
        <v>66</v>
      </c>
      <c r="E1725">
        <v>32</v>
      </c>
      <c r="F1725" t="s">
        <v>61</v>
      </c>
      <c r="G1725" t="s">
        <v>48</v>
      </c>
      <c r="H1725" t="s">
        <v>41</v>
      </c>
      <c r="I1725" t="s">
        <v>36</v>
      </c>
      <c r="J1725">
        <v>13</v>
      </c>
      <c r="K1725" s="5">
        <v>275.83</v>
      </c>
      <c r="L1725" s="5">
        <v>5515.75</v>
      </c>
      <c r="M1725">
        <v>28</v>
      </c>
      <c r="N1725">
        <v>18</v>
      </c>
      <c r="O1725">
        <v>5</v>
      </c>
      <c r="P1725">
        <v>2</v>
      </c>
      <c r="Q1725">
        <v>22</v>
      </c>
      <c r="R1725">
        <v>1</v>
      </c>
      <c r="S1725">
        <v>0</v>
      </c>
      <c r="T1725">
        <v>1</v>
      </c>
      <c r="U1725">
        <v>0</v>
      </c>
      <c r="V1725">
        <v>1</v>
      </c>
      <c r="W1725" t="s">
        <v>45</v>
      </c>
      <c r="X1725">
        <v>-7</v>
      </c>
      <c r="Y1725">
        <v>1</v>
      </c>
      <c r="Z1725">
        <f t="shared" si="156"/>
        <v>79</v>
      </c>
      <c r="AA1725">
        <f t="shared" si="157"/>
        <v>1.1627906976744187</v>
      </c>
      <c r="AB1725">
        <f t="shared" si="158"/>
        <v>18</v>
      </c>
      <c r="AC1725" t="str">
        <f t="shared" si="159"/>
        <v>Low</v>
      </c>
      <c r="AD1725" t="str">
        <f t="shared" si="160"/>
        <v>Upsell premium bundle</v>
      </c>
      <c r="AE1725">
        <f t="shared" si="161"/>
        <v>21</v>
      </c>
    </row>
    <row r="1726" spans="1:31" x14ac:dyDescent="0.35">
      <c r="A1726" t="s">
        <v>1784</v>
      </c>
      <c r="B1726" s="4">
        <v>45126</v>
      </c>
      <c r="C1726" s="4">
        <v>46143</v>
      </c>
      <c r="D1726" t="s">
        <v>32</v>
      </c>
      <c r="E1726">
        <v>27</v>
      </c>
      <c r="F1726" t="s">
        <v>57</v>
      </c>
      <c r="G1726" t="s">
        <v>48</v>
      </c>
      <c r="H1726" t="s">
        <v>41</v>
      </c>
      <c r="I1726" t="s">
        <v>36</v>
      </c>
      <c r="J1726">
        <v>33</v>
      </c>
      <c r="K1726" s="5">
        <v>1138.67</v>
      </c>
      <c r="L1726" s="5">
        <v>996.27</v>
      </c>
      <c r="M1726">
        <v>20</v>
      </c>
      <c r="N1726">
        <v>11</v>
      </c>
      <c r="O1726">
        <v>1</v>
      </c>
      <c r="P1726">
        <v>4</v>
      </c>
      <c r="Q1726">
        <v>21</v>
      </c>
      <c r="R1726">
        <v>0</v>
      </c>
      <c r="S1726">
        <v>0</v>
      </c>
      <c r="T1726">
        <v>1</v>
      </c>
      <c r="U1726">
        <v>1</v>
      </c>
      <c r="V1726">
        <v>0</v>
      </c>
      <c r="W1726" t="s">
        <v>37</v>
      </c>
      <c r="X1726">
        <v>11</v>
      </c>
      <c r="Y1726">
        <v>0</v>
      </c>
      <c r="Z1726">
        <f t="shared" si="156"/>
        <v>63</v>
      </c>
      <c r="AA1726">
        <f t="shared" si="157"/>
        <v>0.65079365079365081</v>
      </c>
      <c r="AB1726">
        <f t="shared" si="158"/>
        <v>27</v>
      </c>
      <c r="AC1726" t="str">
        <f t="shared" si="159"/>
        <v>Low</v>
      </c>
      <c r="AD1726" t="str">
        <f t="shared" si="160"/>
        <v>Upsell premium bundle</v>
      </c>
      <c r="AE1726">
        <f t="shared" si="161"/>
        <v>37</v>
      </c>
    </row>
    <row r="1727" spans="1:31" x14ac:dyDescent="0.35">
      <c r="A1727" t="s">
        <v>1785</v>
      </c>
      <c r="B1727" s="4">
        <v>45173</v>
      </c>
      <c r="C1727" s="4">
        <v>46143</v>
      </c>
      <c r="D1727" t="s">
        <v>66</v>
      </c>
      <c r="E1727">
        <v>42</v>
      </c>
      <c r="F1727" t="s">
        <v>77</v>
      </c>
      <c r="G1727" t="s">
        <v>67</v>
      </c>
      <c r="H1727" t="s">
        <v>44</v>
      </c>
      <c r="I1727" t="s">
        <v>36</v>
      </c>
      <c r="J1727">
        <v>32</v>
      </c>
      <c r="K1727" s="5">
        <v>8148.13</v>
      </c>
      <c r="L1727" s="5">
        <v>4645.16</v>
      </c>
      <c r="M1727">
        <v>44</v>
      </c>
      <c r="N1727">
        <v>18</v>
      </c>
      <c r="O1727">
        <v>2</v>
      </c>
      <c r="P1727">
        <v>6</v>
      </c>
      <c r="Q1727">
        <v>18</v>
      </c>
      <c r="R1727">
        <v>2</v>
      </c>
      <c r="S1727">
        <v>0</v>
      </c>
      <c r="T1727">
        <v>1</v>
      </c>
      <c r="U1727">
        <v>0</v>
      </c>
      <c r="V1727">
        <v>0</v>
      </c>
      <c r="W1727" t="s">
        <v>55</v>
      </c>
      <c r="X1727">
        <v>33</v>
      </c>
      <c r="Y1727">
        <v>0</v>
      </c>
      <c r="Z1727">
        <f t="shared" si="156"/>
        <v>88</v>
      </c>
      <c r="AA1727">
        <f t="shared" si="157"/>
        <v>1</v>
      </c>
      <c r="AB1727">
        <f t="shared" si="158"/>
        <v>0</v>
      </c>
      <c r="AC1727" t="str">
        <f t="shared" si="159"/>
        <v>Low</v>
      </c>
      <c r="AD1727" t="str">
        <f t="shared" si="160"/>
        <v>Upsell premium bundle</v>
      </c>
      <c r="AE1727">
        <f t="shared" si="161"/>
        <v>12</v>
      </c>
    </row>
    <row r="1728" spans="1:31" x14ac:dyDescent="0.35">
      <c r="A1728" t="s">
        <v>1786</v>
      </c>
      <c r="B1728" s="4">
        <v>45264</v>
      </c>
      <c r="C1728" s="4">
        <v>46143</v>
      </c>
      <c r="D1728" t="s">
        <v>66</v>
      </c>
      <c r="E1728">
        <v>21</v>
      </c>
      <c r="F1728" t="s">
        <v>61</v>
      </c>
      <c r="G1728" t="s">
        <v>48</v>
      </c>
      <c r="H1728" t="s">
        <v>44</v>
      </c>
      <c r="I1728" t="s">
        <v>36</v>
      </c>
      <c r="J1728">
        <v>29</v>
      </c>
      <c r="K1728" s="5">
        <v>4522.41</v>
      </c>
      <c r="L1728" s="5">
        <v>1646.48</v>
      </c>
      <c r="M1728">
        <v>29</v>
      </c>
      <c r="N1728">
        <v>9</v>
      </c>
      <c r="O1728">
        <v>1</v>
      </c>
      <c r="P1728">
        <v>6</v>
      </c>
      <c r="Q1728">
        <v>27</v>
      </c>
      <c r="R1728">
        <v>0</v>
      </c>
      <c r="S1728">
        <v>0</v>
      </c>
      <c r="T1728">
        <v>0</v>
      </c>
      <c r="U1728">
        <v>1</v>
      </c>
      <c r="V1728">
        <v>1</v>
      </c>
      <c r="W1728" t="s">
        <v>55</v>
      </c>
      <c r="X1728">
        <v>63</v>
      </c>
      <c r="Y1728">
        <v>0</v>
      </c>
      <c r="Z1728">
        <f t="shared" si="156"/>
        <v>87</v>
      </c>
      <c r="AA1728">
        <f t="shared" si="157"/>
        <v>0.94915254237288138</v>
      </c>
      <c r="AB1728">
        <f t="shared" si="158"/>
        <v>0</v>
      </c>
      <c r="AC1728" t="str">
        <f t="shared" si="159"/>
        <v>Low</v>
      </c>
      <c r="AD1728" t="str">
        <f t="shared" si="160"/>
        <v>Upsell premium bundle</v>
      </c>
      <c r="AE1728">
        <f t="shared" si="161"/>
        <v>13</v>
      </c>
    </row>
    <row r="1729" spans="1:31" x14ac:dyDescent="0.35">
      <c r="A1729" t="s">
        <v>1787</v>
      </c>
      <c r="B1729" s="4">
        <v>45619</v>
      </c>
      <c r="C1729" s="4">
        <v>46143</v>
      </c>
      <c r="D1729" t="s">
        <v>32</v>
      </c>
      <c r="E1729">
        <v>19</v>
      </c>
      <c r="F1729" t="s">
        <v>77</v>
      </c>
      <c r="G1729" t="s">
        <v>34</v>
      </c>
      <c r="H1729" t="s">
        <v>58</v>
      </c>
      <c r="I1729" t="s">
        <v>49</v>
      </c>
      <c r="J1729">
        <v>17</v>
      </c>
      <c r="K1729" s="5">
        <v>13287.1</v>
      </c>
      <c r="L1729" s="5">
        <v>5056.46</v>
      </c>
      <c r="M1729">
        <v>27</v>
      </c>
      <c r="N1729">
        <v>19</v>
      </c>
      <c r="O1729">
        <v>4</v>
      </c>
      <c r="P1729">
        <v>0</v>
      </c>
      <c r="Q1729">
        <v>30</v>
      </c>
      <c r="R1729">
        <v>1</v>
      </c>
      <c r="S1729">
        <v>0</v>
      </c>
      <c r="T1729">
        <v>0</v>
      </c>
      <c r="U1729">
        <v>0</v>
      </c>
      <c r="V1729">
        <v>0</v>
      </c>
      <c r="W1729" t="s">
        <v>37</v>
      </c>
      <c r="X1729">
        <v>42</v>
      </c>
      <c r="Y1729">
        <v>0</v>
      </c>
      <c r="Z1729">
        <f t="shared" si="156"/>
        <v>75</v>
      </c>
      <c r="AA1729">
        <f t="shared" si="157"/>
        <v>1.2127659574468086</v>
      </c>
      <c r="AB1729">
        <f t="shared" si="158"/>
        <v>2</v>
      </c>
      <c r="AC1729" t="str">
        <f t="shared" si="159"/>
        <v>Low</v>
      </c>
      <c r="AD1729" t="str">
        <f t="shared" si="160"/>
        <v>Upsell premium bundle</v>
      </c>
      <c r="AE1729">
        <f t="shared" si="161"/>
        <v>25</v>
      </c>
    </row>
    <row r="1730" spans="1:31" x14ac:dyDescent="0.35">
      <c r="A1730" t="s">
        <v>1788</v>
      </c>
      <c r="B1730" s="4">
        <v>45378</v>
      </c>
      <c r="C1730" s="4">
        <v>46143</v>
      </c>
      <c r="D1730" t="s">
        <v>72</v>
      </c>
      <c r="E1730">
        <v>63</v>
      </c>
      <c r="F1730" t="s">
        <v>33</v>
      </c>
      <c r="G1730" t="s">
        <v>63</v>
      </c>
      <c r="H1730" t="s">
        <v>58</v>
      </c>
      <c r="I1730" t="s">
        <v>36</v>
      </c>
      <c r="J1730">
        <v>25</v>
      </c>
      <c r="K1730" s="5">
        <v>0</v>
      </c>
      <c r="L1730" s="5">
        <v>0</v>
      </c>
      <c r="M1730">
        <v>42</v>
      </c>
      <c r="N1730">
        <v>13</v>
      </c>
      <c r="O1730">
        <v>11</v>
      </c>
      <c r="P1730">
        <v>2</v>
      </c>
      <c r="Q1730">
        <v>33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37</v>
      </c>
      <c r="X1730">
        <v>36</v>
      </c>
      <c r="Y1730">
        <v>0</v>
      </c>
      <c r="Z1730">
        <f t="shared" ref="Z1730:Z1793" si="162">MIN(100,ROUND((M1730*1.1+N1730*0.7+O1730*1.2+P1730*1.4+Q1730*0.9+U1730*8+V1730*7),0))</f>
        <v>100</v>
      </c>
      <c r="AA1730">
        <f t="shared" ref="AA1730:AA1793" si="163">IFERROR((M1730+Q1730)/(30+J1730),0)</f>
        <v>1.3636363636363635</v>
      </c>
      <c r="AB1730">
        <f t="shared" ref="AB1730:AB1793" si="164">ROUND(MIN(100,MAX(0,60-Z1730*0.4-R1730*1.5+S1730*8-IF(L1730&gt;1500,10,0)-X1730*0.5+IF(I1730="Completed",-8,8)+IF(H1730="Free",6,-4))),0)</f>
        <v>0</v>
      </c>
      <c r="AC1730" t="str">
        <f t="shared" ref="AC1730:AC1793" si="165">IF(AB1730&gt;=70,"High",IF(AB1730&gt;=40,"Medium","Low"))</f>
        <v>Low</v>
      </c>
      <c r="AD1730" t="str">
        <f t="shared" ref="AD1730:AD1793" si="166">IF(AC1730="High",IF(Q1730&lt;5,"Re-engage with app usage offer",IF(K1730&lt;100,"Deposit incentive","Retention call")),IF(AC1730="Medium","Nudge core feature adoption","Upsell premium bundle"))</f>
        <v>Upsell premium bundle</v>
      </c>
      <c r="AE1730">
        <f t="shared" ref="AE1730:AE1793" si="167">100-Z1730</f>
        <v>0</v>
      </c>
    </row>
    <row r="1731" spans="1:31" x14ac:dyDescent="0.35">
      <c r="A1731" t="s">
        <v>1789</v>
      </c>
      <c r="B1731" s="4">
        <v>45576</v>
      </c>
      <c r="C1731" s="4">
        <v>46143</v>
      </c>
      <c r="D1731" t="s">
        <v>66</v>
      </c>
      <c r="E1731">
        <v>44</v>
      </c>
      <c r="F1731" t="s">
        <v>61</v>
      </c>
      <c r="G1731" t="s">
        <v>67</v>
      </c>
      <c r="H1731" t="s">
        <v>58</v>
      </c>
      <c r="I1731" t="s">
        <v>36</v>
      </c>
      <c r="J1731">
        <v>18</v>
      </c>
      <c r="K1731" s="5">
        <v>3836.58</v>
      </c>
      <c r="L1731" s="5">
        <v>0</v>
      </c>
      <c r="M1731">
        <v>38</v>
      </c>
      <c r="N1731">
        <v>13</v>
      </c>
      <c r="O1731">
        <v>4</v>
      </c>
      <c r="P1731">
        <v>2</v>
      </c>
      <c r="Q1731">
        <v>32</v>
      </c>
      <c r="R1731">
        <v>2</v>
      </c>
      <c r="S1731">
        <v>1</v>
      </c>
      <c r="T1731">
        <v>0</v>
      </c>
      <c r="U1731">
        <v>0</v>
      </c>
      <c r="V1731">
        <v>1</v>
      </c>
      <c r="W1731" t="s">
        <v>55</v>
      </c>
      <c r="X1731">
        <v>27</v>
      </c>
      <c r="Y1731">
        <v>0</v>
      </c>
      <c r="Z1731">
        <f t="shared" si="162"/>
        <v>94</v>
      </c>
      <c r="AA1731">
        <f t="shared" si="163"/>
        <v>1.4583333333333333</v>
      </c>
      <c r="AB1731">
        <f t="shared" si="164"/>
        <v>2</v>
      </c>
      <c r="AC1731" t="str">
        <f t="shared" si="165"/>
        <v>Low</v>
      </c>
      <c r="AD1731" t="str">
        <f t="shared" si="166"/>
        <v>Upsell premium bundle</v>
      </c>
      <c r="AE1731">
        <f t="shared" si="167"/>
        <v>6</v>
      </c>
    </row>
    <row r="1732" spans="1:31" x14ac:dyDescent="0.35">
      <c r="A1732" t="s">
        <v>1790</v>
      </c>
      <c r="B1732" s="4">
        <v>45050</v>
      </c>
      <c r="C1732" s="4">
        <v>46143</v>
      </c>
      <c r="D1732" t="s">
        <v>39</v>
      </c>
      <c r="E1732">
        <v>67</v>
      </c>
      <c r="F1732" t="s">
        <v>43</v>
      </c>
      <c r="G1732" t="s">
        <v>34</v>
      </c>
      <c r="H1732" t="s">
        <v>41</v>
      </c>
      <c r="I1732" t="s">
        <v>36</v>
      </c>
      <c r="J1732">
        <v>36</v>
      </c>
      <c r="K1732" s="5">
        <v>64.41</v>
      </c>
      <c r="L1732" s="5">
        <v>62.54</v>
      </c>
      <c r="M1732">
        <v>0</v>
      </c>
      <c r="N1732">
        <v>0</v>
      </c>
      <c r="O1732">
        <v>0</v>
      </c>
      <c r="P1732">
        <v>0</v>
      </c>
      <c r="Q1732">
        <v>4</v>
      </c>
      <c r="R1732">
        <v>1</v>
      </c>
      <c r="S1732">
        <v>2</v>
      </c>
      <c r="T1732">
        <v>0</v>
      </c>
      <c r="U1732">
        <v>0</v>
      </c>
      <c r="V1732">
        <v>1</v>
      </c>
      <c r="W1732" t="s">
        <v>50</v>
      </c>
      <c r="X1732">
        <v>-2</v>
      </c>
      <c r="Y1732">
        <v>1</v>
      </c>
      <c r="Z1732">
        <f t="shared" si="162"/>
        <v>11</v>
      </c>
      <c r="AA1732">
        <f t="shared" si="163"/>
        <v>6.0606060606060608E-2</v>
      </c>
      <c r="AB1732">
        <f t="shared" si="164"/>
        <v>69</v>
      </c>
      <c r="AC1732" t="str">
        <f t="shared" si="165"/>
        <v>Medium</v>
      </c>
      <c r="AD1732" t="str">
        <f t="shared" si="166"/>
        <v>Nudge core feature adoption</v>
      </c>
      <c r="AE1732">
        <f t="shared" si="167"/>
        <v>89</v>
      </c>
    </row>
    <row r="1733" spans="1:31" x14ac:dyDescent="0.35">
      <c r="A1733" t="s">
        <v>1791</v>
      </c>
      <c r="B1733" s="4">
        <v>45582</v>
      </c>
      <c r="C1733" s="4">
        <v>46143</v>
      </c>
      <c r="D1733" t="s">
        <v>66</v>
      </c>
      <c r="E1733">
        <v>35</v>
      </c>
      <c r="F1733" t="s">
        <v>43</v>
      </c>
      <c r="G1733" t="s">
        <v>48</v>
      </c>
      <c r="H1733" t="s">
        <v>41</v>
      </c>
      <c r="I1733" t="s">
        <v>49</v>
      </c>
      <c r="J1733">
        <v>18</v>
      </c>
      <c r="K1733" s="5">
        <v>88.6</v>
      </c>
      <c r="L1733" s="5">
        <v>11.18</v>
      </c>
      <c r="M1733">
        <v>25</v>
      </c>
      <c r="N1733">
        <v>17</v>
      </c>
      <c r="O1733">
        <v>2</v>
      </c>
      <c r="P1733">
        <v>2</v>
      </c>
      <c r="Q1733">
        <v>3</v>
      </c>
      <c r="R1733">
        <v>0</v>
      </c>
      <c r="S1733">
        <v>0</v>
      </c>
      <c r="T1733">
        <v>1</v>
      </c>
      <c r="U1733">
        <v>0</v>
      </c>
      <c r="V1733">
        <v>0</v>
      </c>
      <c r="W1733" t="s">
        <v>50</v>
      </c>
      <c r="X1733">
        <v>44</v>
      </c>
      <c r="Y1733">
        <v>1</v>
      </c>
      <c r="Z1733">
        <f t="shared" si="162"/>
        <v>47</v>
      </c>
      <c r="AA1733">
        <f t="shared" si="163"/>
        <v>0.58333333333333337</v>
      </c>
      <c r="AB1733">
        <f t="shared" si="164"/>
        <v>33</v>
      </c>
      <c r="AC1733" t="str">
        <f t="shared" si="165"/>
        <v>Low</v>
      </c>
      <c r="AD1733" t="str">
        <f t="shared" si="166"/>
        <v>Upsell premium bundle</v>
      </c>
      <c r="AE1733">
        <f t="shared" si="167"/>
        <v>53</v>
      </c>
    </row>
    <row r="1734" spans="1:31" x14ac:dyDescent="0.35">
      <c r="A1734" t="s">
        <v>1792</v>
      </c>
      <c r="B1734" s="4">
        <v>45421</v>
      </c>
      <c r="C1734" s="4">
        <v>46143</v>
      </c>
      <c r="D1734" t="s">
        <v>66</v>
      </c>
      <c r="E1734">
        <v>38</v>
      </c>
      <c r="F1734" t="s">
        <v>33</v>
      </c>
      <c r="G1734" t="s">
        <v>40</v>
      </c>
      <c r="H1734" t="s">
        <v>44</v>
      </c>
      <c r="I1734" t="s">
        <v>36</v>
      </c>
      <c r="J1734">
        <v>24</v>
      </c>
      <c r="K1734" s="5">
        <v>411.9</v>
      </c>
      <c r="L1734" s="5">
        <v>403.63</v>
      </c>
      <c r="M1734">
        <v>31</v>
      </c>
      <c r="N1734">
        <v>12</v>
      </c>
      <c r="O1734">
        <v>6</v>
      </c>
      <c r="P1734">
        <v>5</v>
      </c>
      <c r="Q1734">
        <v>18</v>
      </c>
      <c r="R1734">
        <v>2</v>
      </c>
      <c r="S1734">
        <v>0</v>
      </c>
      <c r="T1734">
        <v>1</v>
      </c>
      <c r="U1734">
        <v>0</v>
      </c>
      <c r="V1734">
        <v>1</v>
      </c>
      <c r="W1734" t="s">
        <v>50</v>
      </c>
      <c r="X1734">
        <v>56</v>
      </c>
      <c r="Y1734">
        <v>0</v>
      </c>
      <c r="Z1734">
        <f t="shared" si="162"/>
        <v>80</v>
      </c>
      <c r="AA1734">
        <f t="shared" si="163"/>
        <v>0.90740740740740744</v>
      </c>
      <c r="AB1734">
        <f t="shared" si="164"/>
        <v>0</v>
      </c>
      <c r="AC1734" t="str">
        <f t="shared" si="165"/>
        <v>Low</v>
      </c>
      <c r="AD1734" t="str">
        <f t="shared" si="166"/>
        <v>Upsell premium bundle</v>
      </c>
      <c r="AE1734">
        <f t="shared" si="167"/>
        <v>20</v>
      </c>
    </row>
    <row r="1735" spans="1:31" x14ac:dyDescent="0.35">
      <c r="A1735" t="s">
        <v>1793</v>
      </c>
      <c r="B1735" s="4">
        <v>45962</v>
      </c>
      <c r="C1735" s="4">
        <v>46143</v>
      </c>
      <c r="D1735" t="s">
        <v>60</v>
      </c>
      <c r="E1735">
        <v>44</v>
      </c>
      <c r="F1735" t="s">
        <v>33</v>
      </c>
      <c r="G1735" t="s">
        <v>34</v>
      </c>
      <c r="H1735" t="s">
        <v>41</v>
      </c>
      <c r="I1735" t="s">
        <v>36</v>
      </c>
      <c r="J1735">
        <v>6</v>
      </c>
      <c r="K1735" s="5">
        <v>278.79000000000002</v>
      </c>
      <c r="L1735" s="5">
        <v>53.75</v>
      </c>
      <c r="M1735">
        <v>41</v>
      </c>
      <c r="N1735">
        <v>16</v>
      </c>
      <c r="O1735">
        <v>2</v>
      </c>
      <c r="P1735">
        <v>6</v>
      </c>
      <c r="Q1735">
        <v>37</v>
      </c>
      <c r="R1735">
        <v>4</v>
      </c>
      <c r="S1735">
        <v>2</v>
      </c>
      <c r="T1735">
        <v>1</v>
      </c>
      <c r="U1735">
        <v>0</v>
      </c>
      <c r="V1735">
        <v>1</v>
      </c>
      <c r="W1735" t="s">
        <v>52</v>
      </c>
      <c r="X1735">
        <v>1</v>
      </c>
      <c r="Y1735">
        <v>1</v>
      </c>
      <c r="Z1735">
        <f t="shared" si="162"/>
        <v>100</v>
      </c>
      <c r="AA1735">
        <f t="shared" si="163"/>
        <v>2.1666666666666665</v>
      </c>
      <c r="AB1735">
        <f t="shared" si="164"/>
        <v>28</v>
      </c>
      <c r="AC1735" t="str">
        <f t="shared" si="165"/>
        <v>Low</v>
      </c>
      <c r="AD1735" t="str">
        <f t="shared" si="166"/>
        <v>Upsell premium bundle</v>
      </c>
      <c r="AE1735">
        <f t="shared" si="167"/>
        <v>0</v>
      </c>
    </row>
    <row r="1736" spans="1:31" x14ac:dyDescent="0.35">
      <c r="A1736" t="s">
        <v>1794</v>
      </c>
      <c r="B1736" s="4">
        <v>44975</v>
      </c>
      <c r="C1736" s="4">
        <v>46143</v>
      </c>
      <c r="D1736" t="s">
        <v>72</v>
      </c>
      <c r="E1736">
        <v>40</v>
      </c>
      <c r="F1736" t="s">
        <v>57</v>
      </c>
      <c r="G1736" t="s">
        <v>63</v>
      </c>
      <c r="H1736" t="s">
        <v>58</v>
      </c>
      <c r="I1736" t="s">
        <v>36</v>
      </c>
      <c r="J1736">
        <v>38</v>
      </c>
      <c r="K1736" s="5">
        <v>2904.08</v>
      </c>
      <c r="L1736" s="5">
        <v>776.16</v>
      </c>
      <c r="M1736">
        <v>31</v>
      </c>
      <c r="N1736">
        <v>7</v>
      </c>
      <c r="O1736">
        <v>3</v>
      </c>
      <c r="P1736">
        <v>4</v>
      </c>
      <c r="Q1736">
        <v>33</v>
      </c>
      <c r="R1736">
        <v>1</v>
      </c>
      <c r="S1736">
        <v>0</v>
      </c>
      <c r="T1736">
        <v>0</v>
      </c>
      <c r="U1736">
        <v>0</v>
      </c>
      <c r="V1736">
        <v>1</v>
      </c>
      <c r="W1736" t="s">
        <v>50</v>
      </c>
      <c r="X1736">
        <v>37</v>
      </c>
      <c r="Y1736">
        <v>0</v>
      </c>
      <c r="Z1736">
        <f t="shared" si="162"/>
        <v>85</v>
      </c>
      <c r="AA1736">
        <f t="shared" si="163"/>
        <v>0.94117647058823528</v>
      </c>
      <c r="AB1736">
        <f t="shared" si="164"/>
        <v>0</v>
      </c>
      <c r="AC1736" t="str">
        <f t="shared" si="165"/>
        <v>Low</v>
      </c>
      <c r="AD1736" t="str">
        <f t="shared" si="166"/>
        <v>Upsell premium bundle</v>
      </c>
      <c r="AE1736">
        <f t="shared" si="167"/>
        <v>15</v>
      </c>
    </row>
    <row r="1737" spans="1:31" x14ac:dyDescent="0.35">
      <c r="A1737" t="s">
        <v>1795</v>
      </c>
      <c r="B1737" s="4">
        <v>45386</v>
      </c>
      <c r="C1737" s="4">
        <v>46143</v>
      </c>
      <c r="D1737" t="s">
        <v>47</v>
      </c>
      <c r="E1737">
        <v>68</v>
      </c>
      <c r="F1737" t="s">
        <v>57</v>
      </c>
      <c r="G1737" t="s">
        <v>63</v>
      </c>
      <c r="H1737" t="s">
        <v>58</v>
      </c>
      <c r="I1737" t="s">
        <v>36</v>
      </c>
      <c r="J1737">
        <v>25</v>
      </c>
      <c r="K1737" s="5">
        <v>630.59</v>
      </c>
      <c r="L1737" s="5">
        <v>614.74</v>
      </c>
      <c r="M1737">
        <v>22</v>
      </c>
      <c r="N1737">
        <v>7</v>
      </c>
      <c r="O1737">
        <v>5</v>
      </c>
      <c r="P1737">
        <v>2</v>
      </c>
      <c r="Q1737">
        <v>29</v>
      </c>
      <c r="R1737">
        <v>0</v>
      </c>
      <c r="S1737">
        <v>1</v>
      </c>
      <c r="T1737">
        <v>0</v>
      </c>
      <c r="U1737">
        <v>1</v>
      </c>
      <c r="V1737">
        <v>0</v>
      </c>
      <c r="W1737" t="s">
        <v>37</v>
      </c>
      <c r="X1737">
        <v>63</v>
      </c>
      <c r="Y1737">
        <v>0</v>
      </c>
      <c r="Z1737">
        <f t="shared" si="162"/>
        <v>72</v>
      </c>
      <c r="AA1737">
        <f t="shared" si="163"/>
        <v>0.92727272727272725</v>
      </c>
      <c r="AB1737">
        <f t="shared" si="164"/>
        <v>0</v>
      </c>
      <c r="AC1737" t="str">
        <f t="shared" si="165"/>
        <v>Low</v>
      </c>
      <c r="AD1737" t="str">
        <f t="shared" si="166"/>
        <v>Upsell premium bundle</v>
      </c>
      <c r="AE1737">
        <f t="shared" si="167"/>
        <v>28</v>
      </c>
    </row>
    <row r="1738" spans="1:31" x14ac:dyDescent="0.35">
      <c r="A1738" t="s">
        <v>1796</v>
      </c>
      <c r="B1738" s="4">
        <v>45553</v>
      </c>
      <c r="C1738" s="4">
        <v>46143</v>
      </c>
      <c r="D1738" t="s">
        <v>39</v>
      </c>
      <c r="E1738">
        <v>69</v>
      </c>
      <c r="F1738" t="s">
        <v>33</v>
      </c>
      <c r="G1738" t="s">
        <v>48</v>
      </c>
      <c r="H1738" t="s">
        <v>41</v>
      </c>
      <c r="I1738" t="s">
        <v>36</v>
      </c>
      <c r="J1738">
        <v>19</v>
      </c>
      <c r="K1738" s="5">
        <v>55.69</v>
      </c>
      <c r="L1738" s="5">
        <v>254.89</v>
      </c>
      <c r="M1738">
        <v>9</v>
      </c>
      <c r="N1738">
        <v>4</v>
      </c>
      <c r="O1738">
        <v>2</v>
      </c>
      <c r="P1738">
        <v>0</v>
      </c>
      <c r="Q1738">
        <v>15</v>
      </c>
      <c r="R1738">
        <v>0</v>
      </c>
      <c r="S1738">
        <v>1</v>
      </c>
      <c r="T1738">
        <v>0</v>
      </c>
      <c r="U1738">
        <v>1</v>
      </c>
      <c r="V1738">
        <v>0</v>
      </c>
      <c r="W1738" t="s">
        <v>37</v>
      </c>
      <c r="X1738">
        <v>86</v>
      </c>
      <c r="Y1738">
        <v>0</v>
      </c>
      <c r="Z1738">
        <f t="shared" si="162"/>
        <v>37</v>
      </c>
      <c r="AA1738">
        <f t="shared" si="163"/>
        <v>0.48979591836734693</v>
      </c>
      <c r="AB1738">
        <f t="shared" si="164"/>
        <v>8</v>
      </c>
      <c r="AC1738" t="str">
        <f t="shared" si="165"/>
        <v>Low</v>
      </c>
      <c r="AD1738" t="str">
        <f t="shared" si="166"/>
        <v>Upsell premium bundle</v>
      </c>
      <c r="AE1738">
        <f t="shared" si="167"/>
        <v>63</v>
      </c>
    </row>
    <row r="1739" spans="1:31" x14ac:dyDescent="0.35">
      <c r="A1739" t="s">
        <v>1797</v>
      </c>
      <c r="B1739" s="4">
        <v>45396</v>
      </c>
      <c r="C1739" s="4">
        <v>46143</v>
      </c>
      <c r="D1739" t="s">
        <v>47</v>
      </c>
      <c r="E1739">
        <v>64</v>
      </c>
      <c r="F1739" t="s">
        <v>43</v>
      </c>
      <c r="G1739" t="s">
        <v>85</v>
      </c>
      <c r="H1739" t="s">
        <v>41</v>
      </c>
      <c r="I1739" t="s">
        <v>36</v>
      </c>
      <c r="J1739">
        <v>24</v>
      </c>
      <c r="K1739" s="5">
        <v>119.15</v>
      </c>
      <c r="L1739" s="5">
        <v>28.84</v>
      </c>
      <c r="M1739">
        <v>23</v>
      </c>
      <c r="N1739">
        <v>15</v>
      </c>
      <c r="O1739">
        <v>5</v>
      </c>
      <c r="P1739">
        <v>4</v>
      </c>
      <c r="Q1739">
        <v>12</v>
      </c>
      <c r="R1739">
        <v>4</v>
      </c>
      <c r="S1739">
        <v>3</v>
      </c>
      <c r="T1739">
        <v>0</v>
      </c>
      <c r="U1739">
        <v>0</v>
      </c>
      <c r="V1739">
        <v>0</v>
      </c>
      <c r="W1739" t="s">
        <v>55</v>
      </c>
      <c r="X1739">
        <v>44</v>
      </c>
      <c r="Y1739">
        <v>1</v>
      </c>
      <c r="Z1739">
        <f t="shared" si="162"/>
        <v>58</v>
      </c>
      <c r="AA1739">
        <f t="shared" si="163"/>
        <v>0.64814814814814814</v>
      </c>
      <c r="AB1739">
        <f t="shared" si="164"/>
        <v>31</v>
      </c>
      <c r="AC1739" t="str">
        <f t="shared" si="165"/>
        <v>Low</v>
      </c>
      <c r="AD1739" t="str">
        <f t="shared" si="166"/>
        <v>Upsell premium bundle</v>
      </c>
      <c r="AE1739">
        <f t="shared" si="167"/>
        <v>42</v>
      </c>
    </row>
    <row r="1740" spans="1:31" x14ac:dyDescent="0.35">
      <c r="A1740" t="s">
        <v>1798</v>
      </c>
      <c r="B1740" s="4">
        <v>45541</v>
      </c>
      <c r="C1740" s="4">
        <v>46143</v>
      </c>
      <c r="D1740" t="s">
        <v>39</v>
      </c>
      <c r="E1740">
        <v>24</v>
      </c>
      <c r="F1740" t="s">
        <v>43</v>
      </c>
      <c r="G1740" t="s">
        <v>40</v>
      </c>
      <c r="H1740" t="s">
        <v>58</v>
      </c>
      <c r="I1740" t="s">
        <v>36</v>
      </c>
      <c r="J1740">
        <v>20</v>
      </c>
      <c r="K1740" s="5">
        <v>118.27</v>
      </c>
      <c r="L1740" s="5">
        <v>61.19</v>
      </c>
      <c r="M1740">
        <v>36</v>
      </c>
      <c r="N1740">
        <v>19</v>
      </c>
      <c r="O1740">
        <v>4</v>
      </c>
      <c r="P1740">
        <v>0</v>
      </c>
      <c r="Q1740">
        <v>28</v>
      </c>
      <c r="R1740">
        <v>3</v>
      </c>
      <c r="S1740">
        <v>0</v>
      </c>
      <c r="T1740">
        <v>1</v>
      </c>
      <c r="U1740">
        <v>0</v>
      </c>
      <c r="V1740">
        <v>1</v>
      </c>
      <c r="W1740" t="s">
        <v>52</v>
      </c>
      <c r="X1740">
        <v>32</v>
      </c>
      <c r="Y1740">
        <v>0</v>
      </c>
      <c r="Z1740">
        <f t="shared" si="162"/>
        <v>90</v>
      </c>
      <c r="AA1740">
        <f t="shared" si="163"/>
        <v>1.28</v>
      </c>
      <c r="AB1740">
        <f t="shared" si="164"/>
        <v>0</v>
      </c>
      <c r="AC1740" t="str">
        <f t="shared" si="165"/>
        <v>Low</v>
      </c>
      <c r="AD1740" t="str">
        <f t="shared" si="166"/>
        <v>Upsell premium bundle</v>
      </c>
      <c r="AE1740">
        <f t="shared" si="167"/>
        <v>10</v>
      </c>
    </row>
    <row r="1741" spans="1:31" x14ac:dyDescent="0.35">
      <c r="A1741" t="s">
        <v>1799</v>
      </c>
      <c r="B1741" s="4">
        <v>45819</v>
      </c>
      <c r="C1741" s="4">
        <v>46143</v>
      </c>
      <c r="D1741" t="s">
        <v>66</v>
      </c>
      <c r="E1741">
        <v>70</v>
      </c>
      <c r="F1741" t="s">
        <v>57</v>
      </c>
      <c r="G1741" t="s">
        <v>85</v>
      </c>
      <c r="H1741" t="s">
        <v>41</v>
      </c>
      <c r="I1741" t="s">
        <v>49</v>
      </c>
      <c r="J1741">
        <v>10</v>
      </c>
      <c r="K1741" s="5">
        <v>1447.71</v>
      </c>
      <c r="L1741" s="5">
        <v>1400.07</v>
      </c>
      <c r="M1741">
        <v>22</v>
      </c>
      <c r="N1741">
        <v>8</v>
      </c>
      <c r="O1741">
        <v>5</v>
      </c>
      <c r="P1741">
        <v>0</v>
      </c>
      <c r="Q1741">
        <v>18</v>
      </c>
      <c r="R1741">
        <v>1</v>
      </c>
      <c r="S1741">
        <v>0</v>
      </c>
      <c r="T1741">
        <v>0</v>
      </c>
      <c r="U1741">
        <v>0</v>
      </c>
      <c r="V1741">
        <v>1</v>
      </c>
      <c r="W1741" t="s">
        <v>55</v>
      </c>
      <c r="X1741">
        <v>13</v>
      </c>
      <c r="Y1741">
        <v>0</v>
      </c>
      <c r="Z1741">
        <f t="shared" si="162"/>
        <v>59</v>
      </c>
      <c r="AA1741">
        <f t="shared" si="163"/>
        <v>1</v>
      </c>
      <c r="AB1741">
        <f t="shared" si="164"/>
        <v>42</v>
      </c>
      <c r="AC1741" t="str">
        <f t="shared" si="165"/>
        <v>Medium</v>
      </c>
      <c r="AD1741" t="str">
        <f t="shared" si="166"/>
        <v>Nudge core feature adoption</v>
      </c>
      <c r="AE1741">
        <f t="shared" si="167"/>
        <v>41</v>
      </c>
    </row>
    <row r="1742" spans="1:31" x14ac:dyDescent="0.35">
      <c r="A1742" t="s">
        <v>1800</v>
      </c>
      <c r="B1742" s="4">
        <v>45256</v>
      </c>
      <c r="C1742" s="4">
        <v>46143</v>
      </c>
      <c r="D1742" t="s">
        <v>66</v>
      </c>
      <c r="E1742">
        <v>49</v>
      </c>
      <c r="F1742" t="s">
        <v>33</v>
      </c>
      <c r="G1742" t="s">
        <v>34</v>
      </c>
      <c r="H1742" t="s">
        <v>41</v>
      </c>
      <c r="I1742" t="s">
        <v>36</v>
      </c>
      <c r="J1742">
        <v>29</v>
      </c>
      <c r="K1742" s="5">
        <v>413.39</v>
      </c>
      <c r="L1742" s="5">
        <v>38.26</v>
      </c>
      <c r="M1742">
        <v>10</v>
      </c>
      <c r="N1742">
        <v>6</v>
      </c>
      <c r="O1742">
        <v>2</v>
      </c>
      <c r="P1742">
        <v>2</v>
      </c>
      <c r="Q1742">
        <v>8</v>
      </c>
      <c r="R1742">
        <v>0</v>
      </c>
      <c r="S1742">
        <v>0</v>
      </c>
      <c r="T1742">
        <v>0</v>
      </c>
      <c r="U1742">
        <v>0</v>
      </c>
      <c r="V1742">
        <v>1</v>
      </c>
      <c r="W1742" t="s">
        <v>45</v>
      </c>
      <c r="X1742">
        <v>-21</v>
      </c>
      <c r="Y1742">
        <v>1</v>
      </c>
      <c r="Z1742">
        <f t="shared" si="162"/>
        <v>35</v>
      </c>
      <c r="AA1742">
        <f t="shared" si="163"/>
        <v>0.30508474576271188</v>
      </c>
      <c r="AB1742">
        <f t="shared" si="164"/>
        <v>55</v>
      </c>
      <c r="AC1742" t="str">
        <f t="shared" si="165"/>
        <v>Medium</v>
      </c>
      <c r="AD1742" t="str">
        <f t="shared" si="166"/>
        <v>Nudge core feature adoption</v>
      </c>
      <c r="AE1742">
        <f t="shared" si="167"/>
        <v>65</v>
      </c>
    </row>
    <row r="1743" spans="1:31" x14ac:dyDescent="0.35">
      <c r="A1743" t="s">
        <v>1801</v>
      </c>
      <c r="B1743" s="4">
        <v>44994</v>
      </c>
      <c r="C1743" s="4">
        <v>46143</v>
      </c>
      <c r="D1743" t="s">
        <v>32</v>
      </c>
      <c r="E1743">
        <v>52</v>
      </c>
      <c r="F1743" t="s">
        <v>43</v>
      </c>
      <c r="G1743" t="s">
        <v>67</v>
      </c>
      <c r="H1743" t="s">
        <v>41</v>
      </c>
      <c r="I1743" t="s">
        <v>36</v>
      </c>
      <c r="J1743">
        <v>38</v>
      </c>
      <c r="K1743" s="5">
        <v>151.63999999999999</v>
      </c>
      <c r="L1743" s="5">
        <v>0</v>
      </c>
      <c r="M1743">
        <v>23</v>
      </c>
      <c r="N1743">
        <v>10</v>
      </c>
      <c r="O1743">
        <v>3</v>
      </c>
      <c r="P1743">
        <v>2</v>
      </c>
      <c r="Q1743">
        <v>27</v>
      </c>
      <c r="R1743">
        <v>2</v>
      </c>
      <c r="S1743">
        <v>0</v>
      </c>
      <c r="T1743">
        <v>0</v>
      </c>
      <c r="U1743">
        <v>0</v>
      </c>
      <c r="V1743">
        <v>1</v>
      </c>
      <c r="W1743" t="s">
        <v>37</v>
      </c>
      <c r="X1743">
        <v>47</v>
      </c>
      <c r="Y1743">
        <v>0</v>
      </c>
      <c r="Z1743">
        <f t="shared" si="162"/>
        <v>70</v>
      </c>
      <c r="AA1743">
        <f t="shared" si="163"/>
        <v>0.73529411764705888</v>
      </c>
      <c r="AB1743">
        <f t="shared" si="164"/>
        <v>4</v>
      </c>
      <c r="AC1743" t="str">
        <f t="shared" si="165"/>
        <v>Low</v>
      </c>
      <c r="AD1743" t="str">
        <f t="shared" si="166"/>
        <v>Upsell premium bundle</v>
      </c>
      <c r="AE1743">
        <f t="shared" si="167"/>
        <v>30</v>
      </c>
    </row>
    <row r="1744" spans="1:31" x14ac:dyDescent="0.35">
      <c r="A1744" t="s">
        <v>1802</v>
      </c>
      <c r="B1744" s="4">
        <v>45201</v>
      </c>
      <c r="C1744" s="4">
        <v>46143</v>
      </c>
      <c r="D1744" t="s">
        <v>39</v>
      </c>
      <c r="E1744">
        <v>63</v>
      </c>
      <c r="F1744" t="s">
        <v>43</v>
      </c>
      <c r="G1744" t="s">
        <v>85</v>
      </c>
      <c r="H1744" t="s">
        <v>58</v>
      </c>
      <c r="I1744" t="s">
        <v>36</v>
      </c>
      <c r="J1744">
        <v>31</v>
      </c>
      <c r="K1744" s="5">
        <v>47.86</v>
      </c>
      <c r="L1744" s="5">
        <v>81.44</v>
      </c>
      <c r="M1744">
        <v>12</v>
      </c>
      <c r="N1744">
        <v>5</v>
      </c>
      <c r="O1744">
        <v>0</v>
      </c>
      <c r="P1744">
        <v>0</v>
      </c>
      <c r="Q1744">
        <v>7</v>
      </c>
      <c r="R1744">
        <v>3</v>
      </c>
      <c r="S1744">
        <v>1</v>
      </c>
      <c r="T1744">
        <v>0</v>
      </c>
      <c r="U1744">
        <v>0</v>
      </c>
      <c r="V1744">
        <v>0</v>
      </c>
      <c r="W1744" t="s">
        <v>50</v>
      </c>
      <c r="X1744">
        <v>-12</v>
      </c>
      <c r="Y1744">
        <v>1</v>
      </c>
      <c r="Z1744">
        <f t="shared" si="162"/>
        <v>23</v>
      </c>
      <c r="AA1744">
        <f t="shared" si="163"/>
        <v>0.31147540983606559</v>
      </c>
      <c r="AB1744">
        <f t="shared" si="164"/>
        <v>48</v>
      </c>
      <c r="AC1744" t="str">
        <f t="shared" si="165"/>
        <v>Medium</v>
      </c>
      <c r="AD1744" t="str">
        <f t="shared" si="166"/>
        <v>Nudge core feature adoption</v>
      </c>
      <c r="AE1744">
        <f t="shared" si="167"/>
        <v>77</v>
      </c>
    </row>
    <row r="1745" spans="1:31" x14ac:dyDescent="0.35">
      <c r="A1745" t="s">
        <v>1803</v>
      </c>
      <c r="B1745" s="4">
        <v>45443</v>
      </c>
      <c r="C1745" s="4">
        <v>46143</v>
      </c>
      <c r="D1745" t="s">
        <v>72</v>
      </c>
      <c r="E1745">
        <v>33</v>
      </c>
      <c r="F1745" t="s">
        <v>57</v>
      </c>
      <c r="G1745" t="s">
        <v>34</v>
      </c>
      <c r="H1745" t="s">
        <v>41</v>
      </c>
      <c r="I1745" t="s">
        <v>36</v>
      </c>
      <c r="J1745">
        <v>23</v>
      </c>
      <c r="K1745" s="5">
        <v>0</v>
      </c>
      <c r="L1745" s="5">
        <v>1009.61</v>
      </c>
      <c r="M1745">
        <v>23</v>
      </c>
      <c r="N1745">
        <v>11</v>
      </c>
      <c r="O1745">
        <v>1</v>
      </c>
      <c r="P1745">
        <v>2</v>
      </c>
      <c r="Q1745">
        <v>17</v>
      </c>
      <c r="R1745">
        <v>0</v>
      </c>
      <c r="S1745">
        <v>0</v>
      </c>
      <c r="T1745">
        <v>0</v>
      </c>
      <c r="U1745">
        <v>1</v>
      </c>
      <c r="V1745">
        <v>1</v>
      </c>
      <c r="W1745" t="s">
        <v>45</v>
      </c>
      <c r="X1745">
        <v>56</v>
      </c>
      <c r="Y1745">
        <v>0</v>
      </c>
      <c r="Z1745">
        <f t="shared" si="162"/>
        <v>67</v>
      </c>
      <c r="AA1745">
        <f t="shared" si="163"/>
        <v>0.75471698113207553</v>
      </c>
      <c r="AB1745">
        <f t="shared" si="164"/>
        <v>3</v>
      </c>
      <c r="AC1745" t="str">
        <f t="shared" si="165"/>
        <v>Low</v>
      </c>
      <c r="AD1745" t="str">
        <f t="shared" si="166"/>
        <v>Upsell premium bundle</v>
      </c>
      <c r="AE1745">
        <f t="shared" si="167"/>
        <v>33</v>
      </c>
    </row>
    <row r="1746" spans="1:31" x14ac:dyDescent="0.35">
      <c r="A1746" t="s">
        <v>1804</v>
      </c>
      <c r="B1746" s="4">
        <v>45389</v>
      </c>
      <c r="C1746" s="4">
        <v>46143</v>
      </c>
      <c r="D1746" t="s">
        <v>60</v>
      </c>
      <c r="E1746">
        <v>50</v>
      </c>
      <c r="F1746" t="s">
        <v>57</v>
      </c>
      <c r="G1746" t="s">
        <v>67</v>
      </c>
      <c r="H1746" t="s">
        <v>58</v>
      </c>
      <c r="I1746" t="s">
        <v>54</v>
      </c>
      <c r="J1746">
        <v>25</v>
      </c>
      <c r="K1746" s="5">
        <v>380.4</v>
      </c>
      <c r="L1746" s="5">
        <v>760.8</v>
      </c>
      <c r="M1746">
        <v>29</v>
      </c>
      <c r="N1746">
        <v>20</v>
      </c>
      <c r="O1746">
        <v>1</v>
      </c>
      <c r="P1746">
        <v>4</v>
      </c>
      <c r="Q1746">
        <v>26</v>
      </c>
      <c r="R1746">
        <v>0</v>
      </c>
      <c r="S1746">
        <v>0</v>
      </c>
      <c r="T1746">
        <v>0</v>
      </c>
      <c r="U1746">
        <v>0</v>
      </c>
      <c r="V1746">
        <v>1</v>
      </c>
      <c r="W1746" t="s">
        <v>55</v>
      </c>
      <c r="X1746">
        <v>7</v>
      </c>
      <c r="Y1746">
        <v>1</v>
      </c>
      <c r="Z1746">
        <f t="shared" si="162"/>
        <v>83</v>
      </c>
      <c r="AA1746">
        <f t="shared" si="163"/>
        <v>1</v>
      </c>
      <c r="AB1746">
        <f t="shared" si="164"/>
        <v>27</v>
      </c>
      <c r="AC1746" t="str">
        <f t="shared" si="165"/>
        <v>Low</v>
      </c>
      <c r="AD1746" t="str">
        <f t="shared" si="166"/>
        <v>Upsell premium bundle</v>
      </c>
      <c r="AE1746">
        <f t="shared" si="167"/>
        <v>17</v>
      </c>
    </row>
    <row r="1747" spans="1:31" x14ac:dyDescent="0.35">
      <c r="A1747" t="s">
        <v>1805</v>
      </c>
      <c r="B1747" s="4">
        <v>45253</v>
      </c>
      <c r="C1747" s="4">
        <v>46143</v>
      </c>
      <c r="D1747" t="s">
        <v>72</v>
      </c>
      <c r="E1747">
        <v>58</v>
      </c>
      <c r="F1747" t="s">
        <v>33</v>
      </c>
      <c r="G1747" t="s">
        <v>40</v>
      </c>
      <c r="H1747" t="s">
        <v>41</v>
      </c>
      <c r="I1747" t="s">
        <v>36</v>
      </c>
      <c r="J1747">
        <v>29</v>
      </c>
      <c r="K1747" s="5">
        <v>838.99</v>
      </c>
      <c r="L1747" s="5">
        <v>270.37</v>
      </c>
      <c r="M1747">
        <v>23</v>
      </c>
      <c r="N1747">
        <v>8</v>
      </c>
      <c r="O1747">
        <v>1</v>
      </c>
      <c r="P1747">
        <v>2</v>
      </c>
      <c r="Q1747">
        <v>8</v>
      </c>
      <c r="R1747">
        <v>3</v>
      </c>
      <c r="S1747">
        <v>1</v>
      </c>
      <c r="T1747">
        <v>1</v>
      </c>
      <c r="U1747">
        <v>0</v>
      </c>
      <c r="V1747">
        <v>1</v>
      </c>
      <c r="W1747" t="s">
        <v>55</v>
      </c>
      <c r="X1747">
        <v>11</v>
      </c>
      <c r="Y1747">
        <v>1</v>
      </c>
      <c r="Z1747">
        <f t="shared" si="162"/>
        <v>49</v>
      </c>
      <c r="AA1747">
        <f t="shared" si="163"/>
        <v>0.52542372881355937</v>
      </c>
      <c r="AB1747">
        <f t="shared" si="164"/>
        <v>36</v>
      </c>
      <c r="AC1747" t="str">
        <f t="shared" si="165"/>
        <v>Low</v>
      </c>
      <c r="AD1747" t="str">
        <f t="shared" si="166"/>
        <v>Upsell premium bundle</v>
      </c>
      <c r="AE1747">
        <f t="shared" si="167"/>
        <v>51</v>
      </c>
    </row>
    <row r="1748" spans="1:31" x14ac:dyDescent="0.35">
      <c r="A1748" t="s">
        <v>1806</v>
      </c>
      <c r="B1748" s="4">
        <v>46088</v>
      </c>
      <c r="C1748" s="4">
        <v>46143</v>
      </c>
      <c r="D1748" t="s">
        <v>32</v>
      </c>
      <c r="E1748">
        <v>36</v>
      </c>
      <c r="F1748" t="s">
        <v>43</v>
      </c>
      <c r="G1748" t="s">
        <v>40</v>
      </c>
      <c r="H1748" t="s">
        <v>41</v>
      </c>
      <c r="I1748" t="s">
        <v>36</v>
      </c>
      <c r="J1748">
        <v>1</v>
      </c>
      <c r="K1748" s="5">
        <v>165.08</v>
      </c>
      <c r="L1748" s="5">
        <v>112.32</v>
      </c>
      <c r="M1748">
        <v>19</v>
      </c>
      <c r="N1748">
        <v>10</v>
      </c>
      <c r="O1748">
        <v>2</v>
      </c>
      <c r="P1748">
        <v>0</v>
      </c>
      <c r="Q1748">
        <v>9</v>
      </c>
      <c r="R1748">
        <v>0</v>
      </c>
      <c r="S1748">
        <v>1</v>
      </c>
      <c r="T1748">
        <v>0</v>
      </c>
      <c r="U1748">
        <v>0</v>
      </c>
      <c r="V1748">
        <v>1</v>
      </c>
      <c r="W1748" t="s">
        <v>52</v>
      </c>
      <c r="X1748">
        <v>44</v>
      </c>
      <c r="Y1748">
        <v>1</v>
      </c>
      <c r="Z1748">
        <f t="shared" si="162"/>
        <v>45</v>
      </c>
      <c r="AA1748">
        <f t="shared" si="163"/>
        <v>0.90322580645161288</v>
      </c>
      <c r="AB1748">
        <f t="shared" si="164"/>
        <v>26</v>
      </c>
      <c r="AC1748" t="str">
        <f t="shared" si="165"/>
        <v>Low</v>
      </c>
      <c r="AD1748" t="str">
        <f t="shared" si="166"/>
        <v>Upsell premium bundle</v>
      </c>
      <c r="AE1748">
        <f t="shared" si="167"/>
        <v>55</v>
      </c>
    </row>
    <row r="1749" spans="1:31" x14ac:dyDescent="0.35">
      <c r="A1749" t="s">
        <v>1807</v>
      </c>
      <c r="B1749" s="4">
        <v>45807</v>
      </c>
      <c r="C1749" s="4">
        <v>46143</v>
      </c>
      <c r="D1749" t="s">
        <v>60</v>
      </c>
      <c r="E1749">
        <v>61</v>
      </c>
      <c r="F1749" t="s">
        <v>61</v>
      </c>
      <c r="G1749" t="s">
        <v>48</v>
      </c>
      <c r="H1749" t="s">
        <v>41</v>
      </c>
      <c r="I1749" t="s">
        <v>36</v>
      </c>
      <c r="J1749">
        <v>11</v>
      </c>
      <c r="K1749" s="5">
        <v>7228.25</v>
      </c>
      <c r="L1749" s="5">
        <v>1171.17</v>
      </c>
      <c r="M1749">
        <v>3</v>
      </c>
      <c r="N1749">
        <v>2</v>
      </c>
      <c r="O1749">
        <v>0</v>
      </c>
      <c r="P1749">
        <v>0</v>
      </c>
      <c r="Q1749">
        <v>15</v>
      </c>
      <c r="R1749">
        <v>1</v>
      </c>
      <c r="S1749">
        <v>0</v>
      </c>
      <c r="T1749">
        <v>0</v>
      </c>
      <c r="U1749">
        <v>0</v>
      </c>
      <c r="V1749">
        <v>0</v>
      </c>
      <c r="W1749" t="s">
        <v>52</v>
      </c>
      <c r="X1749">
        <v>51</v>
      </c>
      <c r="Y1749">
        <v>1</v>
      </c>
      <c r="Z1749">
        <f t="shared" si="162"/>
        <v>18</v>
      </c>
      <c r="AA1749">
        <f t="shared" si="163"/>
        <v>0.43902439024390244</v>
      </c>
      <c r="AB1749">
        <f t="shared" si="164"/>
        <v>24</v>
      </c>
      <c r="AC1749" t="str">
        <f t="shared" si="165"/>
        <v>Low</v>
      </c>
      <c r="AD1749" t="str">
        <f t="shared" si="166"/>
        <v>Upsell premium bundle</v>
      </c>
      <c r="AE1749">
        <f t="shared" si="167"/>
        <v>82</v>
      </c>
    </row>
    <row r="1750" spans="1:31" x14ac:dyDescent="0.35">
      <c r="A1750" t="s">
        <v>1808</v>
      </c>
      <c r="B1750" s="4">
        <v>44755</v>
      </c>
      <c r="C1750" s="4">
        <v>46143</v>
      </c>
      <c r="D1750" t="s">
        <v>72</v>
      </c>
      <c r="E1750">
        <v>54</v>
      </c>
      <c r="F1750" t="s">
        <v>61</v>
      </c>
      <c r="G1750" t="s">
        <v>67</v>
      </c>
      <c r="H1750" t="s">
        <v>44</v>
      </c>
      <c r="I1750" t="s">
        <v>36</v>
      </c>
      <c r="J1750">
        <v>46</v>
      </c>
      <c r="K1750" s="5">
        <v>1942.22</v>
      </c>
      <c r="L1750" s="5">
        <v>3721.99</v>
      </c>
      <c r="M1750">
        <v>19</v>
      </c>
      <c r="N1750">
        <v>7</v>
      </c>
      <c r="O1750">
        <v>3</v>
      </c>
      <c r="P1750">
        <v>0</v>
      </c>
      <c r="Q1750">
        <v>8</v>
      </c>
      <c r="R1750">
        <v>1</v>
      </c>
      <c r="S1750">
        <v>2</v>
      </c>
      <c r="T1750">
        <v>0</v>
      </c>
      <c r="U1750">
        <v>1</v>
      </c>
      <c r="V1750">
        <v>1</v>
      </c>
      <c r="W1750" t="s">
        <v>45</v>
      </c>
      <c r="X1750">
        <v>4</v>
      </c>
      <c r="Y1750">
        <v>1</v>
      </c>
      <c r="Z1750">
        <f t="shared" si="162"/>
        <v>52</v>
      </c>
      <c r="AA1750">
        <f t="shared" si="163"/>
        <v>0.35526315789473684</v>
      </c>
      <c r="AB1750">
        <f t="shared" si="164"/>
        <v>30</v>
      </c>
      <c r="AC1750" t="str">
        <f t="shared" si="165"/>
        <v>Low</v>
      </c>
      <c r="AD1750" t="str">
        <f t="shared" si="166"/>
        <v>Upsell premium bundle</v>
      </c>
      <c r="AE1750">
        <f t="shared" si="167"/>
        <v>48</v>
      </c>
    </row>
    <row r="1751" spans="1:31" x14ac:dyDescent="0.35">
      <c r="A1751" t="s">
        <v>1809</v>
      </c>
      <c r="B1751" s="4">
        <v>45949</v>
      </c>
      <c r="C1751" s="4">
        <v>46143</v>
      </c>
      <c r="D1751" t="s">
        <v>72</v>
      </c>
      <c r="E1751">
        <v>28</v>
      </c>
      <c r="F1751" t="s">
        <v>57</v>
      </c>
      <c r="G1751" t="s">
        <v>40</v>
      </c>
      <c r="H1751" t="s">
        <v>41</v>
      </c>
      <c r="I1751" t="s">
        <v>49</v>
      </c>
      <c r="J1751">
        <v>6</v>
      </c>
      <c r="K1751" s="5">
        <v>1343.54</v>
      </c>
      <c r="L1751" s="5">
        <v>1235.8399999999999</v>
      </c>
      <c r="M1751">
        <v>27</v>
      </c>
      <c r="N1751">
        <v>7</v>
      </c>
      <c r="O1751">
        <v>4</v>
      </c>
      <c r="P1751">
        <v>0</v>
      </c>
      <c r="Q1751">
        <v>21</v>
      </c>
      <c r="R1751">
        <v>1</v>
      </c>
      <c r="S1751">
        <v>0</v>
      </c>
      <c r="T1751">
        <v>0</v>
      </c>
      <c r="U1751">
        <v>0</v>
      </c>
      <c r="V1751">
        <v>1</v>
      </c>
      <c r="W1751" t="s">
        <v>45</v>
      </c>
      <c r="X1751">
        <v>44</v>
      </c>
      <c r="Y1751">
        <v>0</v>
      </c>
      <c r="Z1751">
        <f t="shared" si="162"/>
        <v>65</v>
      </c>
      <c r="AA1751">
        <f t="shared" si="163"/>
        <v>1.3333333333333333</v>
      </c>
      <c r="AB1751">
        <f t="shared" si="164"/>
        <v>25</v>
      </c>
      <c r="AC1751" t="str">
        <f t="shared" si="165"/>
        <v>Low</v>
      </c>
      <c r="AD1751" t="str">
        <f t="shared" si="166"/>
        <v>Upsell premium bundle</v>
      </c>
      <c r="AE1751">
        <f t="shared" si="167"/>
        <v>35</v>
      </c>
    </row>
    <row r="1752" spans="1:31" x14ac:dyDescent="0.35">
      <c r="A1752" t="s">
        <v>1810</v>
      </c>
      <c r="B1752" s="4">
        <v>45432</v>
      </c>
      <c r="C1752" s="4">
        <v>46143</v>
      </c>
      <c r="D1752" t="s">
        <v>47</v>
      </c>
      <c r="E1752">
        <v>29</v>
      </c>
      <c r="F1752" t="s">
        <v>57</v>
      </c>
      <c r="G1752" t="s">
        <v>63</v>
      </c>
      <c r="H1752" t="s">
        <v>41</v>
      </c>
      <c r="I1752" t="s">
        <v>36</v>
      </c>
      <c r="J1752">
        <v>23</v>
      </c>
      <c r="K1752" s="5">
        <v>884.47</v>
      </c>
      <c r="L1752" s="5">
        <v>1656.5</v>
      </c>
      <c r="M1752">
        <v>32</v>
      </c>
      <c r="N1752">
        <v>12</v>
      </c>
      <c r="O1752">
        <v>4</v>
      </c>
      <c r="P1752">
        <v>6</v>
      </c>
      <c r="Q1752">
        <v>27</v>
      </c>
      <c r="R1752">
        <v>0</v>
      </c>
      <c r="S1752">
        <v>0</v>
      </c>
      <c r="T1752">
        <v>1</v>
      </c>
      <c r="U1752">
        <v>0</v>
      </c>
      <c r="V1752">
        <v>0</v>
      </c>
      <c r="W1752" t="s">
        <v>37</v>
      </c>
      <c r="X1752">
        <v>67</v>
      </c>
      <c r="Y1752">
        <v>0</v>
      </c>
      <c r="Z1752">
        <f t="shared" si="162"/>
        <v>81</v>
      </c>
      <c r="AA1752">
        <f t="shared" si="163"/>
        <v>1.1132075471698113</v>
      </c>
      <c r="AB1752">
        <f t="shared" si="164"/>
        <v>0</v>
      </c>
      <c r="AC1752" t="str">
        <f t="shared" si="165"/>
        <v>Low</v>
      </c>
      <c r="AD1752" t="str">
        <f t="shared" si="166"/>
        <v>Upsell premium bundle</v>
      </c>
      <c r="AE1752">
        <f t="shared" si="167"/>
        <v>19</v>
      </c>
    </row>
    <row r="1753" spans="1:31" x14ac:dyDescent="0.35">
      <c r="A1753" t="s">
        <v>1811</v>
      </c>
      <c r="B1753" s="4">
        <v>45529</v>
      </c>
      <c r="C1753" s="4">
        <v>46143</v>
      </c>
      <c r="D1753" t="s">
        <v>66</v>
      </c>
      <c r="E1753">
        <v>49</v>
      </c>
      <c r="F1753" t="s">
        <v>57</v>
      </c>
      <c r="G1753" t="s">
        <v>63</v>
      </c>
      <c r="H1753" t="s">
        <v>41</v>
      </c>
      <c r="I1753" t="s">
        <v>36</v>
      </c>
      <c r="J1753">
        <v>20</v>
      </c>
      <c r="K1753" s="5">
        <v>0</v>
      </c>
      <c r="L1753" s="5">
        <v>289.60000000000002</v>
      </c>
      <c r="M1753">
        <v>23</v>
      </c>
      <c r="N1753">
        <v>8</v>
      </c>
      <c r="O1753">
        <v>1</v>
      </c>
      <c r="P1753">
        <v>4</v>
      </c>
      <c r="Q1753">
        <v>12</v>
      </c>
      <c r="R1753">
        <v>2</v>
      </c>
      <c r="S1753">
        <v>0</v>
      </c>
      <c r="T1753">
        <v>0</v>
      </c>
      <c r="U1753">
        <v>0</v>
      </c>
      <c r="V1753">
        <v>1</v>
      </c>
      <c r="W1753" t="s">
        <v>37</v>
      </c>
      <c r="X1753">
        <v>-46</v>
      </c>
      <c r="Y1753">
        <v>1</v>
      </c>
      <c r="Z1753">
        <f t="shared" si="162"/>
        <v>56</v>
      </c>
      <c r="AA1753">
        <f t="shared" si="163"/>
        <v>0.7</v>
      </c>
      <c r="AB1753">
        <f t="shared" si="164"/>
        <v>56</v>
      </c>
      <c r="AC1753" t="str">
        <f t="shared" si="165"/>
        <v>Medium</v>
      </c>
      <c r="AD1753" t="str">
        <f t="shared" si="166"/>
        <v>Nudge core feature adoption</v>
      </c>
      <c r="AE1753">
        <f t="shared" si="167"/>
        <v>44</v>
      </c>
    </row>
    <row r="1754" spans="1:31" x14ac:dyDescent="0.35">
      <c r="A1754" t="s">
        <v>1812</v>
      </c>
      <c r="B1754" s="4">
        <v>45046</v>
      </c>
      <c r="C1754" s="4">
        <v>46143</v>
      </c>
      <c r="D1754" t="s">
        <v>32</v>
      </c>
      <c r="E1754">
        <v>24</v>
      </c>
      <c r="F1754" t="s">
        <v>61</v>
      </c>
      <c r="G1754" t="s">
        <v>40</v>
      </c>
      <c r="H1754" t="s">
        <v>41</v>
      </c>
      <c r="I1754" t="s">
        <v>36</v>
      </c>
      <c r="J1754">
        <v>36</v>
      </c>
      <c r="K1754" s="5">
        <v>4536.3100000000004</v>
      </c>
      <c r="L1754" s="5">
        <v>3838.94</v>
      </c>
      <c r="M1754">
        <v>17</v>
      </c>
      <c r="N1754">
        <v>10</v>
      </c>
      <c r="O1754">
        <v>1</v>
      </c>
      <c r="P1754">
        <v>1</v>
      </c>
      <c r="Q1754">
        <v>13</v>
      </c>
      <c r="R1754">
        <v>0</v>
      </c>
      <c r="S1754">
        <v>0</v>
      </c>
      <c r="T1754">
        <v>1</v>
      </c>
      <c r="U1754">
        <v>0</v>
      </c>
      <c r="V1754">
        <v>0</v>
      </c>
      <c r="W1754" t="s">
        <v>45</v>
      </c>
      <c r="X1754">
        <v>80</v>
      </c>
      <c r="Y1754">
        <v>0</v>
      </c>
      <c r="Z1754">
        <f t="shared" si="162"/>
        <v>40</v>
      </c>
      <c r="AA1754">
        <f t="shared" si="163"/>
        <v>0.45454545454545453</v>
      </c>
      <c r="AB1754">
        <f t="shared" si="164"/>
        <v>0</v>
      </c>
      <c r="AC1754" t="str">
        <f t="shared" si="165"/>
        <v>Low</v>
      </c>
      <c r="AD1754" t="str">
        <f t="shared" si="166"/>
        <v>Upsell premium bundle</v>
      </c>
      <c r="AE1754">
        <f t="shared" si="167"/>
        <v>60</v>
      </c>
    </row>
    <row r="1755" spans="1:31" x14ac:dyDescent="0.35">
      <c r="A1755" t="s">
        <v>1813</v>
      </c>
      <c r="B1755" s="4">
        <v>44794</v>
      </c>
      <c r="C1755" s="4">
        <v>46143</v>
      </c>
      <c r="D1755" t="s">
        <v>60</v>
      </c>
      <c r="E1755">
        <v>61</v>
      </c>
      <c r="F1755" t="s">
        <v>61</v>
      </c>
      <c r="G1755" t="s">
        <v>67</v>
      </c>
      <c r="H1755" t="s">
        <v>41</v>
      </c>
      <c r="I1755" t="s">
        <v>49</v>
      </c>
      <c r="J1755">
        <v>44</v>
      </c>
      <c r="K1755" s="5">
        <v>5677.93</v>
      </c>
      <c r="L1755" s="5">
        <v>2623.26</v>
      </c>
      <c r="M1755">
        <v>12</v>
      </c>
      <c r="N1755">
        <v>8</v>
      </c>
      <c r="O1755">
        <v>2</v>
      </c>
      <c r="P1755">
        <v>1</v>
      </c>
      <c r="Q1755">
        <v>10</v>
      </c>
      <c r="R1755">
        <v>1</v>
      </c>
      <c r="S1755">
        <v>2</v>
      </c>
      <c r="T1755">
        <v>1</v>
      </c>
      <c r="U1755">
        <v>0</v>
      </c>
      <c r="V1755">
        <v>1</v>
      </c>
      <c r="W1755" t="s">
        <v>50</v>
      </c>
      <c r="X1755">
        <v>40</v>
      </c>
      <c r="Y1755">
        <v>0</v>
      </c>
      <c r="Z1755">
        <f t="shared" si="162"/>
        <v>39</v>
      </c>
      <c r="AA1755">
        <f t="shared" si="163"/>
        <v>0.29729729729729731</v>
      </c>
      <c r="AB1755">
        <f t="shared" si="164"/>
        <v>43</v>
      </c>
      <c r="AC1755" t="str">
        <f t="shared" si="165"/>
        <v>Medium</v>
      </c>
      <c r="AD1755" t="str">
        <f t="shared" si="166"/>
        <v>Nudge core feature adoption</v>
      </c>
      <c r="AE1755">
        <f t="shared" si="167"/>
        <v>61</v>
      </c>
    </row>
    <row r="1756" spans="1:31" x14ac:dyDescent="0.35">
      <c r="A1756" t="s">
        <v>1814</v>
      </c>
      <c r="B1756" s="4">
        <v>45395</v>
      </c>
      <c r="C1756" s="4">
        <v>46143</v>
      </c>
      <c r="D1756" t="s">
        <v>60</v>
      </c>
      <c r="E1756">
        <v>47</v>
      </c>
      <c r="F1756" t="s">
        <v>57</v>
      </c>
      <c r="G1756" t="s">
        <v>85</v>
      </c>
      <c r="H1756" t="s">
        <v>41</v>
      </c>
      <c r="I1756" t="s">
        <v>54</v>
      </c>
      <c r="J1756">
        <v>24</v>
      </c>
      <c r="K1756" s="5">
        <v>625.66999999999996</v>
      </c>
      <c r="L1756" s="5">
        <v>1138.83</v>
      </c>
      <c r="M1756">
        <v>15</v>
      </c>
      <c r="N1756">
        <v>10</v>
      </c>
      <c r="O1756">
        <v>1</v>
      </c>
      <c r="P1756">
        <v>1</v>
      </c>
      <c r="Q1756">
        <v>17</v>
      </c>
      <c r="R1756">
        <v>2</v>
      </c>
      <c r="S1756">
        <v>0</v>
      </c>
      <c r="T1756">
        <v>0</v>
      </c>
      <c r="U1756">
        <v>0</v>
      </c>
      <c r="V1756">
        <v>0</v>
      </c>
      <c r="W1756" t="s">
        <v>37</v>
      </c>
      <c r="X1756">
        <v>20</v>
      </c>
      <c r="Y1756">
        <v>1</v>
      </c>
      <c r="Z1756">
        <f t="shared" si="162"/>
        <v>41</v>
      </c>
      <c r="AA1756">
        <f t="shared" si="163"/>
        <v>0.59259259259259256</v>
      </c>
      <c r="AB1756">
        <f t="shared" si="164"/>
        <v>45</v>
      </c>
      <c r="AC1756" t="str">
        <f t="shared" si="165"/>
        <v>Medium</v>
      </c>
      <c r="AD1756" t="str">
        <f t="shared" si="166"/>
        <v>Nudge core feature adoption</v>
      </c>
      <c r="AE1756">
        <f t="shared" si="167"/>
        <v>59</v>
      </c>
    </row>
    <row r="1757" spans="1:31" x14ac:dyDescent="0.35">
      <c r="A1757" t="s">
        <v>1815</v>
      </c>
      <c r="B1757" s="4">
        <v>46113</v>
      </c>
      <c r="C1757" s="4">
        <v>46143</v>
      </c>
      <c r="D1757" t="s">
        <v>72</v>
      </c>
      <c r="E1757">
        <v>37</v>
      </c>
      <c r="F1757" t="s">
        <v>43</v>
      </c>
      <c r="G1757" t="s">
        <v>67</v>
      </c>
      <c r="H1757" t="s">
        <v>41</v>
      </c>
      <c r="I1757" t="s">
        <v>49</v>
      </c>
      <c r="J1757">
        <v>1</v>
      </c>
      <c r="K1757" s="5">
        <v>54.86</v>
      </c>
      <c r="L1757" s="5">
        <v>74.86</v>
      </c>
      <c r="M1757">
        <v>18</v>
      </c>
      <c r="N1757">
        <v>12</v>
      </c>
      <c r="O1757">
        <v>1</v>
      </c>
      <c r="P1757">
        <v>0</v>
      </c>
      <c r="Q1757">
        <v>12</v>
      </c>
      <c r="R1757">
        <v>0</v>
      </c>
      <c r="S1757">
        <v>0</v>
      </c>
      <c r="T1757">
        <v>1</v>
      </c>
      <c r="U1757">
        <v>0</v>
      </c>
      <c r="V1757">
        <v>0</v>
      </c>
      <c r="W1757" t="s">
        <v>37</v>
      </c>
      <c r="X1757">
        <v>31</v>
      </c>
      <c r="Y1757">
        <v>0</v>
      </c>
      <c r="Z1757">
        <f t="shared" si="162"/>
        <v>40</v>
      </c>
      <c r="AA1757">
        <f t="shared" si="163"/>
        <v>0.967741935483871</v>
      </c>
      <c r="AB1757">
        <f t="shared" si="164"/>
        <v>43</v>
      </c>
      <c r="AC1757" t="str">
        <f t="shared" si="165"/>
        <v>Medium</v>
      </c>
      <c r="AD1757" t="str">
        <f t="shared" si="166"/>
        <v>Nudge core feature adoption</v>
      </c>
      <c r="AE1757">
        <f t="shared" si="167"/>
        <v>60</v>
      </c>
    </row>
    <row r="1758" spans="1:31" x14ac:dyDescent="0.35">
      <c r="A1758" t="s">
        <v>1816</v>
      </c>
      <c r="B1758" s="4">
        <v>45088</v>
      </c>
      <c r="C1758" s="4">
        <v>46143</v>
      </c>
      <c r="D1758" t="s">
        <v>32</v>
      </c>
      <c r="E1758">
        <v>45</v>
      </c>
      <c r="F1758" t="s">
        <v>33</v>
      </c>
      <c r="G1758" t="s">
        <v>34</v>
      </c>
      <c r="H1758" t="s">
        <v>41</v>
      </c>
      <c r="I1758" t="s">
        <v>36</v>
      </c>
      <c r="J1758">
        <v>35</v>
      </c>
      <c r="K1758" s="5">
        <v>95.74</v>
      </c>
      <c r="L1758" s="5">
        <v>230.1</v>
      </c>
      <c r="M1758">
        <v>31</v>
      </c>
      <c r="N1758">
        <v>16</v>
      </c>
      <c r="O1758">
        <v>3</v>
      </c>
      <c r="P1758">
        <v>6</v>
      </c>
      <c r="Q1758">
        <v>22</v>
      </c>
      <c r="R1758">
        <v>1</v>
      </c>
      <c r="S1758">
        <v>1</v>
      </c>
      <c r="T1758">
        <v>0</v>
      </c>
      <c r="U1758">
        <v>0</v>
      </c>
      <c r="V1758">
        <v>1</v>
      </c>
      <c r="W1758" t="s">
        <v>45</v>
      </c>
      <c r="X1758">
        <v>80</v>
      </c>
      <c r="Y1758">
        <v>0</v>
      </c>
      <c r="Z1758">
        <f t="shared" si="162"/>
        <v>84</v>
      </c>
      <c r="AA1758">
        <f t="shared" si="163"/>
        <v>0.81538461538461537</v>
      </c>
      <c r="AB1758">
        <f t="shared" si="164"/>
        <v>0</v>
      </c>
      <c r="AC1758" t="str">
        <f t="shared" si="165"/>
        <v>Low</v>
      </c>
      <c r="AD1758" t="str">
        <f t="shared" si="166"/>
        <v>Upsell premium bundle</v>
      </c>
      <c r="AE1758">
        <f t="shared" si="167"/>
        <v>16</v>
      </c>
    </row>
    <row r="1759" spans="1:31" x14ac:dyDescent="0.35">
      <c r="A1759" t="s">
        <v>1817</v>
      </c>
      <c r="B1759" s="4">
        <v>45340</v>
      </c>
      <c r="C1759" s="4">
        <v>46143</v>
      </c>
      <c r="D1759" t="s">
        <v>66</v>
      </c>
      <c r="E1759">
        <v>55</v>
      </c>
      <c r="F1759" t="s">
        <v>33</v>
      </c>
      <c r="G1759" t="s">
        <v>40</v>
      </c>
      <c r="H1759" t="s">
        <v>58</v>
      </c>
      <c r="I1759" t="s">
        <v>36</v>
      </c>
      <c r="J1759">
        <v>26</v>
      </c>
      <c r="K1759" s="5">
        <v>367.73</v>
      </c>
      <c r="L1759" s="5">
        <v>0</v>
      </c>
      <c r="M1759">
        <v>42</v>
      </c>
      <c r="N1759">
        <v>19</v>
      </c>
      <c r="O1759">
        <v>6</v>
      </c>
      <c r="P1759">
        <v>3</v>
      </c>
      <c r="Q1759">
        <v>30</v>
      </c>
      <c r="R1759">
        <v>0</v>
      </c>
      <c r="S1759">
        <v>0</v>
      </c>
      <c r="T1759">
        <v>0</v>
      </c>
      <c r="U1759">
        <v>0</v>
      </c>
      <c r="V1759">
        <v>1</v>
      </c>
      <c r="W1759" t="s">
        <v>55</v>
      </c>
      <c r="X1759">
        <v>82</v>
      </c>
      <c r="Y1759">
        <v>0</v>
      </c>
      <c r="Z1759">
        <f t="shared" si="162"/>
        <v>100</v>
      </c>
      <c r="AA1759">
        <f t="shared" si="163"/>
        <v>1.2857142857142858</v>
      </c>
      <c r="AB1759">
        <f t="shared" si="164"/>
        <v>0</v>
      </c>
      <c r="AC1759" t="str">
        <f t="shared" si="165"/>
        <v>Low</v>
      </c>
      <c r="AD1759" t="str">
        <f t="shared" si="166"/>
        <v>Upsell premium bundle</v>
      </c>
      <c r="AE1759">
        <f t="shared" si="167"/>
        <v>0</v>
      </c>
    </row>
    <row r="1760" spans="1:31" x14ac:dyDescent="0.35">
      <c r="A1760" t="s">
        <v>1818</v>
      </c>
      <c r="B1760" s="4">
        <v>44854</v>
      </c>
      <c r="C1760" s="4">
        <v>46143</v>
      </c>
      <c r="D1760" t="s">
        <v>60</v>
      </c>
      <c r="E1760">
        <v>62</v>
      </c>
      <c r="F1760" t="s">
        <v>57</v>
      </c>
      <c r="G1760" t="s">
        <v>85</v>
      </c>
      <c r="H1760" t="s">
        <v>41</v>
      </c>
      <c r="I1760" t="s">
        <v>36</v>
      </c>
      <c r="J1760">
        <v>42</v>
      </c>
      <c r="K1760" s="5">
        <v>1429.23</v>
      </c>
      <c r="L1760" s="5">
        <v>344.52</v>
      </c>
      <c r="M1760">
        <v>41</v>
      </c>
      <c r="N1760">
        <v>13</v>
      </c>
      <c r="O1760">
        <v>7</v>
      </c>
      <c r="P1760">
        <v>8</v>
      </c>
      <c r="Q1760">
        <v>22</v>
      </c>
      <c r="R1760">
        <v>0</v>
      </c>
      <c r="S1760">
        <v>0</v>
      </c>
      <c r="T1760">
        <v>0</v>
      </c>
      <c r="U1760">
        <v>0</v>
      </c>
      <c r="V1760">
        <v>1</v>
      </c>
      <c r="W1760" t="s">
        <v>37</v>
      </c>
      <c r="X1760">
        <v>-10</v>
      </c>
      <c r="Y1760">
        <v>0</v>
      </c>
      <c r="Z1760">
        <f t="shared" si="162"/>
        <v>100</v>
      </c>
      <c r="AA1760">
        <f t="shared" si="163"/>
        <v>0.875</v>
      </c>
      <c r="AB1760">
        <f t="shared" si="164"/>
        <v>23</v>
      </c>
      <c r="AC1760" t="str">
        <f t="shared" si="165"/>
        <v>Low</v>
      </c>
      <c r="AD1760" t="str">
        <f t="shared" si="166"/>
        <v>Upsell premium bundle</v>
      </c>
      <c r="AE1760">
        <f t="shared" si="167"/>
        <v>0</v>
      </c>
    </row>
    <row r="1761" spans="1:31" x14ac:dyDescent="0.35">
      <c r="A1761" t="s">
        <v>1819</v>
      </c>
      <c r="B1761" s="4">
        <v>45514</v>
      </c>
      <c r="C1761" s="4">
        <v>46143</v>
      </c>
      <c r="D1761" t="s">
        <v>39</v>
      </c>
      <c r="E1761">
        <v>33</v>
      </c>
      <c r="F1761" t="s">
        <v>43</v>
      </c>
      <c r="G1761" t="s">
        <v>40</v>
      </c>
      <c r="H1761" t="s">
        <v>41</v>
      </c>
      <c r="I1761" t="s">
        <v>49</v>
      </c>
      <c r="J1761">
        <v>20</v>
      </c>
      <c r="K1761" s="5">
        <v>96.73</v>
      </c>
      <c r="L1761" s="5">
        <v>0</v>
      </c>
      <c r="M1761">
        <v>32</v>
      </c>
      <c r="N1761">
        <v>20</v>
      </c>
      <c r="O1761">
        <v>8</v>
      </c>
      <c r="P1761">
        <v>5</v>
      </c>
      <c r="Q1761">
        <v>10</v>
      </c>
      <c r="R1761">
        <v>2</v>
      </c>
      <c r="S1761">
        <v>0</v>
      </c>
      <c r="T1761">
        <v>1</v>
      </c>
      <c r="U1761">
        <v>0</v>
      </c>
      <c r="V1761">
        <v>1</v>
      </c>
      <c r="W1761" t="s">
        <v>55</v>
      </c>
      <c r="X1761">
        <v>17</v>
      </c>
      <c r="Y1761">
        <v>1</v>
      </c>
      <c r="Z1761">
        <f t="shared" si="162"/>
        <v>82</v>
      </c>
      <c r="AA1761">
        <f t="shared" si="163"/>
        <v>0.84</v>
      </c>
      <c r="AB1761">
        <f t="shared" si="164"/>
        <v>30</v>
      </c>
      <c r="AC1761" t="str">
        <f t="shared" si="165"/>
        <v>Low</v>
      </c>
      <c r="AD1761" t="str">
        <f t="shared" si="166"/>
        <v>Upsell premium bundle</v>
      </c>
      <c r="AE1761">
        <f t="shared" si="167"/>
        <v>18</v>
      </c>
    </row>
    <row r="1762" spans="1:31" x14ac:dyDescent="0.35">
      <c r="A1762" t="s">
        <v>1820</v>
      </c>
      <c r="B1762" s="4">
        <v>44925</v>
      </c>
      <c r="C1762" s="4">
        <v>46143</v>
      </c>
      <c r="D1762" t="s">
        <v>32</v>
      </c>
      <c r="E1762">
        <v>29</v>
      </c>
      <c r="F1762" t="s">
        <v>77</v>
      </c>
      <c r="G1762" t="s">
        <v>85</v>
      </c>
      <c r="H1762" t="s">
        <v>41</v>
      </c>
      <c r="I1762" t="s">
        <v>36</v>
      </c>
      <c r="J1762">
        <v>40</v>
      </c>
      <c r="K1762" s="5">
        <v>6274.41</v>
      </c>
      <c r="L1762" s="5">
        <v>2975.65</v>
      </c>
      <c r="M1762">
        <v>12</v>
      </c>
      <c r="N1762">
        <v>3</v>
      </c>
      <c r="O1762">
        <v>3</v>
      </c>
      <c r="P1762">
        <v>2</v>
      </c>
      <c r="Q1762">
        <v>7</v>
      </c>
      <c r="R1762">
        <v>2</v>
      </c>
      <c r="S1762">
        <v>1</v>
      </c>
      <c r="T1762">
        <v>0</v>
      </c>
      <c r="U1762">
        <v>1</v>
      </c>
      <c r="V1762">
        <v>0</v>
      </c>
      <c r="W1762" t="s">
        <v>45</v>
      </c>
      <c r="X1762">
        <v>-15</v>
      </c>
      <c r="Y1762">
        <v>1</v>
      </c>
      <c r="Z1762">
        <f t="shared" si="162"/>
        <v>36</v>
      </c>
      <c r="AA1762">
        <f t="shared" si="163"/>
        <v>0.27142857142857141</v>
      </c>
      <c r="AB1762">
        <f t="shared" si="164"/>
        <v>46</v>
      </c>
      <c r="AC1762" t="str">
        <f t="shared" si="165"/>
        <v>Medium</v>
      </c>
      <c r="AD1762" t="str">
        <f t="shared" si="166"/>
        <v>Nudge core feature adoption</v>
      </c>
      <c r="AE1762">
        <f t="shared" si="167"/>
        <v>64</v>
      </c>
    </row>
    <row r="1763" spans="1:31" x14ac:dyDescent="0.35">
      <c r="A1763" t="s">
        <v>1821</v>
      </c>
      <c r="B1763" s="4">
        <v>45072</v>
      </c>
      <c r="C1763" s="4">
        <v>46143</v>
      </c>
      <c r="D1763" t="s">
        <v>47</v>
      </c>
      <c r="E1763">
        <v>41</v>
      </c>
      <c r="F1763" t="s">
        <v>33</v>
      </c>
      <c r="G1763" t="s">
        <v>34</v>
      </c>
      <c r="H1763" t="s">
        <v>41</v>
      </c>
      <c r="I1763" t="s">
        <v>36</v>
      </c>
      <c r="J1763">
        <v>35</v>
      </c>
      <c r="K1763" s="5">
        <v>253.76</v>
      </c>
      <c r="L1763" s="5">
        <v>329.98</v>
      </c>
      <c r="M1763">
        <v>47</v>
      </c>
      <c r="N1763">
        <v>14</v>
      </c>
      <c r="O1763">
        <v>6</v>
      </c>
      <c r="P1763">
        <v>8</v>
      </c>
      <c r="Q1763">
        <v>33</v>
      </c>
      <c r="R1763">
        <v>3</v>
      </c>
      <c r="S1763">
        <v>1</v>
      </c>
      <c r="T1763">
        <v>0</v>
      </c>
      <c r="U1763">
        <v>1</v>
      </c>
      <c r="V1763">
        <v>1</v>
      </c>
      <c r="W1763" t="s">
        <v>50</v>
      </c>
      <c r="X1763">
        <v>31</v>
      </c>
      <c r="Y1763">
        <v>0</v>
      </c>
      <c r="Z1763">
        <f t="shared" si="162"/>
        <v>100</v>
      </c>
      <c r="AA1763">
        <f t="shared" si="163"/>
        <v>1.2307692307692308</v>
      </c>
      <c r="AB1763">
        <f t="shared" si="164"/>
        <v>6</v>
      </c>
      <c r="AC1763" t="str">
        <f t="shared" si="165"/>
        <v>Low</v>
      </c>
      <c r="AD1763" t="str">
        <f t="shared" si="166"/>
        <v>Upsell premium bundle</v>
      </c>
      <c r="AE1763">
        <f t="shared" si="167"/>
        <v>0</v>
      </c>
    </row>
    <row r="1764" spans="1:31" x14ac:dyDescent="0.35">
      <c r="A1764" t="s">
        <v>1822</v>
      </c>
      <c r="B1764" s="4">
        <v>45242</v>
      </c>
      <c r="C1764" s="4">
        <v>46143</v>
      </c>
      <c r="D1764" t="s">
        <v>72</v>
      </c>
      <c r="E1764">
        <v>31</v>
      </c>
      <c r="F1764" t="s">
        <v>61</v>
      </c>
      <c r="G1764" t="s">
        <v>48</v>
      </c>
      <c r="H1764" t="s">
        <v>41</v>
      </c>
      <c r="I1764" t="s">
        <v>36</v>
      </c>
      <c r="J1764">
        <v>30</v>
      </c>
      <c r="K1764" s="5">
        <v>3033.21</v>
      </c>
      <c r="L1764" s="5">
        <v>3758.88</v>
      </c>
      <c r="M1764">
        <v>9</v>
      </c>
      <c r="N1764">
        <v>4</v>
      </c>
      <c r="O1764">
        <v>2</v>
      </c>
      <c r="P1764">
        <v>1</v>
      </c>
      <c r="Q1764">
        <v>6</v>
      </c>
      <c r="R1764">
        <v>3</v>
      </c>
      <c r="S1764">
        <v>2</v>
      </c>
      <c r="T1764">
        <v>1</v>
      </c>
      <c r="U1764">
        <v>0</v>
      </c>
      <c r="V1764">
        <v>1</v>
      </c>
      <c r="W1764" t="s">
        <v>52</v>
      </c>
      <c r="X1764">
        <v>-29</v>
      </c>
      <c r="Y1764">
        <v>1</v>
      </c>
      <c r="Z1764">
        <f t="shared" si="162"/>
        <v>29</v>
      </c>
      <c r="AA1764">
        <f t="shared" si="163"/>
        <v>0.25</v>
      </c>
      <c r="AB1764">
        <f t="shared" si="164"/>
        <v>62</v>
      </c>
      <c r="AC1764" t="str">
        <f t="shared" si="165"/>
        <v>Medium</v>
      </c>
      <c r="AD1764" t="str">
        <f t="shared" si="166"/>
        <v>Nudge core feature adoption</v>
      </c>
      <c r="AE1764">
        <f t="shared" si="167"/>
        <v>71</v>
      </c>
    </row>
    <row r="1765" spans="1:31" x14ac:dyDescent="0.35">
      <c r="A1765" t="s">
        <v>1823</v>
      </c>
      <c r="B1765" s="4">
        <v>45045</v>
      </c>
      <c r="C1765" s="4">
        <v>46143</v>
      </c>
      <c r="D1765" t="s">
        <v>47</v>
      </c>
      <c r="E1765">
        <v>31</v>
      </c>
      <c r="F1765" t="s">
        <v>33</v>
      </c>
      <c r="G1765" t="s">
        <v>63</v>
      </c>
      <c r="H1765" t="s">
        <v>41</v>
      </c>
      <c r="I1765" t="s">
        <v>36</v>
      </c>
      <c r="J1765">
        <v>36</v>
      </c>
      <c r="K1765" s="5">
        <v>336.56</v>
      </c>
      <c r="L1765" s="5">
        <v>286.25</v>
      </c>
      <c r="M1765">
        <v>18</v>
      </c>
      <c r="N1765">
        <v>11</v>
      </c>
      <c r="O1765">
        <v>1</v>
      </c>
      <c r="P1765">
        <v>1</v>
      </c>
      <c r="Q1765">
        <v>12</v>
      </c>
      <c r="R1765">
        <v>1</v>
      </c>
      <c r="S1765">
        <v>0</v>
      </c>
      <c r="T1765">
        <v>0</v>
      </c>
      <c r="U1765">
        <v>0</v>
      </c>
      <c r="V1765">
        <v>0</v>
      </c>
      <c r="W1765" t="s">
        <v>52</v>
      </c>
      <c r="X1765">
        <v>41</v>
      </c>
      <c r="Y1765">
        <v>0</v>
      </c>
      <c r="Z1765">
        <f t="shared" si="162"/>
        <v>41</v>
      </c>
      <c r="AA1765">
        <f t="shared" si="163"/>
        <v>0.45454545454545453</v>
      </c>
      <c r="AB1765">
        <f t="shared" si="164"/>
        <v>20</v>
      </c>
      <c r="AC1765" t="str">
        <f t="shared" si="165"/>
        <v>Low</v>
      </c>
      <c r="AD1765" t="str">
        <f t="shared" si="166"/>
        <v>Upsell premium bundle</v>
      </c>
      <c r="AE1765">
        <f t="shared" si="167"/>
        <v>59</v>
      </c>
    </row>
    <row r="1766" spans="1:31" x14ac:dyDescent="0.35">
      <c r="A1766" t="s">
        <v>1824</v>
      </c>
      <c r="B1766" s="4">
        <v>44733</v>
      </c>
      <c r="C1766" s="4">
        <v>46143</v>
      </c>
      <c r="D1766" t="s">
        <v>66</v>
      </c>
      <c r="E1766">
        <v>64</v>
      </c>
      <c r="F1766" t="s">
        <v>33</v>
      </c>
      <c r="G1766" t="s">
        <v>34</v>
      </c>
      <c r="H1766" t="s">
        <v>58</v>
      </c>
      <c r="I1766" t="s">
        <v>36</v>
      </c>
      <c r="J1766">
        <v>47</v>
      </c>
      <c r="K1766" s="5">
        <v>503.71</v>
      </c>
      <c r="L1766" s="5">
        <v>95.11</v>
      </c>
      <c r="M1766">
        <v>36</v>
      </c>
      <c r="N1766">
        <v>11</v>
      </c>
      <c r="O1766">
        <v>4</v>
      </c>
      <c r="P1766">
        <v>2</v>
      </c>
      <c r="Q1766">
        <v>28</v>
      </c>
      <c r="R1766">
        <v>1</v>
      </c>
      <c r="S1766">
        <v>0</v>
      </c>
      <c r="T1766">
        <v>1</v>
      </c>
      <c r="U1766">
        <v>0</v>
      </c>
      <c r="V1766">
        <v>1</v>
      </c>
      <c r="W1766" t="s">
        <v>37</v>
      </c>
      <c r="X1766">
        <v>-2</v>
      </c>
      <c r="Y1766">
        <v>0</v>
      </c>
      <c r="Z1766">
        <f t="shared" si="162"/>
        <v>87</v>
      </c>
      <c r="AA1766">
        <f t="shared" si="163"/>
        <v>0.83116883116883122</v>
      </c>
      <c r="AB1766">
        <f t="shared" si="164"/>
        <v>13</v>
      </c>
      <c r="AC1766" t="str">
        <f t="shared" si="165"/>
        <v>Low</v>
      </c>
      <c r="AD1766" t="str">
        <f t="shared" si="166"/>
        <v>Upsell premium bundle</v>
      </c>
      <c r="AE1766">
        <f t="shared" si="167"/>
        <v>13</v>
      </c>
    </row>
    <row r="1767" spans="1:31" x14ac:dyDescent="0.35">
      <c r="A1767" t="s">
        <v>1825</v>
      </c>
      <c r="B1767" s="4">
        <v>45180</v>
      </c>
      <c r="C1767" s="4">
        <v>46143</v>
      </c>
      <c r="D1767" t="s">
        <v>32</v>
      </c>
      <c r="E1767">
        <v>59</v>
      </c>
      <c r="F1767" t="s">
        <v>33</v>
      </c>
      <c r="G1767" t="s">
        <v>67</v>
      </c>
      <c r="H1767" t="s">
        <v>41</v>
      </c>
      <c r="I1767" t="s">
        <v>36</v>
      </c>
      <c r="J1767">
        <v>32</v>
      </c>
      <c r="K1767" s="5">
        <v>61.46</v>
      </c>
      <c r="L1767" s="5">
        <v>265.89999999999998</v>
      </c>
      <c r="M1767">
        <v>24</v>
      </c>
      <c r="N1767">
        <v>14</v>
      </c>
      <c r="O1767">
        <v>6</v>
      </c>
      <c r="P1767">
        <v>4</v>
      </c>
      <c r="Q1767">
        <v>26</v>
      </c>
      <c r="R1767">
        <v>0</v>
      </c>
      <c r="S1767">
        <v>0</v>
      </c>
      <c r="T1767">
        <v>1</v>
      </c>
      <c r="U1767">
        <v>0</v>
      </c>
      <c r="V1767">
        <v>1</v>
      </c>
      <c r="W1767" t="s">
        <v>50</v>
      </c>
      <c r="X1767">
        <v>62</v>
      </c>
      <c r="Y1767">
        <v>0</v>
      </c>
      <c r="Z1767">
        <f t="shared" si="162"/>
        <v>79</v>
      </c>
      <c r="AA1767">
        <f t="shared" si="163"/>
        <v>0.80645161290322576</v>
      </c>
      <c r="AB1767">
        <f t="shared" si="164"/>
        <v>0</v>
      </c>
      <c r="AC1767" t="str">
        <f t="shared" si="165"/>
        <v>Low</v>
      </c>
      <c r="AD1767" t="str">
        <f t="shared" si="166"/>
        <v>Upsell premium bundle</v>
      </c>
      <c r="AE1767">
        <f t="shared" si="167"/>
        <v>21</v>
      </c>
    </row>
    <row r="1768" spans="1:31" x14ac:dyDescent="0.35">
      <c r="A1768" t="s">
        <v>1826</v>
      </c>
      <c r="B1768" s="4">
        <v>44762</v>
      </c>
      <c r="C1768" s="4">
        <v>46143</v>
      </c>
      <c r="D1768" t="s">
        <v>72</v>
      </c>
      <c r="E1768">
        <v>66</v>
      </c>
      <c r="F1768" t="s">
        <v>33</v>
      </c>
      <c r="G1768" t="s">
        <v>85</v>
      </c>
      <c r="H1768" t="s">
        <v>41</v>
      </c>
      <c r="I1768" t="s">
        <v>36</v>
      </c>
      <c r="J1768">
        <v>46</v>
      </c>
      <c r="K1768" s="5">
        <v>613.77</v>
      </c>
      <c r="L1768" s="5">
        <v>310.10000000000002</v>
      </c>
      <c r="M1768">
        <v>28</v>
      </c>
      <c r="N1768">
        <v>19</v>
      </c>
      <c r="O1768">
        <v>3</v>
      </c>
      <c r="P1768">
        <v>0</v>
      </c>
      <c r="Q1768">
        <v>24</v>
      </c>
      <c r="R1768">
        <v>2</v>
      </c>
      <c r="S1768">
        <v>2</v>
      </c>
      <c r="T1768">
        <v>1</v>
      </c>
      <c r="U1768">
        <v>0</v>
      </c>
      <c r="V1768">
        <v>1</v>
      </c>
      <c r="W1768" t="s">
        <v>37</v>
      </c>
      <c r="X1768">
        <v>2</v>
      </c>
      <c r="Y1768">
        <v>1</v>
      </c>
      <c r="Z1768">
        <f t="shared" si="162"/>
        <v>76</v>
      </c>
      <c r="AA1768">
        <f t="shared" si="163"/>
        <v>0.68421052631578949</v>
      </c>
      <c r="AB1768">
        <f t="shared" si="164"/>
        <v>40</v>
      </c>
      <c r="AC1768" t="str">
        <f t="shared" si="165"/>
        <v>Medium</v>
      </c>
      <c r="AD1768" t="str">
        <f t="shared" si="166"/>
        <v>Nudge core feature adoption</v>
      </c>
      <c r="AE1768">
        <f t="shared" si="167"/>
        <v>24</v>
      </c>
    </row>
    <row r="1769" spans="1:31" x14ac:dyDescent="0.35">
      <c r="A1769" t="s">
        <v>1827</v>
      </c>
      <c r="B1769" s="4">
        <v>44697</v>
      </c>
      <c r="C1769" s="4">
        <v>46143</v>
      </c>
      <c r="D1769" t="s">
        <v>47</v>
      </c>
      <c r="E1769">
        <v>18</v>
      </c>
      <c r="F1769" t="s">
        <v>57</v>
      </c>
      <c r="G1769" t="s">
        <v>34</v>
      </c>
      <c r="H1769" t="s">
        <v>41</v>
      </c>
      <c r="I1769" t="s">
        <v>36</v>
      </c>
      <c r="J1769">
        <v>48</v>
      </c>
      <c r="K1769" s="5">
        <v>0</v>
      </c>
      <c r="L1769" s="5">
        <v>1057.17</v>
      </c>
      <c r="M1769">
        <v>34</v>
      </c>
      <c r="N1769">
        <v>20</v>
      </c>
      <c r="O1769">
        <v>9</v>
      </c>
      <c r="P1769">
        <v>6</v>
      </c>
      <c r="Q1769">
        <v>20</v>
      </c>
      <c r="R1769">
        <v>4</v>
      </c>
      <c r="S1769">
        <v>1</v>
      </c>
      <c r="T1769">
        <v>1</v>
      </c>
      <c r="U1769">
        <v>0</v>
      </c>
      <c r="V1769">
        <v>0</v>
      </c>
      <c r="W1769" t="s">
        <v>37</v>
      </c>
      <c r="X1769">
        <v>-20</v>
      </c>
      <c r="Y1769">
        <v>0</v>
      </c>
      <c r="Z1769">
        <f t="shared" si="162"/>
        <v>89</v>
      </c>
      <c r="AA1769">
        <f t="shared" si="163"/>
        <v>0.69230769230769229</v>
      </c>
      <c r="AB1769">
        <f t="shared" si="164"/>
        <v>34</v>
      </c>
      <c r="AC1769" t="str">
        <f t="shared" si="165"/>
        <v>Low</v>
      </c>
      <c r="AD1769" t="str">
        <f t="shared" si="166"/>
        <v>Upsell premium bundle</v>
      </c>
      <c r="AE1769">
        <f t="shared" si="167"/>
        <v>11</v>
      </c>
    </row>
    <row r="1770" spans="1:31" x14ac:dyDescent="0.35">
      <c r="A1770" t="s">
        <v>1828</v>
      </c>
      <c r="B1770" s="4">
        <v>45213</v>
      </c>
      <c r="C1770" s="4">
        <v>46143</v>
      </c>
      <c r="D1770" t="s">
        <v>32</v>
      </c>
      <c r="E1770">
        <v>25</v>
      </c>
      <c r="F1770" t="s">
        <v>43</v>
      </c>
      <c r="G1770" t="s">
        <v>34</v>
      </c>
      <c r="H1770" t="s">
        <v>35</v>
      </c>
      <c r="I1770" t="s">
        <v>36</v>
      </c>
      <c r="J1770">
        <v>31</v>
      </c>
      <c r="K1770" s="5">
        <v>3.72</v>
      </c>
      <c r="L1770" s="5">
        <v>52.56</v>
      </c>
      <c r="M1770">
        <v>24</v>
      </c>
      <c r="N1770">
        <v>10</v>
      </c>
      <c r="O1770">
        <v>6</v>
      </c>
      <c r="P1770">
        <v>1</v>
      </c>
      <c r="Q1770">
        <v>30</v>
      </c>
      <c r="R1770">
        <v>1</v>
      </c>
      <c r="S1770">
        <v>0</v>
      </c>
      <c r="T1770">
        <v>1</v>
      </c>
      <c r="U1770">
        <v>1</v>
      </c>
      <c r="V1770">
        <v>0</v>
      </c>
      <c r="W1770" t="s">
        <v>50</v>
      </c>
      <c r="X1770">
        <v>18</v>
      </c>
      <c r="Y1770">
        <v>0</v>
      </c>
      <c r="Z1770">
        <f t="shared" si="162"/>
        <v>77</v>
      </c>
      <c r="AA1770">
        <f t="shared" si="163"/>
        <v>0.88524590163934425</v>
      </c>
      <c r="AB1770">
        <f t="shared" si="164"/>
        <v>7</v>
      </c>
      <c r="AC1770" t="str">
        <f t="shared" si="165"/>
        <v>Low</v>
      </c>
      <c r="AD1770" t="str">
        <f t="shared" si="166"/>
        <v>Upsell premium bundle</v>
      </c>
      <c r="AE1770">
        <f t="shared" si="167"/>
        <v>23</v>
      </c>
    </row>
    <row r="1771" spans="1:31" x14ac:dyDescent="0.35">
      <c r="A1771" t="s">
        <v>1829</v>
      </c>
      <c r="B1771" s="4">
        <v>45111</v>
      </c>
      <c r="C1771" s="4">
        <v>46143</v>
      </c>
      <c r="D1771" t="s">
        <v>60</v>
      </c>
      <c r="E1771">
        <v>38</v>
      </c>
      <c r="F1771" t="s">
        <v>57</v>
      </c>
      <c r="G1771" t="s">
        <v>67</v>
      </c>
      <c r="H1771" t="s">
        <v>41</v>
      </c>
      <c r="I1771" t="s">
        <v>36</v>
      </c>
      <c r="J1771">
        <v>34</v>
      </c>
      <c r="K1771" s="5">
        <v>0</v>
      </c>
      <c r="L1771" s="5">
        <v>1023.31</v>
      </c>
      <c r="M1771">
        <v>19</v>
      </c>
      <c r="N1771">
        <v>10</v>
      </c>
      <c r="O1771">
        <v>2</v>
      </c>
      <c r="P1771">
        <v>1</v>
      </c>
      <c r="Q1771">
        <v>11</v>
      </c>
      <c r="R1771">
        <v>1</v>
      </c>
      <c r="S1771">
        <v>0</v>
      </c>
      <c r="T1771">
        <v>1</v>
      </c>
      <c r="U1771">
        <v>0</v>
      </c>
      <c r="V1771">
        <v>1</v>
      </c>
      <c r="W1771" t="s">
        <v>55</v>
      </c>
      <c r="X1771">
        <v>51</v>
      </c>
      <c r="Y1771">
        <v>0</v>
      </c>
      <c r="Z1771">
        <f t="shared" si="162"/>
        <v>49</v>
      </c>
      <c r="AA1771">
        <f t="shared" si="163"/>
        <v>0.46875</v>
      </c>
      <c r="AB1771">
        <f t="shared" si="164"/>
        <v>11</v>
      </c>
      <c r="AC1771" t="str">
        <f t="shared" si="165"/>
        <v>Low</v>
      </c>
      <c r="AD1771" t="str">
        <f t="shared" si="166"/>
        <v>Upsell premium bundle</v>
      </c>
      <c r="AE1771">
        <f t="shared" si="167"/>
        <v>51</v>
      </c>
    </row>
    <row r="1772" spans="1:31" x14ac:dyDescent="0.35">
      <c r="A1772" t="s">
        <v>1830</v>
      </c>
      <c r="B1772" s="4">
        <v>45871</v>
      </c>
      <c r="C1772" s="4">
        <v>46143</v>
      </c>
      <c r="D1772" t="s">
        <v>32</v>
      </c>
      <c r="E1772">
        <v>33</v>
      </c>
      <c r="F1772" t="s">
        <v>61</v>
      </c>
      <c r="G1772" t="s">
        <v>34</v>
      </c>
      <c r="H1772" t="s">
        <v>41</v>
      </c>
      <c r="I1772" t="s">
        <v>36</v>
      </c>
      <c r="J1772">
        <v>9</v>
      </c>
      <c r="K1772" s="5">
        <v>4821.24</v>
      </c>
      <c r="L1772" s="5">
        <v>3472.7</v>
      </c>
      <c r="M1772">
        <v>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0</v>
      </c>
      <c r="V1772">
        <v>1</v>
      </c>
      <c r="W1772" t="s">
        <v>50</v>
      </c>
      <c r="X1772">
        <v>-8</v>
      </c>
      <c r="Y1772">
        <v>1</v>
      </c>
      <c r="Z1772">
        <f t="shared" si="162"/>
        <v>12</v>
      </c>
      <c r="AA1772">
        <f t="shared" si="163"/>
        <v>0.10256410256410256</v>
      </c>
      <c r="AB1772">
        <f t="shared" si="164"/>
        <v>55</v>
      </c>
      <c r="AC1772" t="str">
        <f t="shared" si="165"/>
        <v>Medium</v>
      </c>
      <c r="AD1772" t="str">
        <f t="shared" si="166"/>
        <v>Nudge core feature adoption</v>
      </c>
      <c r="AE1772">
        <f t="shared" si="167"/>
        <v>88</v>
      </c>
    </row>
    <row r="1773" spans="1:31" x14ac:dyDescent="0.35">
      <c r="A1773" t="s">
        <v>1831</v>
      </c>
      <c r="B1773" s="4">
        <v>45968</v>
      </c>
      <c r="C1773" s="4">
        <v>46143</v>
      </c>
      <c r="D1773" t="s">
        <v>60</v>
      </c>
      <c r="E1773">
        <v>36</v>
      </c>
      <c r="F1773" t="s">
        <v>61</v>
      </c>
      <c r="G1773" t="s">
        <v>67</v>
      </c>
      <c r="H1773" t="s">
        <v>41</v>
      </c>
      <c r="I1773" t="s">
        <v>36</v>
      </c>
      <c r="J1773">
        <v>5</v>
      </c>
      <c r="K1773" s="5">
        <v>4171.28</v>
      </c>
      <c r="L1773" s="5">
        <v>899.15</v>
      </c>
      <c r="M1773">
        <v>17</v>
      </c>
      <c r="N1773">
        <v>5</v>
      </c>
      <c r="O1773">
        <v>2</v>
      </c>
      <c r="P1773">
        <v>2</v>
      </c>
      <c r="Q1773">
        <v>9</v>
      </c>
      <c r="R1773">
        <v>0</v>
      </c>
      <c r="S1773">
        <v>1</v>
      </c>
      <c r="T1773">
        <v>0</v>
      </c>
      <c r="U1773">
        <v>0</v>
      </c>
      <c r="V1773">
        <v>1</v>
      </c>
      <c r="W1773" t="s">
        <v>45</v>
      </c>
      <c r="X1773">
        <v>12</v>
      </c>
      <c r="Y1773">
        <v>0</v>
      </c>
      <c r="Z1773">
        <f t="shared" si="162"/>
        <v>43</v>
      </c>
      <c r="AA1773">
        <f t="shared" si="163"/>
        <v>0.74285714285714288</v>
      </c>
      <c r="AB1773">
        <f t="shared" si="164"/>
        <v>43</v>
      </c>
      <c r="AC1773" t="str">
        <f t="shared" si="165"/>
        <v>Medium</v>
      </c>
      <c r="AD1773" t="str">
        <f t="shared" si="166"/>
        <v>Nudge core feature adoption</v>
      </c>
      <c r="AE1773">
        <f t="shared" si="167"/>
        <v>57</v>
      </c>
    </row>
    <row r="1774" spans="1:31" x14ac:dyDescent="0.35">
      <c r="A1774" t="s">
        <v>1832</v>
      </c>
      <c r="B1774" s="4">
        <v>45198</v>
      </c>
      <c r="C1774" s="4">
        <v>46143</v>
      </c>
      <c r="D1774" t="s">
        <v>39</v>
      </c>
      <c r="E1774">
        <v>33</v>
      </c>
      <c r="F1774" t="s">
        <v>33</v>
      </c>
      <c r="G1774" t="s">
        <v>40</v>
      </c>
      <c r="H1774" t="s">
        <v>58</v>
      </c>
      <c r="I1774" t="s">
        <v>49</v>
      </c>
      <c r="J1774">
        <v>31</v>
      </c>
      <c r="K1774" s="5">
        <v>507.14</v>
      </c>
      <c r="L1774" s="5">
        <v>0</v>
      </c>
      <c r="M1774">
        <v>32</v>
      </c>
      <c r="N1774">
        <v>9</v>
      </c>
      <c r="O1774">
        <v>8</v>
      </c>
      <c r="P1774">
        <v>2</v>
      </c>
      <c r="Q1774">
        <v>23</v>
      </c>
      <c r="R1774">
        <v>0</v>
      </c>
      <c r="S1774">
        <v>0</v>
      </c>
      <c r="T1774">
        <v>0</v>
      </c>
      <c r="U1774">
        <v>1</v>
      </c>
      <c r="V1774">
        <v>1</v>
      </c>
      <c r="W1774" t="s">
        <v>50</v>
      </c>
      <c r="X1774">
        <v>61</v>
      </c>
      <c r="Y1774">
        <v>0</v>
      </c>
      <c r="Z1774">
        <f t="shared" si="162"/>
        <v>90</v>
      </c>
      <c r="AA1774">
        <f t="shared" si="163"/>
        <v>0.90163934426229508</v>
      </c>
      <c r="AB1774">
        <f t="shared" si="164"/>
        <v>0</v>
      </c>
      <c r="AC1774" t="str">
        <f t="shared" si="165"/>
        <v>Low</v>
      </c>
      <c r="AD1774" t="str">
        <f t="shared" si="166"/>
        <v>Upsell premium bundle</v>
      </c>
      <c r="AE1774">
        <f t="shared" si="167"/>
        <v>10</v>
      </c>
    </row>
    <row r="1775" spans="1:31" x14ac:dyDescent="0.35">
      <c r="A1775" t="s">
        <v>1833</v>
      </c>
      <c r="B1775" s="4">
        <v>45497</v>
      </c>
      <c r="C1775" s="4">
        <v>46143</v>
      </c>
      <c r="D1775" t="s">
        <v>66</v>
      </c>
      <c r="E1775">
        <v>61</v>
      </c>
      <c r="F1775" t="s">
        <v>33</v>
      </c>
      <c r="G1775" t="s">
        <v>63</v>
      </c>
      <c r="H1775" t="s">
        <v>41</v>
      </c>
      <c r="I1775" t="s">
        <v>49</v>
      </c>
      <c r="J1775">
        <v>21</v>
      </c>
      <c r="K1775" s="5">
        <v>0</v>
      </c>
      <c r="L1775" s="5">
        <v>20.63</v>
      </c>
      <c r="M1775">
        <v>18</v>
      </c>
      <c r="N1775">
        <v>8</v>
      </c>
      <c r="O1775">
        <v>1</v>
      </c>
      <c r="P1775">
        <v>0</v>
      </c>
      <c r="Q1775">
        <v>9</v>
      </c>
      <c r="R1775">
        <v>2</v>
      </c>
      <c r="S1775">
        <v>2</v>
      </c>
      <c r="T1775">
        <v>1</v>
      </c>
      <c r="U1775">
        <v>1</v>
      </c>
      <c r="V1775">
        <v>0</v>
      </c>
      <c r="W1775" t="s">
        <v>52</v>
      </c>
      <c r="X1775">
        <v>41</v>
      </c>
      <c r="Y1775">
        <v>1</v>
      </c>
      <c r="Z1775">
        <f t="shared" si="162"/>
        <v>43</v>
      </c>
      <c r="AA1775">
        <f t="shared" si="163"/>
        <v>0.52941176470588236</v>
      </c>
      <c r="AB1775">
        <f t="shared" si="164"/>
        <v>49</v>
      </c>
      <c r="AC1775" t="str">
        <f t="shared" si="165"/>
        <v>Medium</v>
      </c>
      <c r="AD1775" t="str">
        <f t="shared" si="166"/>
        <v>Nudge core feature adoption</v>
      </c>
      <c r="AE1775">
        <f t="shared" si="167"/>
        <v>57</v>
      </c>
    </row>
    <row r="1776" spans="1:31" x14ac:dyDescent="0.35">
      <c r="A1776" t="s">
        <v>1834</v>
      </c>
      <c r="B1776" s="4">
        <v>45247</v>
      </c>
      <c r="C1776" s="4">
        <v>46143</v>
      </c>
      <c r="D1776" t="s">
        <v>47</v>
      </c>
      <c r="E1776">
        <v>44</v>
      </c>
      <c r="F1776" t="s">
        <v>57</v>
      </c>
      <c r="G1776" t="s">
        <v>63</v>
      </c>
      <c r="H1776" t="s">
        <v>44</v>
      </c>
      <c r="I1776" t="s">
        <v>36</v>
      </c>
      <c r="J1776">
        <v>29</v>
      </c>
      <c r="K1776" s="5">
        <v>46</v>
      </c>
      <c r="L1776" s="5">
        <v>143.01</v>
      </c>
      <c r="M1776">
        <v>32</v>
      </c>
      <c r="N1776">
        <v>17</v>
      </c>
      <c r="O1776">
        <v>7</v>
      </c>
      <c r="P1776">
        <v>5</v>
      </c>
      <c r="Q1776">
        <v>25</v>
      </c>
      <c r="R1776">
        <v>0</v>
      </c>
      <c r="S1776">
        <v>0</v>
      </c>
      <c r="T1776">
        <v>0</v>
      </c>
      <c r="U1776">
        <v>0</v>
      </c>
      <c r="V1776">
        <v>1</v>
      </c>
      <c r="W1776" t="s">
        <v>50</v>
      </c>
      <c r="X1776">
        <v>51</v>
      </c>
      <c r="Y1776">
        <v>0</v>
      </c>
      <c r="Z1776">
        <f t="shared" si="162"/>
        <v>92</v>
      </c>
      <c r="AA1776">
        <f t="shared" si="163"/>
        <v>0.96610169491525422</v>
      </c>
      <c r="AB1776">
        <f t="shared" si="164"/>
        <v>0</v>
      </c>
      <c r="AC1776" t="str">
        <f t="shared" si="165"/>
        <v>Low</v>
      </c>
      <c r="AD1776" t="str">
        <f t="shared" si="166"/>
        <v>Upsell premium bundle</v>
      </c>
      <c r="AE1776">
        <f t="shared" si="167"/>
        <v>8</v>
      </c>
    </row>
    <row r="1777" spans="1:31" x14ac:dyDescent="0.35">
      <c r="A1777" t="s">
        <v>1835</v>
      </c>
      <c r="B1777" s="4">
        <v>45169</v>
      </c>
      <c r="C1777" s="4">
        <v>46143</v>
      </c>
      <c r="D1777" t="s">
        <v>39</v>
      </c>
      <c r="E1777">
        <v>68</v>
      </c>
      <c r="F1777" t="s">
        <v>33</v>
      </c>
      <c r="G1777" t="s">
        <v>40</v>
      </c>
      <c r="H1777" t="s">
        <v>41</v>
      </c>
      <c r="I1777" t="s">
        <v>36</v>
      </c>
      <c r="J1777">
        <v>32</v>
      </c>
      <c r="K1777" s="5">
        <v>256.16000000000003</v>
      </c>
      <c r="L1777" s="5">
        <v>360.52</v>
      </c>
      <c r="M1777">
        <v>19</v>
      </c>
      <c r="N1777">
        <v>8</v>
      </c>
      <c r="O1777">
        <v>5</v>
      </c>
      <c r="P1777">
        <v>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 t="s">
        <v>37</v>
      </c>
      <c r="X1777">
        <v>-11</v>
      </c>
      <c r="Y1777">
        <v>0</v>
      </c>
      <c r="Z1777">
        <f t="shared" si="162"/>
        <v>44</v>
      </c>
      <c r="AA1777">
        <f t="shared" si="163"/>
        <v>0.30645161290322581</v>
      </c>
      <c r="AB1777">
        <f t="shared" si="164"/>
        <v>46</v>
      </c>
      <c r="AC1777" t="str">
        <f t="shared" si="165"/>
        <v>Medium</v>
      </c>
      <c r="AD1777" t="str">
        <f t="shared" si="166"/>
        <v>Nudge core feature adoption</v>
      </c>
      <c r="AE1777">
        <f t="shared" si="167"/>
        <v>56</v>
      </c>
    </row>
    <row r="1778" spans="1:31" x14ac:dyDescent="0.35">
      <c r="A1778" t="s">
        <v>1836</v>
      </c>
      <c r="B1778" s="4">
        <v>45156</v>
      </c>
      <c r="C1778" s="4">
        <v>46143</v>
      </c>
      <c r="D1778" t="s">
        <v>39</v>
      </c>
      <c r="E1778">
        <v>43</v>
      </c>
      <c r="F1778" t="s">
        <v>33</v>
      </c>
      <c r="G1778" t="s">
        <v>34</v>
      </c>
      <c r="H1778" t="s">
        <v>58</v>
      </c>
      <c r="I1778" t="s">
        <v>36</v>
      </c>
      <c r="J1778">
        <v>32</v>
      </c>
      <c r="K1778" s="5">
        <v>275.07</v>
      </c>
      <c r="L1778" s="5">
        <v>505.4</v>
      </c>
      <c r="M1778">
        <v>37</v>
      </c>
      <c r="N1778">
        <v>19</v>
      </c>
      <c r="O1778">
        <v>8</v>
      </c>
      <c r="P1778">
        <v>0</v>
      </c>
      <c r="Q1778">
        <v>21</v>
      </c>
      <c r="R1778">
        <v>0</v>
      </c>
      <c r="S1778">
        <v>0</v>
      </c>
      <c r="T1778">
        <v>0</v>
      </c>
      <c r="U1778">
        <v>0</v>
      </c>
      <c r="V1778">
        <v>0</v>
      </c>
      <c r="W1778" t="s">
        <v>52</v>
      </c>
      <c r="X1778">
        <v>27</v>
      </c>
      <c r="Y1778">
        <v>0</v>
      </c>
      <c r="Z1778">
        <f t="shared" si="162"/>
        <v>83</v>
      </c>
      <c r="AA1778">
        <f t="shared" si="163"/>
        <v>0.93548387096774188</v>
      </c>
      <c r="AB1778">
        <f t="shared" si="164"/>
        <v>1</v>
      </c>
      <c r="AC1778" t="str">
        <f t="shared" si="165"/>
        <v>Low</v>
      </c>
      <c r="AD1778" t="str">
        <f t="shared" si="166"/>
        <v>Upsell premium bundle</v>
      </c>
      <c r="AE1778">
        <f t="shared" si="167"/>
        <v>17</v>
      </c>
    </row>
    <row r="1779" spans="1:31" x14ac:dyDescent="0.35">
      <c r="A1779" t="s">
        <v>1837</v>
      </c>
      <c r="B1779" s="4">
        <v>44737</v>
      </c>
      <c r="C1779" s="4">
        <v>46143</v>
      </c>
      <c r="D1779" t="s">
        <v>32</v>
      </c>
      <c r="E1779">
        <v>47</v>
      </c>
      <c r="F1779" t="s">
        <v>43</v>
      </c>
      <c r="G1779" t="s">
        <v>85</v>
      </c>
      <c r="H1779" t="s">
        <v>58</v>
      </c>
      <c r="I1779" t="s">
        <v>36</v>
      </c>
      <c r="J1779">
        <v>46</v>
      </c>
      <c r="K1779" s="5">
        <v>215.6</v>
      </c>
      <c r="L1779" s="5">
        <v>0.06</v>
      </c>
      <c r="M1779">
        <v>28</v>
      </c>
      <c r="N1779">
        <v>18</v>
      </c>
      <c r="O1779">
        <v>6</v>
      </c>
      <c r="P1779">
        <v>0</v>
      </c>
      <c r="Q1779">
        <v>29</v>
      </c>
      <c r="R1779">
        <v>1</v>
      </c>
      <c r="S1779">
        <v>1</v>
      </c>
      <c r="T1779">
        <v>1</v>
      </c>
      <c r="U1779">
        <v>0</v>
      </c>
      <c r="V1779">
        <v>1</v>
      </c>
      <c r="W1779" t="s">
        <v>45</v>
      </c>
      <c r="X1779">
        <v>56</v>
      </c>
      <c r="Y1779">
        <v>0</v>
      </c>
      <c r="Z1779">
        <f t="shared" si="162"/>
        <v>84</v>
      </c>
      <c r="AA1779">
        <f t="shared" si="163"/>
        <v>0.75</v>
      </c>
      <c r="AB1779">
        <f t="shared" si="164"/>
        <v>0</v>
      </c>
      <c r="AC1779" t="str">
        <f t="shared" si="165"/>
        <v>Low</v>
      </c>
      <c r="AD1779" t="str">
        <f t="shared" si="166"/>
        <v>Upsell premium bundle</v>
      </c>
      <c r="AE1779">
        <f t="shared" si="167"/>
        <v>16</v>
      </c>
    </row>
    <row r="1780" spans="1:31" x14ac:dyDescent="0.35">
      <c r="A1780" t="s">
        <v>1838</v>
      </c>
      <c r="B1780" s="4">
        <v>45868</v>
      </c>
      <c r="C1780" s="4">
        <v>46143</v>
      </c>
      <c r="D1780" t="s">
        <v>32</v>
      </c>
      <c r="E1780">
        <v>62</v>
      </c>
      <c r="F1780" t="s">
        <v>33</v>
      </c>
      <c r="G1780" t="s">
        <v>67</v>
      </c>
      <c r="H1780" t="s">
        <v>41</v>
      </c>
      <c r="I1780" t="s">
        <v>49</v>
      </c>
      <c r="J1780">
        <v>9</v>
      </c>
      <c r="K1780" s="5">
        <v>483.98</v>
      </c>
      <c r="L1780" s="5">
        <v>446.32</v>
      </c>
      <c r="M1780">
        <v>9</v>
      </c>
      <c r="N1780">
        <v>4</v>
      </c>
      <c r="O1780">
        <v>1</v>
      </c>
      <c r="P1780">
        <v>0</v>
      </c>
      <c r="Q1780">
        <v>18</v>
      </c>
      <c r="R1780">
        <v>1</v>
      </c>
      <c r="S1780">
        <v>2</v>
      </c>
      <c r="T1780">
        <v>1</v>
      </c>
      <c r="U1780">
        <v>1</v>
      </c>
      <c r="V1780">
        <v>1</v>
      </c>
      <c r="W1780" t="s">
        <v>50</v>
      </c>
      <c r="X1780">
        <v>33</v>
      </c>
      <c r="Y1780">
        <v>0</v>
      </c>
      <c r="Z1780">
        <f t="shared" si="162"/>
        <v>45</v>
      </c>
      <c r="AA1780">
        <f t="shared" si="163"/>
        <v>0.69230769230769229</v>
      </c>
      <c r="AB1780">
        <f t="shared" si="164"/>
        <v>54</v>
      </c>
      <c r="AC1780" t="str">
        <f t="shared" si="165"/>
        <v>Medium</v>
      </c>
      <c r="AD1780" t="str">
        <f t="shared" si="166"/>
        <v>Nudge core feature adoption</v>
      </c>
      <c r="AE1780">
        <f t="shared" si="167"/>
        <v>55</v>
      </c>
    </row>
    <row r="1781" spans="1:31" x14ac:dyDescent="0.35">
      <c r="A1781" t="s">
        <v>1839</v>
      </c>
      <c r="B1781" s="4">
        <v>45921</v>
      </c>
      <c r="C1781" s="4">
        <v>46143</v>
      </c>
      <c r="D1781" t="s">
        <v>47</v>
      </c>
      <c r="E1781">
        <v>67</v>
      </c>
      <c r="F1781" t="s">
        <v>43</v>
      </c>
      <c r="G1781" t="s">
        <v>63</v>
      </c>
      <c r="H1781" t="s">
        <v>41</v>
      </c>
      <c r="I1781" t="s">
        <v>36</v>
      </c>
      <c r="J1781">
        <v>7</v>
      </c>
      <c r="K1781" s="5">
        <v>0</v>
      </c>
      <c r="L1781" s="5">
        <v>27.28</v>
      </c>
      <c r="M1781">
        <v>29</v>
      </c>
      <c r="N1781">
        <v>15</v>
      </c>
      <c r="O1781">
        <v>5</v>
      </c>
      <c r="P1781">
        <v>5</v>
      </c>
      <c r="Q1781">
        <v>15</v>
      </c>
      <c r="R1781">
        <v>2</v>
      </c>
      <c r="S1781">
        <v>1</v>
      </c>
      <c r="T1781">
        <v>1</v>
      </c>
      <c r="U1781">
        <v>0</v>
      </c>
      <c r="V1781">
        <v>0</v>
      </c>
      <c r="W1781" t="s">
        <v>50</v>
      </c>
      <c r="X1781">
        <v>32</v>
      </c>
      <c r="Y1781">
        <v>1</v>
      </c>
      <c r="Z1781">
        <f t="shared" si="162"/>
        <v>69</v>
      </c>
      <c r="AA1781">
        <f t="shared" si="163"/>
        <v>1.1891891891891893</v>
      </c>
      <c r="AB1781">
        <f t="shared" si="164"/>
        <v>19</v>
      </c>
      <c r="AC1781" t="str">
        <f t="shared" si="165"/>
        <v>Low</v>
      </c>
      <c r="AD1781" t="str">
        <f t="shared" si="166"/>
        <v>Upsell premium bundle</v>
      </c>
      <c r="AE1781">
        <f t="shared" si="167"/>
        <v>31</v>
      </c>
    </row>
    <row r="1782" spans="1:31" x14ac:dyDescent="0.35">
      <c r="A1782" t="s">
        <v>1840</v>
      </c>
      <c r="B1782" s="4">
        <v>45447</v>
      </c>
      <c r="C1782" s="4">
        <v>46143</v>
      </c>
      <c r="D1782" t="s">
        <v>32</v>
      </c>
      <c r="E1782">
        <v>57</v>
      </c>
      <c r="F1782" t="s">
        <v>61</v>
      </c>
      <c r="G1782" t="s">
        <v>40</v>
      </c>
      <c r="H1782" t="s">
        <v>44</v>
      </c>
      <c r="I1782" t="s">
        <v>36</v>
      </c>
      <c r="J1782">
        <v>23</v>
      </c>
      <c r="K1782" s="5">
        <v>7596.45</v>
      </c>
      <c r="L1782" s="5">
        <v>1670.03</v>
      </c>
      <c r="M1782">
        <v>17</v>
      </c>
      <c r="N1782">
        <v>11</v>
      </c>
      <c r="O1782">
        <v>4</v>
      </c>
      <c r="P1782">
        <v>1</v>
      </c>
      <c r="Q1782">
        <v>0</v>
      </c>
      <c r="R1782">
        <v>4</v>
      </c>
      <c r="S1782">
        <v>1</v>
      </c>
      <c r="T1782">
        <v>1</v>
      </c>
      <c r="U1782">
        <v>1</v>
      </c>
      <c r="V1782">
        <v>1</v>
      </c>
      <c r="W1782" t="s">
        <v>37</v>
      </c>
      <c r="X1782">
        <v>-56</v>
      </c>
      <c r="Y1782">
        <v>1</v>
      </c>
      <c r="Z1782">
        <f t="shared" si="162"/>
        <v>48</v>
      </c>
      <c r="AA1782">
        <f t="shared" si="163"/>
        <v>0.32075471698113206</v>
      </c>
      <c r="AB1782">
        <f t="shared" si="164"/>
        <v>49</v>
      </c>
      <c r="AC1782" t="str">
        <f t="shared" si="165"/>
        <v>Medium</v>
      </c>
      <c r="AD1782" t="str">
        <f t="shared" si="166"/>
        <v>Nudge core feature adoption</v>
      </c>
      <c r="AE1782">
        <f t="shared" si="167"/>
        <v>52</v>
      </c>
    </row>
    <row r="1783" spans="1:31" x14ac:dyDescent="0.35">
      <c r="A1783" t="s">
        <v>1841</v>
      </c>
      <c r="B1783" s="4">
        <v>44787</v>
      </c>
      <c r="C1783" s="4">
        <v>46143</v>
      </c>
      <c r="D1783" t="s">
        <v>72</v>
      </c>
      <c r="E1783">
        <v>51</v>
      </c>
      <c r="F1783" t="s">
        <v>33</v>
      </c>
      <c r="G1783" t="s">
        <v>63</v>
      </c>
      <c r="H1783" t="s">
        <v>44</v>
      </c>
      <c r="I1783" t="s">
        <v>36</v>
      </c>
      <c r="J1783">
        <v>45</v>
      </c>
      <c r="K1783" s="5">
        <v>53.31</v>
      </c>
      <c r="L1783" s="5">
        <v>160.83000000000001</v>
      </c>
      <c r="M1783">
        <v>39</v>
      </c>
      <c r="N1783">
        <v>22</v>
      </c>
      <c r="O1783">
        <v>8</v>
      </c>
      <c r="P1783">
        <v>1</v>
      </c>
      <c r="Q1783">
        <v>18</v>
      </c>
      <c r="R1783">
        <v>1</v>
      </c>
      <c r="S1783">
        <v>0</v>
      </c>
      <c r="T1783">
        <v>1</v>
      </c>
      <c r="U1783">
        <v>0</v>
      </c>
      <c r="V1783">
        <v>1</v>
      </c>
      <c r="W1783" t="s">
        <v>52</v>
      </c>
      <c r="X1783">
        <v>73</v>
      </c>
      <c r="Y1783">
        <v>0</v>
      </c>
      <c r="Z1783">
        <f t="shared" si="162"/>
        <v>93</v>
      </c>
      <c r="AA1783">
        <f t="shared" si="163"/>
        <v>0.76</v>
      </c>
      <c r="AB1783">
        <f t="shared" si="164"/>
        <v>0</v>
      </c>
      <c r="AC1783" t="str">
        <f t="shared" si="165"/>
        <v>Low</v>
      </c>
      <c r="AD1783" t="str">
        <f t="shared" si="166"/>
        <v>Upsell premium bundle</v>
      </c>
      <c r="AE1783">
        <f t="shared" si="167"/>
        <v>7</v>
      </c>
    </row>
    <row r="1784" spans="1:31" x14ac:dyDescent="0.35">
      <c r="A1784" t="s">
        <v>1842</v>
      </c>
      <c r="B1784" s="4">
        <v>45955</v>
      </c>
      <c r="C1784" s="4">
        <v>46143</v>
      </c>
      <c r="D1784" t="s">
        <v>39</v>
      </c>
      <c r="E1784">
        <v>67</v>
      </c>
      <c r="F1784" t="s">
        <v>61</v>
      </c>
      <c r="G1784" t="s">
        <v>48</v>
      </c>
      <c r="H1784" t="s">
        <v>41</v>
      </c>
      <c r="I1784" t="s">
        <v>49</v>
      </c>
      <c r="J1784">
        <v>6</v>
      </c>
      <c r="K1784" s="5">
        <v>6393.66</v>
      </c>
      <c r="L1784" s="5">
        <v>0</v>
      </c>
      <c r="M1784">
        <v>15</v>
      </c>
      <c r="N1784">
        <v>6</v>
      </c>
      <c r="O1784">
        <v>3</v>
      </c>
      <c r="P1784">
        <v>2</v>
      </c>
      <c r="Q1784">
        <v>13</v>
      </c>
      <c r="R1784">
        <v>0</v>
      </c>
      <c r="S1784">
        <v>0</v>
      </c>
      <c r="T1784">
        <v>0</v>
      </c>
      <c r="U1784">
        <v>0</v>
      </c>
      <c r="V1784">
        <v>0</v>
      </c>
      <c r="W1784" t="s">
        <v>50</v>
      </c>
      <c r="X1784">
        <v>27</v>
      </c>
      <c r="Y1784">
        <v>0</v>
      </c>
      <c r="Z1784">
        <f t="shared" si="162"/>
        <v>39</v>
      </c>
      <c r="AA1784">
        <f t="shared" si="163"/>
        <v>0.77777777777777779</v>
      </c>
      <c r="AB1784">
        <f t="shared" si="164"/>
        <v>45</v>
      </c>
      <c r="AC1784" t="str">
        <f t="shared" si="165"/>
        <v>Medium</v>
      </c>
      <c r="AD1784" t="str">
        <f t="shared" si="166"/>
        <v>Nudge core feature adoption</v>
      </c>
      <c r="AE1784">
        <f t="shared" si="167"/>
        <v>61</v>
      </c>
    </row>
    <row r="1785" spans="1:31" x14ac:dyDescent="0.35">
      <c r="A1785" t="s">
        <v>1843</v>
      </c>
      <c r="B1785" s="4">
        <v>45069</v>
      </c>
      <c r="C1785" s="4">
        <v>46143</v>
      </c>
      <c r="D1785" t="s">
        <v>72</v>
      </c>
      <c r="E1785">
        <v>37</v>
      </c>
      <c r="F1785" t="s">
        <v>57</v>
      </c>
      <c r="G1785" t="s">
        <v>67</v>
      </c>
      <c r="H1785" t="s">
        <v>41</v>
      </c>
      <c r="I1785" t="s">
        <v>36</v>
      </c>
      <c r="J1785">
        <v>35</v>
      </c>
      <c r="K1785" s="5">
        <v>2013.27</v>
      </c>
      <c r="L1785" s="5">
        <v>1069.18</v>
      </c>
      <c r="M1785">
        <v>29</v>
      </c>
      <c r="N1785">
        <v>16</v>
      </c>
      <c r="O1785">
        <v>5</v>
      </c>
      <c r="P1785">
        <v>5</v>
      </c>
      <c r="Q1785">
        <v>24</v>
      </c>
      <c r="R1785">
        <v>5</v>
      </c>
      <c r="S1785">
        <v>1</v>
      </c>
      <c r="T1785">
        <v>0</v>
      </c>
      <c r="U1785">
        <v>1</v>
      </c>
      <c r="V1785">
        <v>1</v>
      </c>
      <c r="W1785" t="s">
        <v>52</v>
      </c>
      <c r="X1785">
        <v>-26</v>
      </c>
      <c r="Y1785">
        <v>1</v>
      </c>
      <c r="Z1785">
        <f t="shared" si="162"/>
        <v>93</v>
      </c>
      <c r="AA1785">
        <f t="shared" si="163"/>
        <v>0.81538461538461537</v>
      </c>
      <c r="AB1785">
        <f t="shared" si="164"/>
        <v>34</v>
      </c>
      <c r="AC1785" t="str">
        <f t="shared" si="165"/>
        <v>Low</v>
      </c>
      <c r="AD1785" t="str">
        <f t="shared" si="166"/>
        <v>Upsell premium bundle</v>
      </c>
      <c r="AE1785">
        <f t="shared" si="167"/>
        <v>7</v>
      </c>
    </row>
    <row r="1786" spans="1:31" x14ac:dyDescent="0.35">
      <c r="A1786" t="s">
        <v>1844</v>
      </c>
      <c r="B1786" s="4">
        <v>44953</v>
      </c>
      <c r="C1786" s="4">
        <v>46143</v>
      </c>
      <c r="D1786" t="s">
        <v>32</v>
      </c>
      <c r="E1786">
        <v>43</v>
      </c>
      <c r="F1786" t="s">
        <v>77</v>
      </c>
      <c r="G1786" t="s">
        <v>34</v>
      </c>
      <c r="H1786" t="s">
        <v>44</v>
      </c>
      <c r="I1786" t="s">
        <v>36</v>
      </c>
      <c r="J1786">
        <v>39</v>
      </c>
      <c r="K1786" s="5">
        <v>15780.49</v>
      </c>
      <c r="L1786" s="5">
        <v>5161.25</v>
      </c>
      <c r="M1786">
        <v>51</v>
      </c>
      <c r="N1786">
        <v>13</v>
      </c>
      <c r="O1786">
        <v>10</v>
      </c>
      <c r="P1786">
        <v>3</v>
      </c>
      <c r="Q1786">
        <v>27</v>
      </c>
      <c r="R1786">
        <v>4</v>
      </c>
      <c r="S1786">
        <v>0</v>
      </c>
      <c r="T1786">
        <v>1</v>
      </c>
      <c r="U1786">
        <v>1</v>
      </c>
      <c r="V1786">
        <v>0</v>
      </c>
      <c r="W1786" t="s">
        <v>37</v>
      </c>
      <c r="X1786">
        <v>30</v>
      </c>
      <c r="Y1786">
        <v>0</v>
      </c>
      <c r="Z1786">
        <f t="shared" si="162"/>
        <v>100</v>
      </c>
      <c r="AA1786">
        <f t="shared" si="163"/>
        <v>1.1304347826086956</v>
      </c>
      <c r="AB1786">
        <f t="shared" si="164"/>
        <v>0</v>
      </c>
      <c r="AC1786" t="str">
        <f t="shared" si="165"/>
        <v>Low</v>
      </c>
      <c r="AD1786" t="str">
        <f t="shared" si="166"/>
        <v>Upsell premium bundle</v>
      </c>
      <c r="AE1786">
        <f t="shared" si="167"/>
        <v>0</v>
      </c>
    </row>
    <row r="1787" spans="1:31" x14ac:dyDescent="0.35">
      <c r="A1787" t="s">
        <v>1845</v>
      </c>
      <c r="B1787" s="4">
        <v>45338</v>
      </c>
      <c r="C1787" s="4">
        <v>46143</v>
      </c>
      <c r="D1787" t="s">
        <v>66</v>
      </c>
      <c r="E1787">
        <v>43</v>
      </c>
      <c r="F1787" t="s">
        <v>33</v>
      </c>
      <c r="G1787" t="s">
        <v>48</v>
      </c>
      <c r="H1787" t="s">
        <v>58</v>
      </c>
      <c r="I1787" t="s">
        <v>36</v>
      </c>
      <c r="J1787">
        <v>26</v>
      </c>
      <c r="K1787" s="5">
        <v>443.45</v>
      </c>
      <c r="L1787" s="5">
        <v>295.89999999999998</v>
      </c>
      <c r="M1787">
        <v>25</v>
      </c>
      <c r="N1787">
        <v>11</v>
      </c>
      <c r="O1787">
        <v>2</v>
      </c>
      <c r="P1787">
        <v>1</v>
      </c>
      <c r="Q1787">
        <v>25</v>
      </c>
      <c r="R1787">
        <v>1</v>
      </c>
      <c r="S1787">
        <v>0</v>
      </c>
      <c r="T1787">
        <v>1</v>
      </c>
      <c r="U1787">
        <v>0</v>
      </c>
      <c r="V1787">
        <v>0</v>
      </c>
      <c r="W1787" t="s">
        <v>45</v>
      </c>
      <c r="X1787">
        <v>34</v>
      </c>
      <c r="Y1787">
        <v>0</v>
      </c>
      <c r="Z1787">
        <f t="shared" si="162"/>
        <v>62</v>
      </c>
      <c r="AA1787">
        <f t="shared" si="163"/>
        <v>0.8928571428571429</v>
      </c>
      <c r="AB1787">
        <f t="shared" si="164"/>
        <v>5</v>
      </c>
      <c r="AC1787" t="str">
        <f t="shared" si="165"/>
        <v>Low</v>
      </c>
      <c r="AD1787" t="str">
        <f t="shared" si="166"/>
        <v>Upsell premium bundle</v>
      </c>
      <c r="AE1787">
        <f t="shared" si="167"/>
        <v>38</v>
      </c>
    </row>
    <row r="1788" spans="1:31" x14ac:dyDescent="0.35">
      <c r="A1788" t="s">
        <v>1846</v>
      </c>
      <c r="B1788" s="4">
        <v>46079</v>
      </c>
      <c r="C1788" s="4">
        <v>46143</v>
      </c>
      <c r="D1788" t="s">
        <v>72</v>
      </c>
      <c r="E1788">
        <v>49</v>
      </c>
      <c r="F1788" t="s">
        <v>33</v>
      </c>
      <c r="G1788" t="s">
        <v>34</v>
      </c>
      <c r="H1788" t="s">
        <v>41</v>
      </c>
      <c r="I1788" t="s">
        <v>36</v>
      </c>
      <c r="J1788">
        <v>2</v>
      </c>
      <c r="K1788" s="5">
        <v>706.97</v>
      </c>
      <c r="L1788" s="5">
        <v>102.04</v>
      </c>
      <c r="M1788">
        <v>32</v>
      </c>
      <c r="N1788">
        <v>19</v>
      </c>
      <c r="O1788">
        <v>1</v>
      </c>
      <c r="P1788">
        <v>5</v>
      </c>
      <c r="Q1788">
        <v>24</v>
      </c>
      <c r="R1788">
        <v>1</v>
      </c>
      <c r="S1788">
        <v>2</v>
      </c>
      <c r="T1788">
        <v>1</v>
      </c>
      <c r="U1788">
        <v>1</v>
      </c>
      <c r="V1788">
        <v>1</v>
      </c>
      <c r="W1788" t="s">
        <v>37</v>
      </c>
      <c r="X1788">
        <v>5</v>
      </c>
      <c r="Y1788">
        <v>1</v>
      </c>
      <c r="Z1788">
        <f t="shared" si="162"/>
        <v>93</v>
      </c>
      <c r="AA1788">
        <f t="shared" si="163"/>
        <v>1.75</v>
      </c>
      <c r="AB1788">
        <f t="shared" si="164"/>
        <v>33</v>
      </c>
      <c r="AC1788" t="str">
        <f t="shared" si="165"/>
        <v>Low</v>
      </c>
      <c r="AD1788" t="str">
        <f t="shared" si="166"/>
        <v>Upsell premium bundle</v>
      </c>
      <c r="AE1788">
        <f t="shared" si="167"/>
        <v>7</v>
      </c>
    </row>
    <row r="1789" spans="1:31" x14ac:dyDescent="0.35">
      <c r="A1789" t="s">
        <v>1847</v>
      </c>
      <c r="B1789" s="4">
        <v>45096</v>
      </c>
      <c r="C1789" s="4">
        <v>46143</v>
      </c>
      <c r="D1789" t="s">
        <v>39</v>
      </c>
      <c r="E1789">
        <v>37</v>
      </c>
      <c r="F1789" t="s">
        <v>43</v>
      </c>
      <c r="G1789" t="s">
        <v>67</v>
      </c>
      <c r="H1789" t="s">
        <v>41</v>
      </c>
      <c r="I1789" t="s">
        <v>36</v>
      </c>
      <c r="J1789">
        <v>34</v>
      </c>
      <c r="K1789" s="5">
        <v>8.36</v>
      </c>
      <c r="L1789" s="5">
        <v>63.42</v>
      </c>
      <c r="M1789">
        <v>22</v>
      </c>
      <c r="N1789">
        <v>9</v>
      </c>
      <c r="O1789">
        <v>4</v>
      </c>
      <c r="P1789">
        <v>1</v>
      </c>
      <c r="Q1789">
        <v>11</v>
      </c>
      <c r="R1789">
        <v>3</v>
      </c>
      <c r="S1789">
        <v>1</v>
      </c>
      <c r="T1789">
        <v>1</v>
      </c>
      <c r="U1789">
        <v>1</v>
      </c>
      <c r="V1789">
        <v>1</v>
      </c>
      <c r="W1789" t="s">
        <v>52</v>
      </c>
      <c r="X1789">
        <v>11</v>
      </c>
      <c r="Y1789">
        <v>1</v>
      </c>
      <c r="Z1789">
        <f t="shared" si="162"/>
        <v>62</v>
      </c>
      <c r="AA1789">
        <f t="shared" si="163"/>
        <v>0.515625</v>
      </c>
      <c r="AB1789">
        <f t="shared" si="164"/>
        <v>31</v>
      </c>
      <c r="AC1789" t="str">
        <f t="shared" si="165"/>
        <v>Low</v>
      </c>
      <c r="AD1789" t="str">
        <f t="shared" si="166"/>
        <v>Upsell premium bundle</v>
      </c>
      <c r="AE1789">
        <f t="shared" si="167"/>
        <v>38</v>
      </c>
    </row>
    <row r="1790" spans="1:31" x14ac:dyDescent="0.35">
      <c r="A1790" t="s">
        <v>1848</v>
      </c>
      <c r="B1790" s="4">
        <v>45855</v>
      </c>
      <c r="C1790" s="4">
        <v>46143</v>
      </c>
      <c r="D1790" t="s">
        <v>60</v>
      </c>
      <c r="E1790">
        <v>70</v>
      </c>
      <c r="F1790" t="s">
        <v>57</v>
      </c>
      <c r="G1790" t="s">
        <v>40</v>
      </c>
      <c r="H1790" t="s">
        <v>41</v>
      </c>
      <c r="I1790" t="s">
        <v>36</v>
      </c>
      <c r="J1790">
        <v>9</v>
      </c>
      <c r="K1790" s="5">
        <v>1075.94</v>
      </c>
      <c r="L1790" s="5">
        <v>573.55999999999995</v>
      </c>
      <c r="M1790">
        <v>27</v>
      </c>
      <c r="N1790">
        <v>19</v>
      </c>
      <c r="O1790">
        <v>4</v>
      </c>
      <c r="P1790">
        <v>4</v>
      </c>
      <c r="Q1790">
        <v>13</v>
      </c>
      <c r="R1790">
        <v>2</v>
      </c>
      <c r="S1790">
        <v>3</v>
      </c>
      <c r="T1790">
        <v>1</v>
      </c>
      <c r="U1790">
        <v>1</v>
      </c>
      <c r="V1790">
        <v>0</v>
      </c>
      <c r="W1790" t="s">
        <v>50</v>
      </c>
      <c r="X1790">
        <v>56</v>
      </c>
      <c r="Y1790">
        <v>1</v>
      </c>
      <c r="Z1790">
        <f t="shared" si="162"/>
        <v>73</v>
      </c>
      <c r="AA1790">
        <f t="shared" si="163"/>
        <v>1.0256410256410255</v>
      </c>
      <c r="AB1790">
        <f t="shared" si="164"/>
        <v>22</v>
      </c>
      <c r="AC1790" t="str">
        <f t="shared" si="165"/>
        <v>Low</v>
      </c>
      <c r="AD1790" t="str">
        <f t="shared" si="166"/>
        <v>Upsell premium bundle</v>
      </c>
      <c r="AE1790">
        <f t="shared" si="167"/>
        <v>27</v>
      </c>
    </row>
    <row r="1791" spans="1:31" x14ac:dyDescent="0.35">
      <c r="A1791" t="s">
        <v>1849</v>
      </c>
      <c r="B1791" s="4">
        <v>46034</v>
      </c>
      <c r="C1791" s="4">
        <v>46143</v>
      </c>
      <c r="D1791" t="s">
        <v>32</v>
      </c>
      <c r="E1791">
        <v>41</v>
      </c>
      <c r="F1791" t="s">
        <v>57</v>
      </c>
      <c r="G1791" t="s">
        <v>34</v>
      </c>
      <c r="H1791" t="s">
        <v>58</v>
      </c>
      <c r="I1791" t="s">
        <v>36</v>
      </c>
      <c r="J1791">
        <v>3</v>
      </c>
      <c r="K1791" s="5">
        <v>1933.37</v>
      </c>
      <c r="L1791" s="5">
        <v>820.46</v>
      </c>
      <c r="M1791">
        <v>15</v>
      </c>
      <c r="N1791">
        <v>8</v>
      </c>
      <c r="O1791">
        <v>2</v>
      </c>
      <c r="P1791">
        <v>0</v>
      </c>
      <c r="Q1791">
        <v>5</v>
      </c>
      <c r="R1791">
        <v>5</v>
      </c>
      <c r="S1791">
        <v>2</v>
      </c>
      <c r="T1791">
        <v>1</v>
      </c>
      <c r="U1791">
        <v>0</v>
      </c>
      <c r="V1791">
        <v>0</v>
      </c>
      <c r="W1791" t="s">
        <v>37</v>
      </c>
      <c r="X1791">
        <v>-12</v>
      </c>
      <c r="Y1791">
        <v>1</v>
      </c>
      <c r="Z1791">
        <f t="shared" si="162"/>
        <v>29</v>
      </c>
      <c r="AA1791">
        <f t="shared" si="163"/>
        <v>0.60606060606060608</v>
      </c>
      <c r="AB1791">
        <f t="shared" si="164"/>
        <v>51</v>
      </c>
      <c r="AC1791" t="str">
        <f t="shared" si="165"/>
        <v>Medium</v>
      </c>
      <c r="AD1791" t="str">
        <f t="shared" si="166"/>
        <v>Nudge core feature adoption</v>
      </c>
      <c r="AE1791">
        <f t="shared" si="167"/>
        <v>71</v>
      </c>
    </row>
    <row r="1792" spans="1:31" x14ac:dyDescent="0.35">
      <c r="A1792" t="s">
        <v>1850</v>
      </c>
      <c r="B1792" s="4">
        <v>44711</v>
      </c>
      <c r="C1792" s="4">
        <v>46143</v>
      </c>
      <c r="D1792" t="s">
        <v>66</v>
      </c>
      <c r="E1792">
        <v>72</v>
      </c>
      <c r="F1792" t="s">
        <v>43</v>
      </c>
      <c r="G1792" t="s">
        <v>67</v>
      </c>
      <c r="H1792" t="s">
        <v>41</v>
      </c>
      <c r="I1792" t="s">
        <v>36</v>
      </c>
      <c r="J1792">
        <v>47</v>
      </c>
      <c r="K1792" s="5">
        <v>43.23</v>
      </c>
      <c r="L1792" s="5">
        <v>15.24</v>
      </c>
      <c r="M1792">
        <v>17</v>
      </c>
      <c r="N1792">
        <v>12</v>
      </c>
      <c r="O1792">
        <v>1</v>
      </c>
      <c r="P1792">
        <v>0</v>
      </c>
      <c r="Q1792">
        <v>7</v>
      </c>
      <c r="R1792">
        <v>0</v>
      </c>
      <c r="S1792">
        <v>0</v>
      </c>
      <c r="T1792">
        <v>1</v>
      </c>
      <c r="U1792">
        <v>0</v>
      </c>
      <c r="V1792">
        <v>1</v>
      </c>
      <c r="W1792" t="s">
        <v>50</v>
      </c>
      <c r="X1792">
        <v>7</v>
      </c>
      <c r="Y1792">
        <v>0</v>
      </c>
      <c r="Z1792">
        <f t="shared" si="162"/>
        <v>42</v>
      </c>
      <c r="AA1792">
        <f t="shared" si="163"/>
        <v>0.31168831168831168</v>
      </c>
      <c r="AB1792">
        <f t="shared" si="164"/>
        <v>38</v>
      </c>
      <c r="AC1792" t="str">
        <f t="shared" si="165"/>
        <v>Low</v>
      </c>
      <c r="AD1792" t="str">
        <f t="shared" si="166"/>
        <v>Upsell premium bundle</v>
      </c>
      <c r="AE1792">
        <f t="shared" si="167"/>
        <v>58</v>
      </c>
    </row>
    <row r="1793" spans="1:31" x14ac:dyDescent="0.35">
      <c r="A1793" t="s">
        <v>1851</v>
      </c>
      <c r="B1793" s="4">
        <v>46027</v>
      </c>
      <c r="C1793" s="4">
        <v>46143</v>
      </c>
      <c r="D1793" t="s">
        <v>32</v>
      </c>
      <c r="E1793">
        <v>52</v>
      </c>
      <c r="F1793" t="s">
        <v>61</v>
      </c>
      <c r="G1793" t="s">
        <v>85</v>
      </c>
      <c r="H1793" t="s">
        <v>41</v>
      </c>
      <c r="I1793" t="s">
        <v>36</v>
      </c>
      <c r="J1793">
        <v>3</v>
      </c>
      <c r="K1793" s="5">
        <v>2399.89</v>
      </c>
      <c r="L1793" s="5">
        <v>2353.1799999999998</v>
      </c>
      <c r="M1793">
        <v>27</v>
      </c>
      <c r="N1793">
        <v>11</v>
      </c>
      <c r="O1793">
        <v>5</v>
      </c>
      <c r="P1793">
        <v>2</v>
      </c>
      <c r="Q1793">
        <v>7</v>
      </c>
      <c r="R1793">
        <v>0</v>
      </c>
      <c r="S1793">
        <v>0</v>
      </c>
      <c r="T1793">
        <v>1</v>
      </c>
      <c r="U1793">
        <v>1</v>
      </c>
      <c r="V1793">
        <v>0</v>
      </c>
      <c r="W1793" t="s">
        <v>37</v>
      </c>
      <c r="X1793">
        <v>-8</v>
      </c>
      <c r="Y1793">
        <v>0</v>
      </c>
      <c r="Z1793">
        <f t="shared" si="162"/>
        <v>61</v>
      </c>
      <c r="AA1793">
        <f t="shared" si="163"/>
        <v>1.0303030303030303</v>
      </c>
      <c r="AB1793">
        <f t="shared" si="164"/>
        <v>28</v>
      </c>
      <c r="AC1793" t="str">
        <f t="shared" si="165"/>
        <v>Low</v>
      </c>
      <c r="AD1793" t="str">
        <f t="shared" si="166"/>
        <v>Upsell premium bundle</v>
      </c>
      <c r="AE1793">
        <f t="shared" si="167"/>
        <v>39</v>
      </c>
    </row>
    <row r="1794" spans="1:31" x14ac:dyDescent="0.35">
      <c r="A1794" t="s">
        <v>1852</v>
      </c>
      <c r="B1794" s="4">
        <v>45950</v>
      </c>
      <c r="C1794" s="4">
        <v>46143</v>
      </c>
      <c r="D1794" t="s">
        <v>32</v>
      </c>
      <c r="E1794">
        <v>69</v>
      </c>
      <c r="F1794" t="s">
        <v>33</v>
      </c>
      <c r="G1794" t="s">
        <v>48</v>
      </c>
      <c r="H1794" t="s">
        <v>41</v>
      </c>
      <c r="I1794" t="s">
        <v>36</v>
      </c>
      <c r="J1794">
        <v>6</v>
      </c>
      <c r="K1794" s="5">
        <v>0</v>
      </c>
      <c r="L1794" s="5">
        <v>118.75</v>
      </c>
      <c r="M1794">
        <v>24</v>
      </c>
      <c r="N1794">
        <v>9</v>
      </c>
      <c r="O1794">
        <v>6</v>
      </c>
      <c r="P1794">
        <v>2</v>
      </c>
      <c r="Q1794">
        <v>10</v>
      </c>
      <c r="R1794">
        <v>0</v>
      </c>
      <c r="S1794">
        <v>0</v>
      </c>
      <c r="T1794">
        <v>1</v>
      </c>
      <c r="U1794">
        <v>1</v>
      </c>
      <c r="V1794">
        <v>1</v>
      </c>
      <c r="W1794" t="s">
        <v>52</v>
      </c>
      <c r="X1794">
        <v>9</v>
      </c>
      <c r="Y1794">
        <v>0</v>
      </c>
      <c r="Z1794">
        <f t="shared" ref="Z1794:Z1857" si="168">MIN(100,ROUND((M1794*1.1+N1794*0.7+O1794*1.2+P1794*1.4+Q1794*0.9+U1794*8+V1794*7),0))</f>
        <v>67</v>
      </c>
      <c r="AA1794">
        <f t="shared" ref="AA1794:AA1857" si="169">IFERROR((M1794+Q1794)/(30+J1794),0)</f>
        <v>0.94444444444444442</v>
      </c>
      <c r="AB1794">
        <f t="shared" ref="AB1794:AB1857" si="170">ROUND(MIN(100,MAX(0,60-Z1794*0.4-R1794*1.5+S1794*8-IF(L1794&gt;1500,10,0)-X1794*0.5+IF(I1794="Completed",-8,8)+IF(H1794="Free",6,-4))),0)</f>
        <v>27</v>
      </c>
      <c r="AC1794" t="str">
        <f t="shared" ref="AC1794:AC1857" si="171">IF(AB1794&gt;=70,"High",IF(AB1794&gt;=40,"Medium","Low"))</f>
        <v>Low</v>
      </c>
      <c r="AD1794" t="str">
        <f t="shared" ref="AD1794:AD1857" si="172">IF(AC1794="High",IF(Q1794&lt;5,"Re-engage with app usage offer",IF(K1794&lt;100,"Deposit incentive","Retention call")),IF(AC1794="Medium","Nudge core feature adoption","Upsell premium bundle"))</f>
        <v>Upsell premium bundle</v>
      </c>
      <c r="AE1794">
        <f t="shared" ref="AE1794:AE1857" si="173">100-Z1794</f>
        <v>33</v>
      </c>
    </row>
    <row r="1795" spans="1:31" x14ac:dyDescent="0.35">
      <c r="A1795" t="s">
        <v>1853</v>
      </c>
      <c r="B1795" s="4">
        <v>45663</v>
      </c>
      <c r="C1795" s="4">
        <v>46143</v>
      </c>
      <c r="D1795" t="s">
        <v>66</v>
      </c>
      <c r="E1795">
        <v>34</v>
      </c>
      <c r="F1795" t="s">
        <v>57</v>
      </c>
      <c r="G1795" t="s">
        <v>63</v>
      </c>
      <c r="H1795" t="s">
        <v>44</v>
      </c>
      <c r="I1795" t="s">
        <v>36</v>
      </c>
      <c r="J1795">
        <v>16</v>
      </c>
      <c r="K1795" s="5">
        <v>1036.83</v>
      </c>
      <c r="L1795" s="5">
        <v>683.98</v>
      </c>
      <c r="M1795">
        <v>32</v>
      </c>
      <c r="N1795">
        <v>19</v>
      </c>
      <c r="O1795">
        <v>7</v>
      </c>
      <c r="P1795">
        <v>5</v>
      </c>
      <c r="Q1795">
        <v>10</v>
      </c>
      <c r="R1795">
        <v>0</v>
      </c>
      <c r="S1795">
        <v>0</v>
      </c>
      <c r="T1795">
        <v>1</v>
      </c>
      <c r="U1795">
        <v>0</v>
      </c>
      <c r="V1795">
        <v>0</v>
      </c>
      <c r="W1795" t="s">
        <v>45</v>
      </c>
      <c r="X1795">
        <v>16</v>
      </c>
      <c r="Y1795">
        <v>0</v>
      </c>
      <c r="Z1795">
        <f t="shared" si="168"/>
        <v>73</v>
      </c>
      <c r="AA1795">
        <f t="shared" si="169"/>
        <v>0.91304347826086951</v>
      </c>
      <c r="AB1795">
        <f t="shared" si="170"/>
        <v>11</v>
      </c>
      <c r="AC1795" t="str">
        <f t="shared" si="171"/>
        <v>Low</v>
      </c>
      <c r="AD1795" t="str">
        <f t="shared" si="172"/>
        <v>Upsell premium bundle</v>
      </c>
      <c r="AE1795">
        <f t="shared" si="173"/>
        <v>27</v>
      </c>
    </row>
    <row r="1796" spans="1:31" x14ac:dyDescent="0.35">
      <c r="A1796" t="s">
        <v>1854</v>
      </c>
      <c r="B1796" s="4">
        <v>45102</v>
      </c>
      <c r="C1796" s="4">
        <v>46143</v>
      </c>
      <c r="D1796" t="s">
        <v>60</v>
      </c>
      <c r="E1796">
        <v>44</v>
      </c>
      <c r="F1796" t="s">
        <v>61</v>
      </c>
      <c r="G1796" t="s">
        <v>63</v>
      </c>
      <c r="H1796" t="s">
        <v>44</v>
      </c>
      <c r="I1796" t="s">
        <v>49</v>
      </c>
      <c r="J1796">
        <v>34</v>
      </c>
      <c r="K1796" s="5">
        <v>7195.01</v>
      </c>
      <c r="L1796" s="5">
        <v>5994.28</v>
      </c>
      <c r="M1796">
        <v>37</v>
      </c>
      <c r="N1796">
        <v>9</v>
      </c>
      <c r="O1796">
        <v>6</v>
      </c>
      <c r="P1796">
        <v>1</v>
      </c>
      <c r="Q1796">
        <v>32</v>
      </c>
      <c r="R1796">
        <v>3</v>
      </c>
      <c r="S1796">
        <v>0</v>
      </c>
      <c r="T1796">
        <v>1</v>
      </c>
      <c r="U1796">
        <v>1</v>
      </c>
      <c r="V1796">
        <v>1</v>
      </c>
      <c r="W1796" t="s">
        <v>50</v>
      </c>
      <c r="X1796">
        <v>0</v>
      </c>
      <c r="Y1796">
        <v>0</v>
      </c>
      <c r="Z1796">
        <f t="shared" si="168"/>
        <v>99</v>
      </c>
      <c r="AA1796">
        <f t="shared" si="169"/>
        <v>1.078125</v>
      </c>
      <c r="AB1796">
        <f t="shared" si="170"/>
        <v>10</v>
      </c>
      <c r="AC1796" t="str">
        <f t="shared" si="171"/>
        <v>Low</v>
      </c>
      <c r="AD1796" t="str">
        <f t="shared" si="172"/>
        <v>Upsell premium bundle</v>
      </c>
      <c r="AE1796">
        <f t="shared" si="173"/>
        <v>1</v>
      </c>
    </row>
    <row r="1797" spans="1:31" x14ac:dyDescent="0.35">
      <c r="A1797" t="s">
        <v>1855</v>
      </c>
      <c r="B1797" s="4">
        <v>44795</v>
      </c>
      <c r="C1797" s="4">
        <v>46143</v>
      </c>
      <c r="D1797" t="s">
        <v>66</v>
      </c>
      <c r="E1797">
        <v>58</v>
      </c>
      <c r="F1797" t="s">
        <v>77</v>
      </c>
      <c r="G1797" t="s">
        <v>85</v>
      </c>
      <c r="H1797" t="s">
        <v>41</v>
      </c>
      <c r="I1797" t="s">
        <v>49</v>
      </c>
      <c r="J1797">
        <v>44</v>
      </c>
      <c r="K1797" s="5">
        <v>12040.79</v>
      </c>
      <c r="L1797" s="5">
        <v>9006.35</v>
      </c>
      <c r="M1797">
        <v>21</v>
      </c>
      <c r="N1797">
        <v>13</v>
      </c>
      <c r="O1797">
        <v>3</v>
      </c>
      <c r="P1797">
        <v>4</v>
      </c>
      <c r="Q1797">
        <v>12</v>
      </c>
      <c r="R1797">
        <v>0</v>
      </c>
      <c r="S1797">
        <v>0</v>
      </c>
      <c r="T1797">
        <v>1</v>
      </c>
      <c r="U1797">
        <v>0</v>
      </c>
      <c r="V1797">
        <v>1</v>
      </c>
      <c r="W1797" t="s">
        <v>52</v>
      </c>
      <c r="X1797">
        <v>22</v>
      </c>
      <c r="Y1797">
        <v>0</v>
      </c>
      <c r="Z1797">
        <f t="shared" si="168"/>
        <v>59</v>
      </c>
      <c r="AA1797">
        <f t="shared" si="169"/>
        <v>0.44594594594594594</v>
      </c>
      <c r="AB1797">
        <f t="shared" si="170"/>
        <v>29</v>
      </c>
      <c r="AC1797" t="str">
        <f t="shared" si="171"/>
        <v>Low</v>
      </c>
      <c r="AD1797" t="str">
        <f t="shared" si="172"/>
        <v>Upsell premium bundle</v>
      </c>
      <c r="AE1797">
        <f t="shared" si="173"/>
        <v>41</v>
      </c>
    </row>
    <row r="1798" spans="1:31" x14ac:dyDescent="0.35">
      <c r="A1798" t="s">
        <v>1856</v>
      </c>
      <c r="B1798" s="4">
        <v>45164</v>
      </c>
      <c r="C1798" s="4">
        <v>46143</v>
      </c>
      <c r="D1798" t="s">
        <v>32</v>
      </c>
      <c r="E1798">
        <v>38</v>
      </c>
      <c r="F1798" t="s">
        <v>33</v>
      </c>
      <c r="G1798" t="s">
        <v>85</v>
      </c>
      <c r="H1798" t="s">
        <v>41</v>
      </c>
      <c r="I1798" t="s">
        <v>49</v>
      </c>
      <c r="J1798">
        <v>32</v>
      </c>
      <c r="K1798" s="5">
        <v>475.51</v>
      </c>
      <c r="L1798" s="5">
        <v>282.24</v>
      </c>
      <c r="M1798">
        <v>2</v>
      </c>
      <c r="N1798">
        <v>1</v>
      </c>
      <c r="O1798">
        <v>0</v>
      </c>
      <c r="P1798">
        <v>0</v>
      </c>
      <c r="Q1798">
        <v>14</v>
      </c>
      <c r="R1798">
        <v>0</v>
      </c>
      <c r="S1798">
        <v>0</v>
      </c>
      <c r="T1798">
        <v>0</v>
      </c>
      <c r="U1798">
        <v>0</v>
      </c>
      <c r="V1798">
        <v>1</v>
      </c>
      <c r="W1798" t="s">
        <v>50</v>
      </c>
      <c r="X1798">
        <v>13</v>
      </c>
      <c r="Y1798">
        <v>1</v>
      </c>
      <c r="Z1798">
        <f t="shared" si="168"/>
        <v>23</v>
      </c>
      <c r="AA1798">
        <f t="shared" si="169"/>
        <v>0.25806451612903225</v>
      </c>
      <c r="AB1798">
        <f t="shared" si="170"/>
        <v>58</v>
      </c>
      <c r="AC1798" t="str">
        <f t="shared" si="171"/>
        <v>Medium</v>
      </c>
      <c r="AD1798" t="str">
        <f t="shared" si="172"/>
        <v>Nudge core feature adoption</v>
      </c>
      <c r="AE1798">
        <f t="shared" si="173"/>
        <v>77</v>
      </c>
    </row>
    <row r="1799" spans="1:31" x14ac:dyDescent="0.35">
      <c r="A1799" t="s">
        <v>1857</v>
      </c>
      <c r="B1799" s="4">
        <v>45081</v>
      </c>
      <c r="C1799" s="4">
        <v>46143</v>
      </c>
      <c r="D1799" t="s">
        <v>32</v>
      </c>
      <c r="E1799">
        <v>30</v>
      </c>
      <c r="F1799" t="s">
        <v>57</v>
      </c>
      <c r="G1799" t="s">
        <v>63</v>
      </c>
      <c r="H1799" t="s">
        <v>58</v>
      </c>
      <c r="I1799" t="s">
        <v>36</v>
      </c>
      <c r="J1799">
        <v>35</v>
      </c>
      <c r="K1799" s="5">
        <v>1988.52</v>
      </c>
      <c r="L1799" s="5">
        <v>315.16000000000003</v>
      </c>
      <c r="M1799">
        <v>42</v>
      </c>
      <c r="N1799">
        <v>24</v>
      </c>
      <c r="O1799">
        <v>8</v>
      </c>
      <c r="P1799">
        <v>7</v>
      </c>
      <c r="Q1799">
        <v>37</v>
      </c>
      <c r="R1799">
        <v>1</v>
      </c>
      <c r="S1799">
        <v>0</v>
      </c>
      <c r="T1799">
        <v>1</v>
      </c>
      <c r="U1799">
        <v>0</v>
      </c>
      <c r="V1799">
        <v>0</v>
      </c>
      <c r="W1799" t="s">
        <v>52</v>
      </c>
      <c r="X1799">
        <v>39</v>
      </c>
      <c r="Y1799">
        <v>0</v>
      </c>
      <c r="Z1799">
        <f t="shared" si="168"/>
        <v>100</v>
      </c>
      <c r="AA1799">
        <f t="shared" si="169"/>
        <v>1.2153846153846153</v>
      </c>
      <c r="AB1799">
        <f t="shared" si="170"/>
        <v>0</v>
      </c>
      <c r="AC1799" t="str">
        <f t="shared" si="171"/>
        <v>Low</v>
      </c>
      <c r="AD1799" t="str">
        <f t="shared" si="172"/>
        <v>Upsell premium bundle</v>
      </c>
      <c r="AE1799">
        <f t="shared" si="173"/>
        <v>0</v>
      </c>
    </row>
    <row r="1800" spans="1:31" x14ac:dyDescent="0.35">
      <c r="A1800" t="s">
        <v>1858</v>
      </c>
      <c r="B1800" s="4">
        <v>45132</v>
      </c>
      <c r="C1800" s="4">
        <v>46143</v>
      </c>
      <c r="D1800" t="s">
        <v>32</v>
      </c>
      <c r="E1800">
        <v>19</v>
      </c>
      <c r="F1800" t="s">
        <v>33</v>
      </c>
      <c r="G1800" t="s">
        <v>63</v>
      </c>
      <c r="H1800" t="s">
        <v>58</v>
      </c>
      <c r="I1800" t="s">
        <v>36</v>
      </c>
      <c r="J1800">
        <v>33</v>
      </c>
      <c r="K1800" s="5">
        <v>159.22999999999999</v>
      </c>
      <c r="L1800" s="5">
        <v>103.43</v>
      </c>
      <c r="M1800">
        <v>43</v>
      </c>
      <c r="N1800">
        <v>16</v>
      </c>
      <c r="O1800">
        <v>8</v>
      </c>
      <c r="P1800">
        <v>3</v>
      </c>
      <c r="Q1800">
        <v>28</v>
      </c>
      <c r="R1800">
        <v>1</v>
      </c>
      <c r="S1800">
        <v>1</v>
      </c>
      <c r="T1800">
        <v>1</v>
      </c>
      <c r="U1800">
        <v>0</v>
      </c>
      <c r="V1800">
        <v>0</v>
      </c>
      <c r="W1800" t="s">
        <v>52</v>
      </c>
      <c r="X1800">
        <v>0</v>
      </c>
      <c r="Y1800">
        <v>0</v>
      </c>
      <c r="Z1800">
        <f t="shared" si="168"/>
        <v>98</v>
      </c>
      <c r="AA1800">
        <f t="shared" si="169"/>
        <v>1.126984126984127</v>
      </c>
      <c r="AB1800">
        <f t="shared" si="170"/>
        <v>15</v>
      </c>
      <c r="AC1800" t="str">
        <f t="shared" si="171"/>
        <v>Low</v>
      </c>
      <c r="AD1800" t="str">
        <f t="shared" si="172"/>
        <v>Upsell premium bundle</v>
      </c>
      <c r="AE1800">
        <f t="shared" si="173"/>
        <v>2</v>
      </c>
    </row>
    <row r="1801" spans="1:31" x14ac:dyDescent="0.35">
      <c r="A1801" t="s">
        <v>1859</v>
      </c>
      <c r="B1801" s="4">
        <v>45875</v>
      </c>
      <c r="C1801" s="4">
        <v>46143</v>
      </c>
      <c r="D1801" t="s">
        <v>72</v>
      </c>
      <c r="E1801">
        <v>64</v>
      </c>
      <c r="F1801" t="s">
        <v>57</v>
      </c>
      <c r="G1801" t="s">
        <v>40</v>
      </c>
      <c r="H1801" t="s">
        <v>44</v>
      </c>
      <c r="I1801" t="s">
        <v>36</v>
      </c>
      <c r="J1801">
        <v>8</v>
      </c>
      <c r="K1801" s="5">
        <v>0</v>
      </c>
      <c r="L1801" s="5">
        <v>1686.38</v>
      </c>
      <c r="M1801">
        <v>11</v>
      </c>
      <c r="N1801">
        <v>6</v>
      </c>
      <c r="O1801">
        <v>1</v>
      </c>
      <c r="P1801">
        <v>0</v>
      </c>
      <c r="Q1801">
        <v>9</v>
      </c>
      <c r="R1801">
        <v>1</v>
      </c>
      <c r="S1801">
        <v>1</v>
      </c>
      <c r="T1801">
        <v>1</v>
      </c>
      <c r="U1801">
        <v>1</v>
      </c>
      <c r="V1801">
        <v>1</v>
      </c>
      <c r="W1801" t="s">
        <v>37</v>
      </c>
      <c r="X1801">
        <v>-27</v>
      </c>
      <c r="Y1801">
        <v>1</v>
      </c>
      <c r="Z1801">
        <f t="shared" si="168"/>
        <v>41</v>
      </c>
      <c r="AA1801">
        <f t="shared" si="169"/>
        <v>0.52631578947368418</v>
      </c>
      <c r="AB1801">
        <f t="shared" si="170"/>
        <v>42</v>
      </c>
      <c r="AC1801" t="str">
        <f t="shared" si="171"/>
        <v>Medium</v>
      </c>
      <c r="AD1801" t="str">
        <f t="shared" si="172"/>
        <v>Nudge core feature adoption</v>
      </c>
      <c r="AE1801">
        <f t="shared" si="173"/>
        <v>59</v>
      </c>
    </row>
    <row r="1802" spans="1:31" x14ac:dyDescent="0.35">
      <c r="A1802" t="s">
        <v>1860</v>
      </c>
      <c r="B1802" s="4">
        <v>46017</v>
      </c>
      <c r="C1802" s="4">
        <v>46143</v>
      </c>
      <c r="D1802" t="s">
        <v>72</v>
      </c>
      <c r="E1802">
        <v>31</v>
      </c>
      <c r="F1802" t="s">
        <v>33</v>
      </c>
      <c r="G1802" t="s">
        <v>40</v>
      </c>
      <c r="H1802" t="s">
        <v>41</v>
      </c>
      <c r="I1802" t="s">
        <v>36</v>
      </c>
      <c r="J1802">
        <v>4</v>
      </c>
      <c r="K1802" s="5">
        <v>274.32</v>
      </c>
      <c r="L1802" s="5">
        <v>469.26</v>
      </c>
      <c r="M1802">
        <v>39</v>
      </c>
      <c r="N1802">
        <v>14</v>
      </c>
      <c r="O1802">
        <v>2</v>
      </c>
      <c r="P1802">
        <v>4</v>
      </c>
      <c r="Q1802">
        <v>28</v>
      </c>
      <c r="R1802">
        <v>2</v>
      </c>
      <c r="S1802">
        <v>1</v>
      </c>
      <c r="T1802">
        <v>1</v>
      </c>
      <c r="U1802">
        <v>1</v>
      </c>
      <c r="V1802">
        <v>0</v>
      </c>
      <c r="W1802" t="s">
        <v>52</v>
      </c>
      <c r="X1802">
        <v>1</v>
      </c>
      <c r="Y1802">
        <v>0</v>
      </c>
      <c r="Z1802">
        <f t="shared" si="168"/>
        <v>94</v>
      </c>
      <c r="AA1802">
        <f t="shared" si="169"/>
        <v>1.9705882352941178</v>
      </c>
      <c r="AB1802">
        <f t="shared" si="170"/>
        <v>25</v>
      </c>
      <c r="AC1802" t="str">
        <f t="shared" si="171"/>
        <v>Low</v>
      </c>
      <c r="AD1802" t="str">
        <f t="shared" si="172"/>
        <v>Upsell premium bundle</v>
      </c>
      <c r="AE1802">
        <f t="shared" si="173"/>
        <v>6</v>
      </c>
    </row>
    <row r="1803" spans="1:31" x14ac:dyDescent="0.35">
      <c r="A1803" t="s">
        <v>1861</v>
      </c>
      <c r="B1803" s="4">
        <v>45942</v>
      </c>
      <c r="C1803" s="4">
        <v>46143</v>
      </c>
      <c r="D1803" t="s">
        <v>66</v>
      </c>
      <c r="E1803">
        <v>67</v>
      </c>
      <c r="F1803" t="s">
        <v>33</v>
      </c>
      <c r="G1803" t="s">
        <v>63</v>
      </c>
      <c r="H1803" t="s">
        <v>44</v>
      </c>
      <c r="I1803" t="s">
        <v>49</v>
      </c>
      <c r="J1803">
        <v>6</v>
      </c>
      <c r="K1803" s="5">
        <v>901.98</v>
      </c>
      <c r="L1803" s="5">
        <v>14.84</v>
      </c>
      <c r="M1803">
        <v>45</v>
      </c>
      <c r="N1803">
        <v>16</v>
      </c>
      <c r="O1803">
        <v>8</v>
      </c>
      <c r="P1803">
        <v>1</v>
      </c>
      <c r="Q1803">
        <v>23</v>
      </c>
      <c r="R1803">
        <v>2</v>
      </c>
      <c r="S1803">
        <v>1</v>
      </c>
      <c r="T1803">
        <v>1</v>
      </c>
      <c r="U1803">
        <v>1</v>
      </c>
      <c r="V1803">
        <v>1</v>
      </c>
      <c r="W1803" t="s">
        <v>45</v>
      </c>
      <c r="X1803">
        <v>27</v>
      </c>
      <c r="Y1803">
        <v>0</v>
      </c>
      <c r="Z1803">
        <f t="shared" si="168"/>
        <v>100</v>
      </c>
      <c r="AA1803">
        <f t="shared" si="169"/>
        <v>1.8888888888888888</v>
      </c>
      <c r="AB1803">
        <f t="shared" si="170"/>
        <v>16</v>
      </c>
      <c r="AC1803" t="str">
        <f t="shared" si="171"/>
        <v>Low</v>
      </c>
      <c r="AD1803" t="str">
        <f t="shared" si="172"/>
        <v>Upsell premium bundle</v>
      </c>
      <c r="AE1803">
        <f t="shared" si="173"/>
        <v>0</v>
      </c>
    </row>
    <row r="1804" spans="1:31" x14ac:dyDescent="0.35">
      <c r="A1804" t="s">
        <v>1862</v>
      </c>
      <c r="B1804" s="4">
        <v>46028</v>
      </c>
      <c r="C1804" s="4">
        <v>46143</v>
      </c>
      <c r="D1804" t="s">
        <v>32</v>
      </c>
      <c r="E1804">
        <v>44</v>
      </c>
      <c r="F1804" t="s">
        <v>43</v>
      </c>
      <c r="G1804" t="s">
        <v>40</v>
      </c>
      <c r="H1804" t="s">
        <v>58</v>
      </c>
      <c r="I1804" t="s">
        <v>36</v>
      </c>
      <c r="J1804">
        <v>3</v>
      </c>
      <c r="K1804" s="5">
        <v>26.02</v>
      </c>
      <c r="L1804" s="5">
        <v>0</v>
      </c>
      <c r="M1804">
        <v>16</v>
      </c>
      <c r="N1804">
        <v>6</v>
      </c>
      <c r="O1804">
        <v>0</v>
      </c>
      <c r="P1804">
        <v>3</v>
      </c>
      <c r="Q1804">
        <v>14</v>
      </c>
      <c r="R1804">
        <v>2</v>
      </c>
      <c r="S1804">
        <v>1</v>
      </c>
      <c r="T1804">
        <v>1</v>
      </c>
      <c r="U1804">
        <v>0</v>
      </c>
      <c r="V1804">
        <v>0</v>
      </c>
      <c r="W1804" t="s">
        <v>37</v>
      </c>
      <c r="X1804">
        <v>0</v>
      </c>
      <c r="Y1804">
        <v>0</v>
      </c>
      <c r="Z1804">
        <f t="shared" si="168"/>
        <v>39</v>
      </c>
      <c r="AA1804">
        <f t="shared" si="169"/>
        <v>0.90909090909090906</v>
      </c>
      <c r="AB1804">
        <f t="shared" si="170"/>
        <v>37</v>
      </c>
      <c r="AC1804" t="str">
        <f t="shared" si="171"/>
        <v>Low</v>
      </c>
      <c r="AD1804" t="str">
        <f t="shared" si="172"/>
        <v>Upsell premium bundle</v>
      </c>
      <c r="AE1804">
        <f t="shared" si="173"/>
        <v>61</v>
      </c>
    </row>
    <row r="1805" spans="1:31" x14ac:dyDescent="0.35">
      <c r="A1805" t="s">
        <v>1863</v>
      </c>
      <c r="B1805" s="4">
        <v>44941</v>
      </c>
      <c r="C1805" s="4">
        <v>46143</v>
      </c>
      <c r="D1805" t="s">
        <v>32</v>
      </c>
      <c r="E1805">
        <v>28</v>
      </c>
      <c r="F1805" t="s">
        <v>33</v>
      </c>
      <c r="G1805" t="s">
        <v>67</v>
      </c>
      <c r="H1805" t="s">
        <v>41</v>
      </c>
      <c r="I1805" t="s">
        <v>36</v>
      </c>
      <c r="J1805">
        <v>40</v>
      </c>
      <c r="K1805" s="5">
        <v>161.94999999999999</v>
      </c>
      <c r="L1805" s="5">
        <v>0</v>
      </c>
      <c r="M1805">
        <v>40</v>
      </c>
      <c r="N1805">
        <v>10</v>
      </c>
      <c r="O1805">
        <v>11</v>
      </c>
      <c r="P1805">
        <v>6</v>
      </c>
      <c r="Q1805">
        <v>20</v>
      </c>
      <c r="R1805">
        <v>1</v>
      </c>
      <c r="S1805">
        <v>1</v>
      </c>
      <c r="T1805">
        <v>1</v>
      </c>
      <c r="U1805">
        <v>0</v>
      </c>
      <c r="V1805">
        <v>0</v>
      </c>
      <c r="W1805" t="s">
        <v>52</v>
      </c>
      <c r="X1805">
        <v>-19</v>
      </c>
      <c r="Y1805">
        <v>0</v>
      </c>
      <c r="Z1805">
        <f t="shared" si="168"/>
        <v>91</v>
      </c>
      <c r="AA1805">
        <f t="shared" si="169"/>
        <v>0.8571428571428571</v>
      </c>
      <c r="AB1805">
        <f t="shared" si="170"/>
        <v>38</v>
      </c>
      <c r="AC1805" t="str">
        <f t="shared" si="171"/>
        <v>Low</v>
      </c>
      <c r="AD1805" t="str">
        <f t="shared" si="172"/>
        <v>Upsell premium bundle</v>
      </c>
      <c r="AE1805">
        <f t="shared" si="173"/>
        <v>9</v>
      </c>
    </row>
    <row r="1806" spans="1:31" x14ac:dyDescent="0.35">
      <c r="A1806" t="s">
        <v>1864</v>
      </c>
      <c r="B1806" s="4">
        <v>45844</v>
      </c>
      <c r="C1806" s="4">
        <v>46143</v>
      </c>
      <c r="D1806" t="s">
        <v>66</v>
      </c>
      <c r="E1806">
        <v>61</v>
      </c>
      <c r="F1806" t="s">
        <v>43</v>
      </c>
      <c r="G1806" t="s">
        <v>85</v>
      </c>
      <c r="H1806" t="s">
        <v>58</v>
      </c>
      <c r="I1806" t="s">
        <v>36</v>
      </c>
      <c r="J1806">
        <v>9</v>
      </c>
      <c r="K1806" s="5">
        <v>8.14</v>
      </c>
      <c r="L1806" s="5">
        <v>87.21</v>
      </c>
      <c r="M1806">
        <v>32</v>
      </c>
      <c r="N1806">
        <v>17</v>
      </c>
      <c r="O1806">
        <v>9</v>
      </c>
      <c r="P1806">
        <v>3</v>
      </c>
      <c r="Q1806">
        <v>26</v>
      </c>
      <c r="R1806">
        <v>2</v>
      </c>
      <c r="S1806">
        <v>0</v>
      </c>
      <c r="T1806">
        <v>0</v>
      </c>
      <c r="U1806">
        <v>0</v>
      </c>
      <c r="V1806">
        <v>1</v>
      </c>
      <c r="W1806" t="s">
        <v>55</v>
      </c>
      <c r="X1806">
        <v>76</v>
      </c>
      <c r="Y1806">
        <v>0</v>
      </c>
      <c r="Z1806">
        <f t="shared" si="168"/>
        <v>93</v>
      </c>
      <c r="AA1806">
        <f t="shared" si="169"/>
        <v>1.4871794871794872</v>
      </c>
      <c r="AB1806">
        <f t="shared" si="170"/>
        <v>0</v>
      </c>
      <c r="AC1806" t="str">
        <f t="shared" si="171"/>
        <v>Low</v>
      </c>
      <c r="AD1806" t="str">
        <f t="shared" si="172"/>
        <v>Upsell premium bundle</v>
      </c>
      <c r="AE1806">
        <f t="shared" si="173"/>
        <v>7</v>
      </c>
    </row>
    <row r="1807" spans="1:31" x14ac:dyDescent="0.35">
      <c r="A1807" t="s">
        <v>1865</v>
      </c>
      <c r="B1807" s="4">
        <v>45584</v>
      </c>
      <c r="C1807" s="4">
        <v>46143</v>
      </c>
      <c r="D1807" t="s">
        <v>66</v>
      </c>
      <c r="E1807">
        <v>28</v>
      </c>
      <c r="F1807" t="s">
        <v>43</v>
      </c>
      <c r="G1807" t="s">
        <v>40</v>
      </c>
      <c r="H1807" t="s">
        <v>41</v>
      </c>
      <c r="I1807" t="s">
        <v>49</v>
      </c>
      <c r="J1807">
        <v>18</v>
      </c>
      <c r="K1807" s="5">
        <v>177.12</v>
      </c>
      <c r="L1807" s="5">
        <v>55.99</v>
      </c>
      <c r="M1807">
        <v>25</v>
      </c>
      <c r="N1807">
        <v>14</v>
      </c>
      <c r="O1807">
        <v>1</v>
      </c>
      <c r="P1807">
        <v>4</v>
      </c>
      <c r="Q1807">
        <v>22</v>
      </c>
      <c r="R1807">
        <v>1</v>
      </c>
      <c r="S1807">
        <v>0</v>
      </c>
      <c r="T1807">
        <v>1</v>
      </c>
      <c r="U1807">
        <v>0</v>
      </c>
      <c r="V1807">
        <v>1</v>
      </c>
      <c r="W1807" t="s">
        <v>52</v>
      </c>
      <c r="X1807">
        <v>17</v>
      </c>
      <c r="Y1807">
        <v>0</v>
      </c>
      <c r="Z1807">
        <f t="shared" si="168"/>
        <v>71</v>
      </c>
      <c r="AA1807">
        <f t="shared" si="169"/>
        <v>0.97916666666666663</v>
      </c>
      <c r="AB1807">
        <f t="shared" si="170"/>
        <v>36</v>
      </c>
      <c r="AC1807" t="str">
        <f t="shared" si="171"/>
        <v>Low</v>
      </c>
      <c r="AD1807" t="str">
        <f t="shared" si="172"/>
        <v>Upsell premium bundle</v>
      </c>
      <c r="AE1807">
        <f t="shared" si="173"/>
        <v>29</v>
      </c>
    </row>
    <row r="1808" spans="1:31" x14ac:dyDescent="0.35">
      <c r="A1808" t="s">
        <v>1866</v>
      </c>
      <c r="B1808" s="4">
        <v>45718</v>
      </c>
      <c r="C1808" s="4">
        <v>46143</v>
      </c>
      <c r="D1808" t="s">
        <v>32</v>
      </c>
      <c r="E1808">
        <v>21</v>
      </c>
      <c r="F1808" t="s">
        <v>43</v>
      </c>
      <c r="G1808" t="s">
        <v>48</v>
      </c>
      <c r="H1808" t="s">
        <v>41</v>
      </c>
      <c r="I1808" t="s">
        <v>36</v>
      </c>
      <c r="J1808">
        <v>14</v>
      </c>
      <c r="K1808" s="5">
        <v>40.68</v>
      </c>
      <c r="L1808" s="5">
        <v>121.46</v>
      </c>
      <c r="M1808">
        <v>17</v>
      </c>
      <c r="N1808">
        <v>6</v>
      </c>
      <c r="O1808">
        <v>1</v>
      </c>
      <c r="P1808">
        <v>1</v>
      </c>
      <c r="Q1808">
        <v>6</v>
      </c>
      <c r="R1808">
        <v>2</v>
      </c>
      <c r="S1808">
        <v>0</v>
      </c>
      <c r="T1808">
        <v>0</v>
      </c>
      <c r="U1808">
        <v>1</v>
      </c>
      <c r="V1808">
        <v>0</v>
      </c>
      <c r="W1808" t="s">
        <v>45</v>
      </c>
      <c r="X1808">
        <v>13</v>
      </c>
      <c r="Y1808">
        <v>1</v>
      </c>
      <c r="Z1808">
        <f t="shared" si="168"/>
        <v>39</v>
      </c>
      <c r="AA1808">
        <f t="shared" si="169"/>
        <v>0.52272727272727271</v>
      </c>
      <c r="AB1808">
        <f t="shared" si="170"/>
        <v>33</v>
      </c>
      <c r="AC1808" t="str">
        <f t="shared" si="171"/>
        <v>Low</v>
      </c>
      <c r="AD1808" t="str">
        <f t="shared" si="172"/>
        <v>Upsell premium bundle</v>
      </c>
      <c r="AE1808">
        <f t="shared" si="173"/>
        <v>61</v>
      </c>
    </row>
    <row r="1809" spans="1:31" x14ac:dyDescent="0.35">
      <c r="A1809" t="s">
        <v>1867</v>
      </c>
      <c r="B1809" s="4">
        <v>45482</v>
      </c>
      <c r="C1809" s="4">
        <v>46143</v>
      </c>
      <c r="D1809" t="s">
        <v>72</v>
      </c>
      <c r="E1809">
        <v>29</v>
      </c>
      <c r="F1809" t="s">
        <v>61</v>
      </c>
      <c r="G1809" t="s">
        <v>34</v>
      </c>
      <c r="H1809" t="s">
        <v>44</v>
      </c>
      <c r="I1809" t="s">
        <v>36</v>
      </c>
      <c r="J1809">
        <v>22</v>
      </c>
      <c r="K1809" s="5">
        <v>2969.73</v>
      </c>
      <c r="L1809" s="5">
        <v>940.4</v>
      </c>
      <c r="M1809">
        <v>56</v>
      </c>
      <c r="N1809">
        <v>28</v>
      </c>
      <c r="O1809">
        <v>7</v>
      </c>
      <c r="P1809">
        <v>1</v>
      </c>
      <c r="Q1809">
        <v>15</v>
      </c>
      <c r="R1809">
        <v>0</v>
      </c>
      <c r="S1809">
        <v>0</v>
      </c>
      <c r="T1809">
        <v>1</v>
      </c>
      <c r="U1809">
        <v>1</v>
      </c>
      <c r="V1809">
        <v>0</v>
      </c>
      <c r="W1809" t="s">
        <v>37</v>
      </c>
      <c r="X1809">
        <v>10</v>
      </c>
      <c r="Y1809">
        <v>0</v>
      </c>
      <c r="Z1809">
        <f t="shared" si="168"/>
        <v>100</v>
      </c>
      <c r="AA1809">
        <f t="shared" si="169"/>
        <v>1.3653846153846154</v>
      </c>
      <c r="AB1809">
        <f t="shared" si="170"/>
        <v>3</v>
      </c>
      <c r="AC1809" t="str">
        <f t="shared" si="171"/>
        <v>Low</v>
      </c>
      <c r="AD1809" t="str">
        <f t="shared" si="172"/>
        <v>Upsell premium bundle</v>
      </c>
      <c r="AE1809">
        <f t="shared" si="173"/>
        <v>0</v>
      </c>
    </row>
    <row r="1810" spans="1:31" x14ac:dyDescent="0.35">
      <c r="A1810" t="s">
        <v>1868</v>
      </c>
      <c r="B1810" s="4">
        <v>45937</v>
      </c>
      <c r="C1810" s="4">
        <v>46143</v>
      </c>
      <c r="D1810" t="s">
        <v>39</v>
      </c>
      <c r="E1810">
        <v>48</v>
      </c>
      <c r="F1810" t="s">
        <v>43</v>
      </c>
      <c r="G1810" t="s">
        <v>85</v>
      </c>
      <c r="H1810" t="s">
        <v>41</v>
      </c>
      <c r="I1810" t="s">
        <v>49</v>
      </c>
      <c r="J1810">
        <v>6</v>
      </c>
      <c r="K1810" s="5">
        <v>128.37</v>
      </c>
      <c r="L1810" s="5">
        <v>9.27</v>
      </c>
      <c r="M1810">
        <v>24</v>
      </c>
      <c r="N1810">
        <v>7</v>
      </c>
      <c r="O1810">
        <v>2</v>
      </c>
      <c r="P1810">
        <v>2</v>
      </c>
      <c r="Q1810">
        <v>15</v>
      </c>
      <c r="R1810">
        <v>2</v>
      </c>
      <c r="S1810">
        <v>2</v>
      </c>
      <c r="T1810">
        <v>0</v>
      </c>
      <c r="U1810">
        <v>1</v>
      </c>
      <c r="V1810">
        <v>1</v>
      </c>
      <c r="W1810" t="s">
        <v>37</v>
      </c>
      <c r="X1810">
        <v>-34</v>
      </c>
      <c r="Y1810">
        <v>1</v>
      </c>
      <c r="Z1810">
        <f t="shared" si="168"/>
        <v>65</v>
      </c>
      <c r="AA1810">
        <f t="shared" si="169"/>
        <v>1.0833333333333333</v>
      </c>
      <c r="AB1810">
        <f t="shared" si="170"/>
        <v>78</v>
      </c>
      <c r="AC1810" t="str">
        <f t="shared" si="171"/>
        <v>High</v>
      </c>
      <c r="AD1810" t="str">
        <f t="shared" si="172"/>
        <v>Retention call</v>
      </c>
      <c r="AE1810">
        <f t="shared" si="173"/>
        <v>35</v>
      </c>
    </row>
    <row r="1811" spans="1:31" x14ac:dyDescent="0.35">
      <c r="A1811" t="s">
        <v>1869</v>
      </c>
      <c r="B1811" s="4">
        <v>45671</v>
      </c>
      <c r="C1811" s="4">
        <v>46143</v>
      </c>
      <c r="D1811" t="s">
        <v>39</v>
      </c>
      <c r="E1811">
        <v>18</v>
      </c>
      <c r="F1811" t="s">
        <v>61</v>
      </c>
      <c r="G1811" t="s">
        <v>48</v>
      </c>
      <c r="H1811" t="s">
        <v>41</v>
      </c>
      <c r="I1811" t="s">
        <v>36</v>
      </c>
      <c r="J1811">
        <v>15</v>
      </c>
      <c r="K1811" s="5">
        <v>3525.66</v>
      </c>
      <c r="L1811" s="5">
        <v>0</v>
      </c>
      <c r="M1811">
        <v>22</v>
      </c>
      <c r="N1811">
        <v>13</v>
      </c>
      <c r="O1811">
        <v>3</v>
      </c>
      <c r="P1811">
        <v>4</v>
      </c>
      <c r="Q1811">
        <v>24</v>
      </c>
      <c r="R1811">
        <v>0</v>
      </c>
      <c r="S1811">
        <v>0</v>
      </c>
      <c r="T1811">
        <v>1</v>
      </c>
      <c r="U1811">
        <v>0</v>
      </c>
      <c r="V1811">
        <v>0</v>
      </c>
      <c r="W1811" t="s">
        <v>52</v>
      </c>
      <c r="X1811">
        <v>2</v>
      </c>
      <c r="Y1811">
        <v>0</v>
      </c>
      <c r="Z1811">
        <f t="shared" si="168"/>
        <v>64</v>
      </c>
      <c r="AA1811">
        <f t="shared" si="169"/>
        <v>1.0222222222222221</v>
      </c>
      <c r="AB1811">
        <f t="shared" si="170"/>
        <v>31</v>
      </c>
      <c r="AC1811" t="str">
        <f t="shared" si="171"/>
        <v>Low</v>
      </c>
      <c r="AD1811" t="str">
        <f t="shared" si="172"/>
        <v>Upsell premium bundle</v>
      </c>
      <c r="AE1811">
        <f t="shared" si="173"/>
        <v>36</v>
      </c>
    </row>
    <row r="1812" spans="1:31" x14ac:dyDescent="0.35">
      <c r="A1812" t="s">
        <v>1870</v>
      </c>
      <c r="B1812" s="4">
        <v>45642</v>
      </c>
      <c r="C1812" s="4">
        <v>46143</v>
      </c>
      <c r="D1812" t="s">
        <v>66</v>
      </c>
      <c r="E1812">
        <v>60</v>
      </c>
      <c r="F1812" t="s">
        <v>77</v>
      </c>
      <c r="G1812" t="s">
        <v>48</v>
      </c>
      <c r="H1812" t="s">
        <v>41</v>
      </c>
      <c r="I1812" t="s">
        <v>36</v>
      </c>
      <c r="J1812">
        <v>16</v>
      </c>
      <c r="K1812" s="5">
        <v>0</v>
      </c>
      <c r="L1812" s="5">
        <v>2673.85</v>
      </c>
      <c r="M1812">
        <v>21</v>
      </c>
      <c r="N1812">
        <v>7</v>
      </c>
      <c r="O1812">
        <v>5</v>
      </c>
      <c r="P1812">
        <v>3</v>
      </c>
      <c r="Q1812">
        <v>9</v>
      </c>
      <c r="R1812">
        <v>2</v>
      </c>
      <c r="S1812">
        <v>2</v>
      </c>
      <c r="T1812">
        <v>1</v>
      </c>
      <c r="U1812">
        <v>1</v>
      </c>
      <c r="V1812">
        <v>1</v>
      </c>
      <c r="W1812" t="s">
        <v>52</v>
      </c>
      <c r="X1812">
        <v>49</v>
      </c>
      <c r="Y1812">
        <v>1</v>
      </c>
      <c r="Z1812">
        <f t="shared" si="168"/>
        <v>61</v>
      </c>
      <c r="AA1812">
        <f t="shared" si="169"/>
        <v>0.65217391304347827</v>
      </c>
      <c r="AB1812">
        <f t="shared" si="170"/>
        <v>12</v>
      </c>
      <c r="AC1812" t="str">
        <f t="shared" si="171"/>
        <v>Low</v>
      </c>
      <c r="AD1812" t="str">
        <f t="shared" si="172"/>
        <v>Upsell premium bundle</v>
      </c>
      <c r="AE1812">
        <f t="shared" si="173"/>
        <v>39</v>
      </c>
    </row>
    <row r="1813" spans="1:31" x14ac:dyDescent="0.35">
      <c r="A1813" t="s">
        <v>1871</v>
      </c>
      <c r="B1813" s="4">
        <v>45053</v>
      </c>
      <c r="C1813" s="4">
        <v>46143</v>
      </c>
      <c r="D1813" t="s">
        <v>47</v>
      </c>
      <c r="E1813">
        <v>35</v>
      </c>
      <c r="F1813" t="s">
        <v>33</v>
      </c>
      <c r="G1813" t="s">
        <v>67</v>
      </c>
      <c r="H1813" t="s">
        <v>41</v>
      </c>
      <c r="I1813" t="s">
        <v>36</v>
      </c>
      <c r="J1813">
        <v>36</v>
      </c>
      <c r="K1813" s="5">
        <v>468.21</v>
      </c>
      <c r="L1813" s="5">
        <v>107.92</v>
      </c>
      <c r="M1813">
        <v>28</v>
      </c>
      <c r="N1813">
        <v>13</v>
      </c>
      <c r="O1813">
        <v>1</v>
      </c>
      <c r="P1813">
        <v>4</v>
      </c>
      <c r="Q1813">
        <v>19</v>
      </c>
      <c r="R1813">
        <v>2</v>
      </c>
      <c r="S1813">
        <v>0</v>
      </c>
      <c r="T1813">
        <v>1</v>
      </c>
      <c r="U1813">
        <v>0</v>
      </c>
      <c r="V1813">
        <v>0</v>
      </c>
      <c r="W1813" t="s">
        <v>45</v>
      </c>
      <c r="X1813">
        <v>-29</v>
      </c>
      <c r="Y1813">
        <v>0</v>
      </c>
      <c r="Z1813">
        <f t="shared" si="168"/>
        <v>64</v>
      </c>
      <c r="AA1813">
        <f t="shared" si="169"/>
        <v>0.71212121212121215</v>
      </c>
      <c r="AB1813">
        <f t="shared" si="170"/>
        <v>44</v>
      </c>
      <c r="AC1813" t="str">
        <f t="shared" si="171"/>
        <v>Medium</v>
      </c>
      <c r="AD1813" t="str">
        <f t="shared" si="172"/>
        <v>Nudge core feature adoption</v>
      </c>
      <c r="AE1813">
        <f t="shared" si="173"/>
        <v>36</v>
      </c>
    </row>
    <row r="1814" spans="1:31" x14ac:dyDescent="0.35">
      <c r="A1814" t="s">
        <v>1872</v>
      </c>
      <c r="B1814" s="4">
        <v>45441</v>
      </c>
      <c r="C1814" s="4">
        <v>46143</v>
      </c>
      <c r="D1814" t="s">
        <v>66</v>
      </c>
      <c r="E1814">
        <v>70</v>
      </c>
      <c r="F1814" t="s">
        <v>43</v>
      </c>
      <c r="G1814" t="s">
        <v>48</v>
      </c>
      <c r="H1814" t="s">
        <v>58</v>
      </c>
      <c r="I1814" t="s">
        <v>49</v>
      </c>
      <c r="J1814">
        <v>23</v>
      </c>
      <c r="K1814" s="5">
        <v>50.28</v>
      </c>
      <c r="L1814" s="5">
        <v>30.52</v>
      </c>
      <c r="M1814">
        <v>17</v>
      </c>
      <c r="N1814">
        <v>10</v>
      </c>
      <c r="O1814">
        <v>1</v>
      </c>
      <c r="P1814">
        <v>1</v>
      </c>
      <c r="Q1814">
        <v>16</v>
      </c>
      <c r="R1814">
        <v>0</v>
      </c>
      <c r="S1814">
        <v>0</v>
      </c>
      <c r="T1814">
        <v>1</v>
      </c>
      <c r="U1814">
        <v>0</v>
      </c>
      <c r="V1814">
        <v>1</v>
      </c>
      <c r="W1814" t="s">
        <v>50</v>
      </c>
      <c r="X1814">
        <v>40</v>
      </c>
      <c r="Y1814">
        <v>1</v>
      </c>
      <c r="Z1814">
        <f t="shared" si="168"/>
        <v>50</v>
      </c>
      <c r="AA1814">
        <f t="shared" si="169"/>
        <v>0.62264150943396224</v>
      </c>
      <c r="AB1814">
        <f t="shared" si="170"/>
        <v>24</v>
      </c>
      <c r="AC1814" t="str">
        <f t="shared" si="171"/>
        <v>Low</v>
      </c>
      <c r="AD1814" t="str">
        <f t="shared" si="172"/>
        <v>Upsell premium bundle</v>
      </c>
      <c r="AE1814">
        <f t="shared" si="173"/>
        <v>50</v>
      </c>
    </row>
    <row r="1815" spans="1:31" x14ac:dyDescent="0.35">
      <c r="A1815" t="s">
        <v>1873</v>
      </c>
      <c r="B1815" s="4">
        <v>44816</v>
      </c>
      <c r="C1815" s="4">
        <v>46143</v>
      </c>
      <c r="D1815" t="s">
        <v>39</v>
      </c>
      <c r="E1815">
        <v>24</v>
      </c>
      <c r="F1815" t="s">
        <v>33</v>
      </c>
      <c r="G1815" t="s">
        <v>85</v>
      </c>
      <c r="H1815" t="s">
        <v>58</v>
      </c>
      <c r="I1815" t="s">
        <v>36</v>
      </c>
      <c r="J1815">
        <v>44</v>
      </c>
      <c r="K1815" s="5">
        <v>340.33</v>
      </c>
      <c r="L1815" s="5">
        <v>221.34</v>
      </c>
      <c r="M1815">
        <v>18</v>
      </c>
      <c r="N1815">
        <v>5</v>
      </c>
      <c r="O1815">
        <v>5</v>
      </c>
      <c r="P1815">
        <v>0</v>
      </c>
      <c r="Q1815">
        <v>17</v>
      </c>
      <c r="R1815">
        <v>0</v>
      </c>
      <c r="S1815">
        <v>0</v>
      </c>
      <c r="T1815">
        <v>0</v>
      </c>
      <c r="U1815">
        <v>0</v>
      </c>
      <c r="V1815">
        <v>1</v>
      </c>
      <c r="W1815" t="s">
        <v>52</v>
      </c>
      <c r="X1815">
        <v>18</v>
      </c>
      <c r="Y1815">
        <v>0</v>
      </c>
      <c r="Z1815">
        <f t="shared" si="168"/>
        <v>52</v>
      </c>
      <c r="AA1815">
        <f t="shared" si="169"/>
        <v>0.47297297297297297</v>
      </c>
      <c r="AB1815">
        <f t="shared" si="170"/>
        <v>18</v>
      </c>
      <c r="AC1815" t="str">
        <f t="shared" si="171"/>
        <v>Low</v>
      </c>
      <c r="AD1815" t="str">
        <f t="shared" si="172"/>
        <v>Upsell premium bundle</v>
      </c>
      <c r="AE1815">
        <f t="shared" si="173"/>
        <v>48</v>
      </c>
    </row>
    <row r="1816" spans="1:31" x14ac:dyDescent="0.35">
      <c r="A1816" t="s">
        <v>1874</v>
      </c>
      <c r="B1816" s="4">
        <v>44839</v>
      </c>
      <c r="C1816" s="4">
        <v>46143</v>
      </c>
      <c r="D1816" t="s">
        <v>72</v>
      </c>
      <c r="E1816">
        <v>36</v>
      </c>
      <c r="F1816" t="s">
        <v>33</v>
      </c>
      <c r="G1816" t="s">
        <v>67</v>
      </c>
      <c r="H1816" t="s">
        <v>41</v>
      </c>
      <c r="I1816" t="s">
        <v>36</v>
      </c>
      <c r="J1816">
        <v>43</v>
      </c>
      <c r="K1816" s="5">
        <v>385.46</v>
      </c>
      <c r="L1816" s="5">
        <v>158.12</v>
      </c>
      <c r="M1816">
        <v>13</v>
      </c>
      <c r="N1816">
        <v>3</v>
      </c>
      <c r="O1816">
        <v>3</v>
      </c>
      <c r="P1816">
        <v>2</v>
      </c>
      <c r="Q1816">
        <v>20</v>
      </c>
      <c r="R1816">
        <v>0</v>
      </c>
      <c r="S1816">
        <v>0</v>
      </c>
      <c r="T1816">
        <v>1</v>
      </c>
      <c r="U1816">
        <v>0</v>
      </c>
      <c r="V1816">
        <v>0</v>
      </c>
      <c r="W1816" t="s">
        <v>45</v>
      </c>
      <c r="X1816">
        <v>59</v>
      </c>
      <c r="Y1816">
        <v>0</v>
      </c>
      <c r="Z1816">
        <f t="shared" si="168"/>
        <v>41</v>
      </c>
      <c r="AA1816">
        <f t="shared" si="169"/>
        <v>0.45205479452054792</v>
      </c>
      <c r="AB1816">
        <f t="shared" si="170"/>
        <v>12</v>
      </c>
      <c r="AC1816" t="str">
        <f t="shared" si="171"/>
        <v>Low</v>
      </c>
      <c r="AD1816" t="str">
        <f t="shared" si="172"/>
        <v>Upsell premium bundle</v>
      </c>
      <c r="AE1816">
        <f t="shared" si="173"/>
        <v>59</v>
      </c>
    </row>
    <row r="1817" spans="1:31" x14ac:dyDescent="0.35">
      <c r="A1817" t="s">
        <v>1875</v>
      </c>
      <c r="B1817" s="4">
        <v>44796</v>
      </c>
      <c r="C1817" s="4">
        <v>46143</v>
      </c>
      <c r="D1817" t="s">
        <v>32</v>
      </c>
      <c r="E1817">
        <v>35</v>
      </c>
      <c r="F1817" t="s">
        <v>57</v>
      </c>
      <c r="G1817" t="s">
        <v>40</v>
      </c>
      <c r="H1817" t="s">
        <v>41</v>
      </c>
      <c r="I1817" t="s">
        <v>49</v>
      </c>
      <c r="J1817">
        <v>44</v>
      </c>
      <c r="K1817" s="5">
        <v>1808.92</v>
      </c>
      <c r="L1817" s="5">
        <v>331</v>
      </c>
      <c r="M1817">
        <v>36</v>
      </c>
      <c r="N1817">
        <v>11</v>
      </c>
      <c r="O1817">
        <v>7</v>
      </c>
      <c r="P1817">
        <v>6</v>
      </c>
      <c r="Q1817">
        <v>25</v>
      </c>
      <c r="R1817">
        <v>1</v>
      </c>
      <c r="S1817">
        <v>0</v>
      </c>
      <c r="T1817">
        <v>1</v>
      </c>
      <c r="U1817">
        <v>0</v>
      </c>
      <c r="V1817">
        <v>0</v>
      </c>
      <c r="W1817" t="s">
        <v>55</v>
      </c>
      <c r="X1817">
        <v>47</v>
      </c>
      <c r="Y1817">
        <v>0</v>
      </c>
      <c r="Z1817">
        <f t="shared" si="168"/>
        <v>87</v>
      </c>
      <c r="AA1817">
        <f t="shared" si="169"/>
        <v>0.82432432432432434</v>
      </c>
      <c r="AB1817">
        <f t="shared" si="170"/>
        <v>14</v>
      </c>
      <c r="AC1817" t="str">
        <f t="shared" si="171"/>
        <v>Low</v>
      </c>
      <c r="AD1817" t="str">
        <f t="shared" si="172"/>
        <v>Upsell premium bundle</v>
      </c>
      <c r="AE1817">
        <f t="shared" si="173"/>
        <v>13</v>
      </c>
    </row>
    <row r="1818" spans="1:31" x14ac:dyDescent="0.35">
      <c r="A1818" t="s">
        <v>1876</v>
      </c>
      <c r="B1818" s="4">
        <v>44934</v>
      </c>
      <c r="C1818" s="4">
        <v>46143</v>
      </c>
      <c r="D1818" t="s">
        <v>72</v>
      </c>
      <c r="E1818">
        <v>38</v>
      </c>
      <c r="F1818" t="s">
        <v>33</v>
      </c>
      <c r="G1818" t="s">
        <v>63</v>
      </c>
      <c r="H1818" t="s">
        <v>41</v>
      </c>
      <c r="I1818" t="s">
        <v>36</v>
      </c>
      <c r="J1818">
        <v>40</v>
      </c>
      <c r="K1818" s="5">
        <v>420.75</v>
      </c>
      <c r="L1818" s="5">
        <v>293.26</v>
      </c>
      <c r="M1818">
        <v>22</v>
      </c>
      <c r="N1818">
        <v>11</v>
      </c>
      <c r="O1818">
        <v>3</v>
      </c>
      <c r="P1818">
        <v>1</v>
      </c>
      <c r="Q1818">
        <v>21</v>
      </c>
      <c r="R1818">
        <v>0</v>
      </c>
      <c r="S1818">
        <v>2</v>
      </c>
      <c r="T1818">
        <v>1</v>
      </c>
      <c r="U1818">
        <v>1</v>
      </c>
      <c r="V1818">
        <v>0</v>
      </c>
      <c r="W1818" t="s">
        <v>50</v>
      </c>
      <c r="X1818">
        <v>23</v>
      </c>
      <c r="Y1818">
        <v>0</v>
      </c>
      <c r="Z1818">
        <f t="shared" si="168"/>
        <v>64</v>
      </c>
      <c r="AA1818">
        <f t="shared" si="169"/>
        <v>0.61428571428571432</v>
      </c>
      <c r="AB1818">
        <f t="shared" si="170"/>
        <v>37</v>
      </c>
      <c r="AC1818" t="str">
        <f t="shared" si="171"/>
        <v>Low</v>
      </c>
      <c r="AD1818" t="str">
        <f t="shared" si="172"/>
        <v>Upsell premium bundle</v>
      </c>
      <c r="AE1818">
        <f t="shared" si="173"/>
        <v>36</v>
      </c>
    </row>
    <row r="1819" spans="1:31" x14ac:dyDescent="0.35">
      <c r="A1819" t="s">
        <v>1877</v>
      </c>
      <c r="B1819" s="4">
        <v>44941</v>
      </c>
      <c r="C1819" s="4">
        <v>46143</v>
      </c>
      <c r="D1819" t="s">
        <v>47</v>
      </c>
      <c r="E1819">
        <v>38</v>
      </c>
      <c r="F1819" t="s">
        <v>43</v>
      </c>
      <c r="G1819" t="s">
        <v>34</v>
      </c>
      <c r="H1819" t="s">
        <v>41</v>
      </c>
      <c r="I1819" t="s">
        <v>36</v>
      </c>
      <c r="J1819">
        <v>40</v>
      </c>
      <c r="K1819" s="5">
        <v>62.59</v>
      </c>
      <c r="L1819" s="5">
        <v>23.3</v>
      </c>
      <c r="M1819">
        <v>9</v>
      </c>
      <c r="N1819">
        <v>3</v>
      </c>
      <c r="O1819">
        <v>2</v>
      </c>
      <c r="P1819">
        <v>0</v>
      </c>
      <c r="Q1819">
        <v>2</v>
      </c>
      <c r="R1819">
        <v>3</v>
      </c>
      <c r="S1819">
        <v>0</v>
      </c>
      <c r="T1819">
        <v>1</v>
      </c>
      <c r="U1819">
        <v>0</v>
      </c>
      <c r="V1819">
        <v>0</v>
      </c>
      <c r="W1819" t="s">
        <v>55</v>
      </c>
      <c r="X1819">
        <v>19</v>
      </c>
      <c r="Y1819">
        <v>1</v>
      </c>
      <c r="Z1819">
        <f t="shared" si="168"/>
        <v>16</v>
      </c>
      <c r="AA1819">
        <f t="shared" si="169"/>
        <v>0.15714285714285714</v>
      </c>
      <c r="AB1819">
        <f t="shared" si="170"/>
        <v>38</v>
      </c>
      <c r="AC1819" t="str">
        <f t="shared" si="171"/>
        <v>Low</v>
      </c>
      <c r="AD1819" t="str">
        <f t="shared" si="172"/>
        <v>Upsell premium bundle</v>
      </c>
      <c r="AE1819">
        <f t="shared" si="173"/>
        <v>84</v>
      </c>
    </row>
    <row r="1820" spans="1:31" x14ac:dyDescent="0.35">
      <c r="A1820" t="s">
        <v>1878</v>
      </c>
      <c r="B1820" s="4">
        <v>45988</v>
      </c>
      <c r="C1820" s="4">
        <v>46143</v>
      </c>
      <c r="D1820" t="s">
        <v>47</v>
      </c>
      <c r="E1820">
        <v>61</v>
      </c>
      <c r="F1820" t="s">
        <v>43</v>
      </c>
      <c r="G1820" t="s">
        <v>63</v>
      </c>
      <c r="H1820" t="s">
        <v>58</v>
      </c>
      <c r="I1820" t="s">
        <v>36</v>
      </c>
      <c r="J1820">
        <v>5</v>
      </c>
      <c r="K1820" s="5">
        <v>36.75</v>
      </c>
      <c r="L1820" s="5">
        <v>18.39</v>
      </c>
      <c r="M1820">
        <v>8</v>
      </c>
      <c r="N1820">
        <v>5</v>
      </c>
      <c r="O1820">
        <v>1</v>
      </c>
      <c r="P1820">
        <v>0</v>
      </c>
      <c r="Q1820">
        <v>5</v>
      </c>
      <c r="R1820">
        <v>4</v>
      </c>
      <c r="S1820">
        <v>2</v>
      </c>
      <c r="T1820">
        <v>0</v>
      </c>
      <c r="U1820">
        <v>0</v>
      </c>
      <c r="V1820">
        <v>1</v>
      </c>
      <c r="W1820" t="s">
        <v>37</v>
      </c>
      <c r="X1820">
        <v>-42</v>
      </c>
      <c r="Y1820">
        <v>1</v>
      </c>
      <c r="Z1820">
        <f t="shared" si="168"/>
        <v>25</v>
      </c>
      <c r="AA1820">
        <f t="shared" si="169"/>
        <v>0.37142857142857144</v>
      </c>
      <c r="AB1820">
        <f t="shared" si="170"/>
        <v>69</v>
      </c>
      <c r="AC1820" t="str">
        <f t="shared" si="171"/>
        <v>Medium</v>
      </c>
      <c r="AD1820" t="str">
        <f t="shared" si="172"/>
        <v>Nudge core feature adoption</v>
      </c>
      <c r="AE1820">
        <f t="shared" si="173"/>
        <v>75</v>
      </c>
    </row>
    <row r="1821" spans="1:31" x14ac:dyDescent="0.35">
      <c r="A1821" t="s">
        <v>1879</v>
      </c>
      <c r="B1821" s="4">
        <v>45309</v>
      </c>
      <c r="C1821" s="4">
        <v>46143</v>
      </c>
      <c r="D1821" t="s">
        <v>66</v>
      </c>
      <c r="E1821">
        <v>32</v>
      </c>
      <c r="F1821" t="s">
        <v>61</v>
      </c>
      <c r="G1821" t="s">
        <v>48</v>
      </c>
      <c r="H1821" t="s">
        <v>41</v>
      </c>
      <c r="I1821" t="s">
        <v>36</v>
      </c>
      <c r="J1821">
        <v>27</v>
      </c>
      <c r="K1821" s="5">
        <v>141.66999999999999</v>
      </c>
      <c r="L1821" s="5">
        <v>70.489999999999995</v>
      </c>
      <c r="M1821">
        <v>20</v>
      </c>
      <c r="N1821">
        <v>7</v>
      </c>
      <c r="O1821">
        <v>2</v>
      </c>
      <c r="P1821">
        <v>4</v>
      </c>
      <c r="Q1821">
        <v>23</v>
      </c>
      <c r="R1821">
        <v>0</v>
      </c>
      <c r="S1821">
        <v>2</v>
      </c>
      <c r="T1821">
        <v>0</v>
      </c>
      <c r="U1821">
        <v>0</v>
      </c>
      <c r="V1821">
        <v>0</v>
      </c>
      <c r="W1821" t="s">
        <v>52</v>
      </c>
      <c r="X1821">
        <v>41</v>
      </c>
      <c r="Y1821">
        <v>1</v>
      </c>
      <c r="Z1821">
        <f t="shared" si="168"/>
        <v>56</v>
      </c>
      <c r="AA1821">
        <f t="shared" si="169"/>
        <v>0.75438596491228072</v>
      </c>
      <c r="AB1821">
        <f t="shared" si="170"/>
        <v>31</v>
      </c>
      <c r="AC1821" t="str">
        <f t="shared" si="171"/>
        <v>Low</v>
      </c>
      <c r="AD1821" t="str">
        <f t="shared" si="172"/>
        <v>Upsell premium bundle</v>
      </c>
      <c r="AE1821">
        <f t="shared" si="173"/>
        <v>44</v>
      </c>
    </row>
    <row r="1822" spans="1:31" x14ac:dyDescent="0.35">
      <c r="A1822" t="s">
        <v>1880</v>
      </c>
      <c r="B1822" s="4">
        <v>45476</v>
      </c>
      <c r="C1822" s="4">
        <v>46143</v>
      </c>
      <c r="D1822" t="s">
        <v>47</v>
      </c>
      <c r="E1822">
        <v>66</v>
      </c>
      <c r="F1822" t="s">
        <v>33</v>
      </c>
      <c r="G1822" t="s">
        <v>34</v>
      </c>
      <c r="H1822" t="s">
        <v>58</v>
      </c>
      <c r="I1822" t="s">
        <v>36</v>
      </c>
      <c r="J1822">
        <v>22</v>
      </c>
      <c r="K1822" s="5">
        <v>349.74</v>
      </c>
      <c r="L1822" s="5">
        <v>424.01</v>
      </c>
      <c r="M1822">
        <v>52</v>
      </c>
      <c r="N1822">
        <v>26</v>
      </c>
      <c r="O1822">
        <v>6</v>
      </c>
      <c r="P1822">
        <v>6</v>
      </c>
      <c r="Q1822">
        <v>35</v>
      </c>
      <c r="R1822">
        <v>0</v>
      </c>
      <c r="S1822">
        <v>0</v>
      </c>
      <c r="T1822">
        <v>1</v>
      </c>
      <c r="U1822">
        <v>1</v>
      </c>
      <c r="V1822">
        <v>1</v>
      </c>
      <c r="W1822" t="s">
        <v>50</v>
      </c>
      <c r="X1822">
        <v>41</v>
      </c>
      <c r="Y1822">
        <v>0</v>
      </c>
      <c r="Z1822">
        <f t="shared" si="168"/>
        <v>100</v>
      </c>
      <c r="AA1822">
        <f t="shared" si="169"/>
        <v>1.6730769230769231</v>
      </c>
      <c r="AB1822">
        <f t="shared" si="170"/>
        <v>0</v>
      </c>
      <c r="AC1822" t="str">
        <f t="shared" si="171"/>
        <v>Low</v>
      </c>
      <c r="AD1822" t="str">
        <f t="shared" si="172"/>
        <v>Upsell premium bundle</v>
      </c>
      <c r="AE1822">
        <f t="shared" si="173"/>
        <v>0</v>
      </c>
    </row>
    <row r="1823" spans="1:31" x14ac:dyDescent="0.35">
      <c r="A1823" t="s">
        <v>1881</v>
      </c>
      <c r="B1823" s="4">
        <v>45624</v>
      </c>
      <c r="C1823" s="4">
        <v>46143</v>
      </c>
      <c r="D1823" t="s">
        <v>66</v>
      </c>
      <c r="E1823">
        <v>44</v>
      </c>
      <c r="F1823" t="s">
        <v>61</v>
      </c>
      <c r="G1823" t="s">
        <v>40</v>
      </c>
      <c r="H1823" t="s">
        <v>44</v>
      </c>
      <c r="I1823" t="s">
        <v>36</v>
      </c>
      <c r="J1823">
        <v>17</v>
      </c>
      <c r="K1823" s="5">
        <v>2044.79</v>
      </c>
      <c r="L1823" s="5">
        <v>4228.5</v>
      </c>
      <c r="M1823">
        <v>46</v>
      </c>
      <c r="N1823">
        <v>17</v>
      </c>
      <c r="O1823">
        <v>7</v>
      </c>
      <c r="P1823">
        <v>1</v>
      </c>
      <c r="Q1823">
        <v>30</v>
      </c>
      <c r="R1823">
        <v>0</v>
      </c>
      <c r="S1823">
        <v>1</v>
      </c>
      <c r="T1823">
        <v>1</v>
      </c>
      <c r="U1823">
        <v>1</v>
      </c>
      <c r="V1823">
        <v>0</v>
      </c>
      <c r="W1823" t="s">
        <v>37</v>
      </c>
      <c r="X1823">
        <v>11</v>
      </c>
      <c r="Y1823">
        <v>0</v>
      </c>
      <c r="Z1823">
        <f t="shared" si="168"/>
        <v>100</v>
      </c>
      <c r="AA1823">
        <f t="shared" si="169"/>
        <v>1.6170212765957446</v>
      </c>
      <c r="AB1823">
        <f t="shared" si="170"/>
        <v>1</v>
      </c>
      <c r="AC1823" t="str">
        <f t="shared" si="171"/>
        <v>Low</v>
      </c>
      <c r="AD1823" t="str">
        <f t="shared" si="172"/>
        <v>Upsell premium bundle</v>
      </c>
      <c r="AE1823">
        <f t="shared" si="173"/>
        <v>0</v>
      </c>
    </row>
    <row r="1824" spans="1:31" x14ac:dyDescent="0.35">
      <c r="A1824" t="s">
        <v>1882</v>
      </c>
      <c r="B1824" s="4">
        <v>44806</v>
      </c>
      <c r="C1824" s="4">
        <v>46143</v>
      </c>
      <c r="D1824" t="s">
        <v>60</v>
      </c>
      <c r="E1824">
        <v>61</v>
      </c>
      <c r="F1824" t="s">
        <v>43</v>
      </c>
      <c r="G1824" t="s">
        <v>40</v>
      </c>
      <c r="H1824" t="s">
        <v>58</v>
      </c>
      <c r="I1824" t="s">
        <v>49</v>
      </c>
      <c r="J1824">
        <v>44</v>
      </c>
      <c r="K1824" s="5">
        <v>0</v>
      </c>
      <c r="L1824" s="5">
        <v>28.85</v>
      </c>
      <c r="M1824">
        <v>41</v>
      </c>
      <c r="N1824">
        <v>14</v>
      </c>
      <c r="O1824">
        <v>11</v>
      </c>
      <c r="P1824">
        <v>0</v>
      </c>
      <c r="Q1824">
        <v>39</v>
      </c>
      <c r="R1824">
        <v>0</v>
      </c>
      <c r="S1824">
        <v>0</v>
      </c>
      <c r="T1824">
        <v>1</v>
      </c>
      <c r="U1824">
        <v>1</v>
      </c>
      <c r="V1824">
        <v>0</v>
      </c>
      <c r="W1824" t="s">
        <v>52</v>
      </c>
      <c r="X1824">
        <v>14</v>
      </c>
      <c r="Y1824">
        <v>0</v>
      </c>
      <c r="Z1824">
        <f t="shared" si="168"/>
        <v>100</v>
      </c>
      <c r="AA1824">
        <f t="shared" si="169"/>
        <v>1.0810810810810811</v>
      </c>
      <c r="AB1824">
        <f t="shared" si="170"/>
        <v>17</v>
      </c>
      <c r="AC1824" t="str">
        <f t="shared" si="171"/>
        <v>Low</v>
      </c>
      <c r="AD1824" t="str">
        <f t="shared" si="172"/>
        <v>Upsell premium bundle</v>
      </c>
      <c r="AE1824">
        <f t="shared" si="173"/>
        <v>0</v>
      </c>
    </row>
    <row r="1825" spans="1:31" x14ac:dyDescent="0.35">
      <c r="A1825" t="s">
        <v>1883</v>
      </c>
      <c r="B1825" s="4">
        <v>45327</v>
      </c>
      <c r="C1825" s="4">
        <v>46143</v>
      </c>
      <c r="D1825" t="s">
        <v>72</v>
      </c>
      <c r="E1825">
        <v>30</v>
      </c>
      <c r="F1825" t="s">
        <v>43</v>
      </c>
      <c r="G1825" t="s">
        <v>85</v>
      </c>
      <c r="H1825" t="s">
        <v>44</v>
      </c>
      <c r="I1825" t="s">
        <v>36</v>
      </c>
      <c r="J1825">
        <v>27</v>
      </c>
      <c r="K1825" s="5">
        <v>110.3</v>
      </c>
      <c r="L1825" s="5">
        <v>85.91</v>
      </c>
      <c r="M1825">
        <v>24</v>
      </c>
      <c r="N1825">
        <v>7</v>
      </c>
      <c r="O1825">
        <v>7</v>
      </c>
      <c r="P1825">
        <v>3</v>
      </c>
      <c r="Q1825">
        <v>9</v>
      </c>
      <c r="R1825">
        <v>1</v>
      </c>
      <c r="S1825">
        <v>2</v>
      </c>
      <c r="T1825">
        <v>1</v>
      </c>
      <c r="U1825">
        <v>1</v>
      </c>
      <c r="V1825">
        <v>1</v>
      </c>
      <c r="W1825" t="s">
        <v>52</v>
      </c>
      <c r="X1825">
        <v>-33</v>
      </c>
      <c r="Y1825">
        <v>0</v>
      </c>
      <c r="Z1825">
        <f t="shared" si="168"/>
        <v>67</v>
      </c>
      <c r="AA1825">
        <f t="shared" si="169"/>
        <v>0.57894736842105265</v>
      </c>
      <c r="AB1825">
        <f t="shared" si="170"/>
        <v>52</v>
      </c>
      <c r="AC1825" t="str">
        <f t="shared" si="171"/>
        <v>Medium</v>
      </c>
      <c r="AD1825" t="str">
        <f t="shared" si="172"/>
        <v>Nudge core feature adoption</v>
      </c>
      <c r="AE1825">
        <f t="shared" si="173"/>
        <v>33</v>
      </c>
    </row>
    <row r="1826" spans="1:31" x14ac:dyDescent="0.35">
      <c r="A1826" t="s">
        <v>1884</v>
      </c>
      <c r="B1826" s="4">
        <v>45449</v>
      </c>
      <c r="C1826" s="4">
        <v>46143</v>
      </c>
      <c r="D1826" t="s">
        <v>32</v>
      </c>
      <c r="E1826">
        <v>68</v>
      </c>
      <c r="F1826" t="s">
        <v>61</v>
      </c>
      <c r="G1826" t="s">
        <v>63</v>
      </c>
      <c r="H1826" t="s">
        <v>41</v>
      </c>
      <c r="I1826" t="s">
        <v>36</v>
      </c>
      <c r="J1826">
        <v>23</v>
      </c>
      <c r="K1826" s="5">
        <v>1510.77</v>
      </c>
      <c r="L1826" s="5">
        <v>1692.35</v>
      </c>
      <c r="M1826">
        <v>30</v>
      </c>
      <c r="N1826">
        <v>19</v>
      </c>
      <c r="O1826">
        <v>3</v>
      </c>
      <c r="P1826">
        <v>0</v>
      </c>
      <c r="Q1826">
        <v>17</v>
      </c>
      <c r="R1826">
        <v>2</v>
      </c>
      <c r="S1826">
        <v>0</v>
      </c>
      <c r="T1826">
        <v>0</v>
      </c>
      <c r="U1826">
        <v>0</v>
      </c>
      <c r="V1826">
        <v>0</v>
      </c>
      <c r="W1826" t="s">
        <v>52</v>
      </c>
      <c r="X1826">
        <v>-22</v>
      </c>
      <c r="Y1826">
        <v>1</v>
      </c>
      <c r="Z1826">
        <f t="shared" si="168"/>
        <v>65</v>
      </c>
      <c r="AA1826">
        <f t="shared" si="169"/>
        <v>0.8867924528301887</v>
      </c>
      <c r="AB1826">
        <f t="shared" si="170"/>
        <v>30</v>
      </c>
      <c r="AC1826" t="str">
        <f t="shared" si="171"/>
        <v>Low</v>
      </c>
      <c r="AD1826" t="str">
        <f t="shared" si="172"/>
        <v>Upsell premium bundle</v>
      </c>
      <c r="AE1826">
        <f t="shared" si="173"/>
        <v>35</v>
      </c>
    </row>
    <row r="1827" spans="1:31" x14ac:dyDescent="0.35">
      <c r="A1827" t="s">
        <v>1885</v>
      </c>
      <c r="B1827" s="4">
        <v>45946</v>
      </c>
      <c r="C1827" s="4">
        <v>46143</v>
      </c>
      <c r="D1827" t="s">
        <v>60</v>
      </c>
      <c r="E1827">
        <v>32</v>
      </c>
      <c r="F1827" t="s">
        <v>33</v>
      </c>
      <c r="G1827" t="s">
        <v>40</v>
      </c>
      <c r="H1827" t="s">
        <v>41</v>
      </c>
      <c r="I1827" t="s">
        <v>36</v>
      </c>
      <c r="J1827">
        <v>6</v>
      </c>
      <c r="K1827" s="5">
        <v>276.08</v>
      </c>
      <c r="L1827" s="5">
        <v>163.85</v>
      </c>
      <c r="M1827">
        <v>20</v>
      </c>
      <c r="N1827">
        <v>8</v>
      </c>
      <c r="O1827">
        <v>1</v>
      </c>
      <c r="P1827">
        <v>0</v>
      </c>
      <c r="Q1827">
        <v>14</v>
      </c>
      <c r="R1827">
        <v>0</v>
      </c>
      <c r="S1827">
        <v>0</v>
      </c>
      <c r="T1827">
        <v>1</v>
      </c>
      <c r="U1827">
        <v>1</v>
      </c>
      <c r="V1827">
        <v>1</v>
      </c>
      <c r="W1827" t="s">
        <v>50</v>
      </c>
      <c r="X1827">
        <v>1</v>
      </c>
      <c r="Y1827">
        <v>0</v>
      </c>
      <c r="Z1827">
        <f t="shared" si="168"/>
        <v>56</v>
      </c>
      <c r="AA1827">
        <f t="shared" si="169"/>
        <v>0.94444444444444442</v>
      </c>
      <c r="AB1827">
        <f t="shared" si="170"/>
        <v>35</v>
      </c>
      <c r="AC1827" t="str">
        <f t="shared" si="171"/>
        <v>Low</v>
      </c>
      <c r="AD1827" t="str">
        <f t="shared" si="172"/>
        <v>Upsell premium bundle</v>
      </c>
      <c r="AE1827">
        <f t="shared" si="173"/>
        <v>44</v>
      </c>
    </row>
    <row r="1828" spans="1:31" x14ac:dyDescent="0.35">
      <c r="A1828" t="s">
        <v>1886</v>
      </c>
      <c r="B1828" s="4">
        <v>46042</v>
      </c>
      <c r="C1828" s="4">
        <v>46143</v>
      </c>
      <c r="D1828" t="s">
        <v>39</v>
      </c>
      <c r="E1828">
        <v>48</v>
      </c>
      <c r="F1828" t="s">
        <v>61</v>
      </c>
      <c r="G1828" t="s">
        <v>48</v>
      </c>
      <c r="H1828" t="s">
        <v>58</v>
      </c>
      <c r="I1828" t="s">
        <v>54</v>
      </c>
      <c r="J1828">
        <v>3</v>
      </c>
      <c r="K1828" s="5">
        <v>1064.3599999999999</v>
      </c>
      <c r="L1828" s="5">
        <v>3266.37</v>
      </c>
      <c r="M1828">
        <v>18</v>
      </c>
      <c r="N1828">
        <v>4</v>
      </c>
      <c r="O1828">
        <v>0</v>
      </c>
      <c r="P1828">
        <v>1</v>
      </c>
      <c r="Q1828">
        <v>14</v>
      </c>
      <c r="R1828">
        <v>6</v>
      </c>
      <c r="S1828">
        <v>1</v>
      </c>
      <c r="T1828">
        <v>0</v>
      </c>
      <c r="U1828">
        <v>1</v>
      </c>
      <c r="V1828">
        <v>0</v>
      </c>
      <c r="W1828" t="s">
        <v>37</v>
      </c>
      <c r="X1828">
        <v>28</v>
      </c>
      <c r="Y1828">
        <v>0</v>
      </c>
      <c r="Z1828">
        <f t="shared" si="168"/>
        <v>45</v>
      </c>
      <c r="AA1828">
        <f t="shared" si="169"/>
        <v>0.96969696969696972</v>
      </c>
      <c r="AB1828">
        <f t="shared" si="170"/>
        <v>21</v>
      </c>
      <c r="AC1828" t="str">
        <f t="shared" si="171"/>
        <v>Low</v>
      </c>
      <c r="AD1828" t="str">
        <f t="shared" si="172"/>
        <v>Upsell premium bundle</v>
      </c>
      <c r="AE1828">
        <f t="shared" si="173"/>
        <v>55</v>
      </c>
    </row>
    <row r="1829" spans="1:31" x14ac:dyDescent="0.35">
      <c r="A1829" t="s">
        <v>1887</v>
      </c>
      <c r="B1829" s="4">
        <v>45453</v>
      </c>
      <c r="C1829" s="4">
        <v>46143</v>
      </c>
      <c r="D1829" t="s">
        <v>47</v>
      </c>
      <c r="E1829">
        <v>61</v>
      </c>
      <c r="F1829" t="s">
        <v>57</v>
      </c>
      <c r="G1829" t="s">
        <v>67</v>
      </c>
      <c r="H1829" t="s">
        <v>58</v>
      </c>
      <c r="I1829" t="s">
        <v>49</v>
      </c>
      <c r="J1829">
        <v>23</v>
      </c>
      <c r="K1829" s="5">
        <v>834.03</v>
      </c>
      <c r="L1829" s="5">
        <v>631.98</v>
      </c>
      <c r="M1829">
        <v>14</v>
      </c>
      <c r="N1829">
        <v>9</v>
      </c>
      <c r="O1829">
        <v>0</v>
      </c>
      <c r="P1829">
        <v>1</v>
      </c>
      <c r="Q1829">
        <v>16</v>
      </c>
      <c r="R1829">
        <v>2</v>
      </c>
      <c r="S1829">
        <v>1</v>
      </c>
      <c r="T1829">
        <v>0</v>
      </c>
      <c r="U1829">
        <v>0</v>
      </c>
      <c r="V1829">
        <v>0</v>
      </c>
      <c r="W1829" t="s">
        <v>45</v>
      </c>
      <c r="X1829">
        <v>62</v>
      </c>
      <c r="Y1829">
        <v>1</v>
      </c>
      <c r="Z1829">
        <f t="shared" si="168"/>
        <v>38</v>
      </c>
      <c r="AA1829">
        <f t="shared" si="169"/>
        <v>0.56603773584905659</v>
      </c>
      <c r="AB1829">
        <f t="shared" si="170"/>
        <v>23</v>
      </c>
      <c r="AC1829" t="str">
        <f t="shared" si="171"/>
        <v>Low</v>
      </c>
      <c r="AD1829" t="str">
        <f t="shared" si="172"/>
        <v>Upsell premium bundle</v>
      </c>
      <c r="AE1829">
        <f t="shared" si="173"/>
        <v>62</v>
      </c>
    </row>
    <row r="1830" spans="1:31" x14ac:dyDescent="0.35">
      <c r="A1830" t="s">
        <v>1888</v>
      </c>
      <c r="B1830" s="4">
        <v>46040</v>
      </c>
      <c r="C1830" s="4">
        <v>46143</v>
      </c>
      <c r="D1830" t="s">
        <v>47</v>
      </c>
      <c r="E1830">
        <v>38</v>
      </c>
      <c r="F1830" t="s">
        <v>33</v>
      </c>
      <c r="G1830" t="s">
        <v>67</v>
      </c>
      <c r="H1830" t="s">
        <v>41</v>
      </c>
      <c r="I1830" t="s">
        <v>49</v>
      </c>
      <c r="J1830">
        <v>3</v>
      </c>
      <c r="K1830" s="5">
        <v>535.23</v>
      </c>
      <c r="L1830" s="5">
        <v>292</v>
      </c>
      <c r="M1830">
        <v>10</v>
      </c>
      <c r="N1830">
        <v>4</v>
      </c>
      <c r="O1830">
        <v>0</v>
      </c>
      <c r="P1830">
        <v>0</v>
      </c>
      <c r="Q1830">
        <v>0</v>
      </c>
      <c r="R1830">
        <v>2</v>
      </c>
      <c r="S1830">
        <v>0</v>
      </c>
      <c r="T1830">
        <v>1</v>
      </c>
      <c r="U1830">
        <v>0</v>
      </c>
      <c r="V1830">
        <v>0</v>
      </c>
      <c r="W1830" t="s">
        <v>50</v>
      </c>
      <c r="X1830">
        <v>24</v>
      </c>
      <c r="Y1830">
        <v>1</v>
      </c>
      <c r="Z1830">
        <f t="shared" si="168"/>
        <v>14</v>
      </c>
      <c r="AA1830">
        <f t="shared" si="169"/>
        <v>0.30303030303030304</v>
      </c>
      <c r="AB1830">
        <f t="shared" si="170"/>
        <v>53</v>
      </c>
      <c r="AC1830" t="str">
        <f t="shared" si="171"/>
        <v>Medium</v>
      </c>
      <c r="AD1830" t="str">
        <f t="shared" si="172"/>
        <v>Nudge core feature adoption</v>
      </c>
      <c r="AE1830">
        <f t="shared" si="173"/>
        <v>86</v>
      </c>
    </row>
    <row r="1831" spans="1:31" x14ac:dyDescent="0.35">
      <c r="A1831" t="s">
        <v>1889</v>
      </c>
      <c r="B1831" s="4">
        <v>45068</v>
      </c>
      <c r="C1831" s="4">
        <v>46143</v>
      </c>
      <c r="D1831" t="s">
        <v>72</v>
      </c>
      <c r="E1831">
        <v>18</v>
      </c>
      <c r="F1831" t="s">
        <v>33</v>
      </c>
      <c r="G1831" t="s">
        <v>40</v>
      </c>
      <c r="H1831" t="s">
        <v>58</v>
      </c>
      <c r="I1831" t="s">
        <v>36</v>
      </c>
      <c r="J1831">
        <v>35</v>
      </c>
      <c r="K1831" s="5">
        <v>39.14</v>
      </c>
      <c r="L1831" s="5">
        <v>156.6</v>
      </c>
      <c r="M1831">
        <v>20</v>
      </c>
      <c r="N1831">
        <v>8</v>
      </c>
      <c r="O1831">
        <v>5</v>
      </c>
      <c r="P1831">
        <v>3</v>
      </c>
      <c r="Q1831">
        <v>20</v>
      </c>
      <c r="R1831">
        <v>2</v>
      </c>
      <c r="S1831">
        <v>2</v>
      </c>
      <c r="T1831">
        <v>1</v>
      </c>
      <c r="U1831">
        <v>1</v>
      </c>
      <c r="V1831">
        <v>1</v>
      </c>
      <c r="W1831" t="s">
        <v>52</v>
      </c>
      <c r="X1831">
        <v>4</v>
      </c>
      <c r="Y1831">
        <v>0</v>
      </c>
      <c r="Z1831">
        <f t="shared" si="168"/>
        <v>71</v>
      </c>
      <c r="AA1831">
        <f t="shared" si="169"/>
        <v>0.61538461538461542</v>
      </c>
      <c r="AB1831">
        <f t="shared" si="170"/>
        <v>31</v>
      </c>
      <c r="AC1831" t="str">
        <f t="shared" si="171"/>
        <v>Low</v>
      </c>
      <c r="AD1831" t="str">
        <f t="shared" si="172"/>
        <v>Upsell premium bundle</v>
      </c>
      <c r="AE1831">
        <f t="shared" si="173"/>
        <v>29</v>
      </c>
    </row>
    <row r="1832" spans="1:31" x14ac:dyDescent="0.35">
      <c r="A1832" t="s">
        <v>1890</v>
      </c>
      <c r="B1832" s="4">
        <v>44752</v>
      </c>
      <c r="C1832" s="4">
        <v>46143</v>
      </c>
      <c r="D1832" t="s">
        <v>72</v>
      </c>
      <c r="E1832">
        <v>32</v>
      </c>
      <c r="F1832" t="s">
        <v>43</v>
      </c>
      <c r="G1832" t="s">
        <v>48</v>
      </c>
      <c r="H1832" t="s">
        <v>58</v>
      </c>
      <c r="I1832" t="s">
        <v>36</v>
      </c>
      <c r="J1832">
        <v>46</v>
      </c>
      <c r="K1832" s="5">
        <v>67.37</v>
      </c>
      <c r="L1832" s="5">
        <v>41.13</v>
      </c>
      <c r="M1832">
        <v>36</v>
      </c>
      <c r="N1832">
        <v>11</v>
      </c>
      <c r="O1832">
        <v>10</v>
      </c>
      <c r="P1832">
        <v>0</v>
      </c>
      <c r="Q1832">
        <v>11</v>
      </c>
      <c r="R1832">
        <v>0</v>
      </c>
      <c r="S1832">
        <v>1</v>
      </c>
      <c r="T1832">
        <v>0</v>
      </c>
      <c r="U1832">
        <v>0</v>
      </c>
      <c r="V1832">
        <v>0</v>
      </c>
      <c r="W1832" t="s">
        <v>52</v>
      </c>
      <c r="X1832">
        <v>-21</v>
      </c>
      <c r="Y1832">
        <v>1</v>
      </c>
      <c r="Z1832">
        <f t="shared" si="168"/>
        <v>69</v>
      </c>
      <c r="AA1832">
        <f t="shared" si="169"/>
        <v>0.61842105263157898</v>
      </c>
      <c r="AB1832">
        <f t="shared" si="170"/>
        <v>39</v>
      </c>
      <c r="AC1832" t="str">
        <f t="shared" si="171"/>
        <v>Low</v>
      </c>
      <c r="AD1832" t="str">
        <f t="shared" si="172"/>
        <v>Upsell premium bundle</v>
      </c>
      <c r="AE1832">
        <f t="shared" si="173"/>
        <v>31</v>
      </c>
    </row>
    <row r="1833" spans="1:31" x14ac:dyDescent="0.35">
      <c r="A1833" t="s">
        <v>1891</v>
      </c>
      <c r="B1833" s="4">
        <v>46036</v>
      </c>
      <c r="C1833" s="4">
        <v>46143</v>
      </c>
      <c r="D1833" t="s">
        <v>39</v>
      </c>
      <c r="E1833">
        <v>22</v>
      </c>
      <c r="F1833" t="s">
        <v>33</v>
      </c>
      <c r="G1833" t="s">
        <v>48</v>
      </c>
      <c r="H1833" t="s">
        <v>41</v>
      </c>
      <c r="I1833" t="s">
        <v>36</v>
      </c>
      <c r="J1833">
        <v>3</v>
      </c>
      <c r="K1833" s="5">
        <v>336.45</v>
      </c>
      <c r="L1833" s="5">
        <v>238.24</v>
      </c>
      <c r="M1833">
        <v>33</v>
      </c>
      <c r="N1833">
        <v>12</v>
      </c>
      <c r="O1833">
        <v>7</v>
      </c>
      <c r="P1833">
        <v>1</v>
      </c>
      <c r="Q1833">
        <v>18</v>
      </c>
      <c r="R1833">
        <v>1</v>
      </c>
      <c r="S1833">
        <v>0</v>
      </c>
      <c r="T1833">
        <v>0</v>
      </c>
      <c r="U1833">
        <v>0</v>
      </c>
      <c r="V1833">
        <v>0</v>
      </c>
      <c r="W1833" t="s">
        <v>45</v>
      </c>
      <c r="X1833">
        <v>19</v>
      </c>
      <c r="Y1833">
        <v>0</v>
      </c>
      <c r="Z1833">
        <f t="shared" si="168"/>
        <v>71</v>
      </c>
      <c r="AA1833">
        <f t="shared" si="169"/>
        <v>1.5454545454545454</v>
      </c>
      <c r="AB1833">
        <f t="shared" si="170"/>
        <v>19</v>
      </c>
      <c r="AC1833" t="str">
        <f t="shared" si="171"/>
        <v>Low</v>
      </c>
      <c r="AD1833" t="str">
        <f t="shared" si="172"/>
        <v>Upsell premium bundle</v>
      </c>
      <c r="AE1833">
        <f t="shared" si="173"/>
        <v>29</v>
      </c>
    </row>
    <row r="1834" spans="1:31" x14ac:dyDescent="0.35">
      <c r="A1834" t="s">
        <v>1892</v>
      </c>
      <c r="B1834" s="4">
        <v>44936</v>
      </c>
      <c r="C1834" s="4">
        <v>46143</v>
      </c>
      <c r="D1834" t="s">
        <v>47</v>
      </c>
      <c r="E1834">
        <v>54</v>
      </c>
      <c r="F1834" t="s">
        <v>57</v>
      </c>
      <c r="G1834" t="s">
        <v>67</v>
      </c>
      <c r="H1834" t="s">
        <v>58</v>
      </c>
      <c r="I1834" t="s">
        <v>36</v>
      </c>
      <c r="J1834">
        <v>40</v>
      </c>
      <c r="K1834" s="5">
        <v>479.45</v>
      </c>
      <c r="L1834" s="5">
        <v>0</v>
      </c>
      <c r="M1834">
        <v>31</v>
      </c>
      <c r="N1834">
        <v>13</v>
      </c>
      <c r="O1834">
        <v>8</v>
      </c>
      <c r="P1834">
        <v>5</v>
      </c>
      <c r="Q1834">
        <v>39</v>
      </c>
      <c r="R1834">
        <v>0</v>
      </c>
      <c r="S1834">
        <v>1</v>
      </c>
      <c r="T1834">
        <v>1</v>
      </c>
      <c r="U1834">
        <v>1</v>
      </c>
      <c r="V1834">
        <v>0</v>
      </c>
      <c r="W1834" t="s">
        <v>37</v>
      </c>
      <c r="X1834">
        <v>62</v>
      </c>
      <c r="Y1834">
        <v>0</v>
      </c>
      <c r="Z1834">
        <f t="shared" si="168"/>
        <v>100</v>
      </c>
      <c r="AA1834">
        <f t="shared" si="169"/>
        <v>1</v>
      </c>
      <c r="AB1834">
        <f t="shared" si="170"/>
        <v>0</v>
      </c>
      <c r="AC1834" t="str">
        <f t="shared" si="171"/>
        <v>Low</v>
      </c>
      <c r="AD1834" t="str">
        <f t="shared" si="172"/>
        <v>Upsell premium bundle</v>
      </c>
      <c r="AE1834">
        <f t="shared" si="173"/>
        <v>0</v>
      </c>
    </row>
    <row r="1835" spans="1:31" x14ac:dyDescent="0.35">
      <c r="A1835" t="s">
        <v>1893</v>
      </c>
      <c r="B1835" s="4">
        <v>44711</v>
      </c>
      <c r="C1835" s="4">
        <v>46143</v>
      </c>
      <c r="D1835" t="s">
        <v>47</v>
      </c>
      <c r="E1835">
        <v>69</v>
      </c>
      <c r="F1835" t="s">
        <v>77</v>
      </c>
      <c r="G1835" t="s">
        <v>67</v>
      </c>
      <c r="H1835" t="s">
        <v>41</v>
      </c>
      <c r="I1835" t="s">
        <v>36</v>
      </c>
      <c r="J1835">
        <v>47</v>
      </c>
      <c r="K1835" s="5">
        <v>8459.65</v>
      </c>
      <c r="L1835" s="5">
        <v>10900.85</v>
      </c>
      <c r="M1835">
        <v>27</v>
      </c>
      <c r="N1835">
        <v>19</v>
      </c>
      <c r="O1835">
        <v>2</v>
      </c>
      <c r="P1835">
        <v>2</v>
      </c>
      <c r="Q1835">
        <v>20</v>
      </c>
      <c r="R1835">
        <v>2</v>
      </c>
      <c r="S1835">
        <v>0</v>
      </c>
      <c r="T1835">
        <v>1</v>
      </c>
      <c r="U1835">
        <v>1</v>
      </c>
      <c r="V1835">
        <v>0</v>
      </c>
      <c r="W1835" t="s">
        <v>55</v>
      </c>
      <c r="X1835">
        <v>46</v>
      </c>
      <c r="Y1835">
        <v>0</v>
      </c>
      <c r="Z1835">
        <f t="shared" si="168"/>
        <v>74</v>
      </c>
      <c r="AA1835">
        <f t="shared" si="169"/>
        <v>0.61038961038961037</v>
      </c>
      <c r="AB1835">
        <f t="shared" si="170"/>
        <v>0</v>
      </c>
      <c r="AC1835" t="str">
        <f t="shared" si="171"/>
        <v>Low</v>
      </c>
      <c r="AD1835" t="str">
        <f t="shared" si="172"/>
        <v>Upsell premium bundle</v>
      </c>
      <c r="AE1835">
        <f t="shared" si="173"/>
        <v>26</v>
      </c>
    </row>
    <row r="1836" spans="1:31" x14ac:dyDescent="0.35">
      <c r="A1836" t="s">
        <v>1894</v>
      </c>
      <c r="B1836" s="4">
        <v>45309</v>
      </c>
      <c r="C1836" s="4">
        <v>46143</v>
      </c>
      <c r="D1836" t="s">
        <v>60</v>
      </c>
      <c r="E1836">
        <v>57</v>
      </c>
      <c r="F1836" t="s">
        <v>33</v>
      </c>
      <c r="G1836" t="s">
        <v>85</v>
      </c>
      <c r="H1836" t="s">
        <v>35</v>
      </c>
      <c r="I1836" t="s">
        <v>36</v>
      </c>
      <c r="J1836">
        <v>27</v>
      </c>
      <c r="K1836" s="5">
        <v>9.2899999999999991</v>
      </c>
      <c r="L1836" s="5">
        <v>376.36</v>
      </c>
      <c r="M1836">
        <v>26</v>
      </c>
      <c r="N1836">
        <v>9</v>
      </c>
      <c r="O1836">
        <v>2</v>
      </c>
      <c r="P1836">
        <v>3</v>
      </c>
      <c r="Q1836">
        <v>15</v>
      </c>
      <c r="R1836">
        <v>0</v>
      </c>
      <c r="S1836">
        <v>0</v>
      </c>
      <c r="T1836">
        <v>1</v>
      </c>
      <c r="U1836">
        <v>1</v>
      </c>
      <c r="V1836">
        <v>0</v>
      </c>
      <c r="W1836" t="s">
        <v>52</v>
      </c>
      <c r="X1836">
        <v>9</v>
      </c>
      <c r="Y1836">
        <v>0</v>
      </c>
      <c r="Z1836">
        <f t="shared" si="168"/>
        <v>63</v>
      </c>
      <c r="AA1836">
        <f t="shared" si="169"/>
        <v>0.7192982456140351</v>
      </c>
      <c r="AB1836">
        <f t="shared" si="170"/>
        <v>18</v>
      </c>
      <c r="AC1836" t="str">
        <f t="shared" si="171"/>
        <v>Low</v>
      </c>
      <c r="AD1836" t="str">
        <f t="shared" si="172"/>
        <v>Upsell premium bundle</v>
      </c>
      <c r="AE1836">
        <f t="shared" si="173"/>
        <v>37</v>
      </c>
    </row>
    <row r="1837" spans="1:31" x14ac:dyDescent="0.35">
      <c r="A1837" t="s">
        <v>1895</v>
      </c>
      <c r="B1837" s="4">
        <v>46069</v>
      </c>
      <c r="C1837" s="4">
        <v>46143</v>
      </c>
      <c r="D1837" t="s">
        <v>66</v>
      </c>
      <c r="E1837">
        <v>66</v>
      </c>
      <c r="F1837" t="s">
        <v>57</v>
      </c>
      <c r="G1837" t="s">
        <v>85</v>
      </c>
      <c r="H1837" t="s">
        <v>41</v>
      </c>
      <c r="I1837" t="s">
        <v>36</v>
      </c>
      <c r="J1837">
        <v>2</v>
      </c>
      <c r="K1837" s="5">
        <v>1236.48</v>
      </c>
      <c r="L1837" s="5">
        <v>100.61</v>
      </c>
      <c r="M1837">
        <v>31</v>
      </c>
      <c r="N1837">
        <v>9</v>
      </c>
      <c r="O1837">
        <v>8</v>
      </c>
      <c r="P1837">
        <v>3</v>
      </c>
      <c r="Q1837">
        <v>21</v>
      </c>
      <c r="R1837">
        <v>0</v>
      </c>
      <c r="S1837">
        <v>0</v>
      </c>
      <c r="T1837">
        <v>1</v>
      </c>
      <c r="U1837">
        <v>0</v>
      </c>
      <c r="V1837">
        <v>0</v>
      </c>
      <c r="W1837" t="s">
        <v>50</v>
      </c>
      <c r="X1837">
        <v>65</v>
      </c>
      <c r="Y1837">
        <v>0</v>
      </c>
      <c r="Z1837">
        <f t="shared" si="168"/>
        <v>73</v>
      </c>
      <c r="AA1837">
        <f t="shared" si="169"/>
        <v>1.625</v>
      </c>
      <c r="AB1837">
        <f t="shared" si="170"/>
        <v>0</v>
      </c>
      <c r="AC1837" t="str">
        <f t="shared" si="171"/>
        <v>Low</v>
      </c>
      <c r="AD1837" t="str">
        <f t="shared" si="172"/>
        <v>Upsell premium bundle</v>
      </c>
      <c r="AE1837">
        <f t="shared" si="173"/>
        <v>27</v>
      </c>
    </row>
    <row r="1838" spans="1:31" x14ac:dyDescent="0.35">
      <c r="A1838" t="s">
        <v>1896</v>
      </c>
      <c r="B1838" s="4">
        <v>44946</v>
      </c>
      <c r="C1838" s="4">
        <v>46143</v>
      </c>
      <c r="D1838" t="s">
        <v>32</v>
      </c>
      <c r="E1838">
        <v>36</v>
      </c>
      <c r="F1838" t="s">
        <v>33</v>
      </c>
      <c r="G1838" t="s">
        <v>63</v>
      </c>
      <c r="H1838" t="s">
        <v>35</v>
      </c>
      <c r="I1838" t="s">
        <v>36</v>
      </c>
      <c r="J1838">
        <v>39</v>
      </c>
      <c r="K1838" s="5">
        <v>0</v>
      </c>
      <c r="L1838" s="5">
        <v>321.10000000000002</v>
      </c>
      <c r="M1838">
        <v>30</v>
      </c>
      <c r="N1838">
        <v>19</v>
      </c>
      <c r="O1838">
        <v>1</v>
      </c>
      <c r="P1838">
        <v>3</v>
      </c>
      <c r="Q1838">
        <v>26</v>
      </c>
      <c r="R1838">
        <v>2</v>
      </c>
      <c r="S1838">
        <v>0</v>
      </c>
      <c r="T1838">
        <v>1</v>
      </c>
      <c r="U1838">
        <v>1</v>
      </c>
      <c r="V1838">
        <v>1</v>
      </c>
      <c r="W1838" t="s">
        <v>52</v>
      </c>
      <c r="X1838">
        <v>42</v>
      </c>
      <c r="Y1838">
        <v>0</v>
      </c>
      <c r="Z1838">
        <f t="shared" si="168"/>
        <v>90</v>
      </c>
      <c r="AA1838">
        <f t="shared" si="169"/>
        <v>0.81159420289855078</v>
      </c>
      <c r="AB1838">
        <f t="shared" si="170"/>
        <v>0</v>
      </c>
      <c r="AC1838" t="str">
        <f t="shared" si="171"/>
        <v>Low</v>
      </c>
      <c r="AD1838" t="str">
        <f t="shared" si="172"/>
        <v>Upsell premium bundle</v>
      </c>
      <c r="AE1838">
        <f t="shared" si="173"/>
        <v>10</v>
      </c>
    </row>
    <row r="1839" spans="1:31" x14ac:dyDescent="0.35">
      <c r="A1839" t="s">
        <v>1897</v>
      </c>
      <c r="B1839" s="4">
        <v>45323</v>
      </c>
      <c r="C1839" s="4">
        <v>46143</v>
      </c>
      <c r="D1839" t="s">
        <v>60</v>
      </c>
      <c r="E1839">
        <v>72</v>
      </c>
      <c r="F1839" t="s">
        <v>57</v>
      </c>
      <c r="G1839" t="s">
        <v>63</v>
      </c>
      <c r="H1839" t="s">
        <v>58</v>
      </c>
      <c r="I1839" t="s">
        <v>36</v>
      </c>
      <c r="J1839">
        <v>27</v>
      </c>
      <c r="K1839" s="5">
        <v>500.56</v>
      </c>
      <c r="L1839" s="5">
        <v>951.47</v>
      </c>
      <c r="M1839">
        <v>41</v>
      </c>
      <c r="N1839">
        <v>19</v>
      </c>
      <c r="O1839">
        <v>5</v>
      </c>
      <c r="P1839">
        <v>8</v>
      </c>
      <c r="Q1839">
        <v>28</v>
      </c>
      <c r="R1839">
        <v>0</v>
      </c>
      <c r="S1839">
        <v>0</v>
      </c>
      <c r="T1839">
        <v>1</v>
      </c>
      <c r="U1839">
        <v>0</v>
      </c>
      <c r="V1839">
        <v>0</v>
      </c>
      <c r="W1839" t="s">
        <v>55</v>
      </c>
      <c r="X1839">
        <v>45</v>
      </c>
      <c r="Y1839">
        <v>0</v>
      </c>
      <c r="Z1839">
        <f t="shared" si="168"/>
        <v>100</v>
      </c>
      <c r="AA1839">
        <f t="shared" si="169"/>
        <v>1.2105263157894737</v>
      </c>
      <c r="AB1839">
        <f t="shared" si="170"/>
        <v>0</v>
      </c>
      <c r="AC1839" t="str">
        <f t="shared" si="171"/>
        <v>Low</v>
      </c>
      <c r="AD1839" t="str">
        <f t="shared" si="172"/>
        <v>Upsell premium bundle</v>
      </c>
      <c r="AE1839">
        <f t="shared" si="173"/>
        <v>0</v>
      </c>
    </row>
    <row r="1840" spans="1:31" x14ac:dyDescent="0.35">
      <c r="A1840" t="s">
        <v>1898</v>
      </c>
      <c r="B1840" s="4">
        <v>44887</v>
      </c>
      <c r="C1840" s="4">
        <v>46143</v>
      </c>
      <c r="D1840" t="s">
        <v>72</v>
      </c>
      <c r="E1840">
        <v>56</v>
      </c>
      <c r="F1840" t="s">
        <v>57</v>
      </c>
      <c r="G1840" t="s">
        <v>85</v>
      </c>
      <c r="H1840" t="s">
        <v>41</v>
      </c>
      <c r="I1840" t="s">
        <v>36</v>
      </c>
      <c r="J1840">
        <v>41</v>
      </c>
      <c r="K1840" s="5">
        <v>327.79</v>
      </c>
      <c r="L1840" s="5">
        <v>575.77</v>
      </c>
      <c r="M1840">
        <v>22</v>
      </c>
      <c r="N1840">
        <v>10</v>
      </c>
      <c r="O1840">
        <v>6</v>
      </c>
      <c r="P1840">
        <v>3</v>
      </c>
      <c r="Q1840">
        <v>14</v>
      </c>
      <c r="R1840">
        <v>2</v>
      </c>
      <c r="S1840">
        <v>2</v>
      </c>
      <c r="T1840">
        <v>1</v>
      </c>
      <c r="U1840">
        <v>0</v>
      </c>
      <c r="V1840">
        <v>0</v>
      </c>
      <c r="W1840" t="s">
        <v>50</v>
      </c>
      <c r="X1840">
        <v>52</v>
      </c>
      <c r="Y1840">
        <v>1</v>
      </c>
      <c r="Z1840">
        <f t="shared" si="168"/>
        <v>55</v>
      </c>
      <c r="AA1840">
        <f t="shared" si="169"/>
        <v>0.50704225352112675</v>
      </c>
      <c r="AB1840">
        <f t="shared" si="170"/>
        <v>23</v>
      </c>
      <c r="AC1840" t="str">
        <f t="shared" si="171"/>
        <v>Low</v>
      </c>
      <c r="AD1840" t="str">
        <f t="shared" si="172"/>
        <v>Upsell premium bundle</v>
      </c>
      <c r="AE1840">
        <f t="shared" si="173"/>
        <v>45</v>
      </c>
    </row>
    <row r="1841" spans="1:31" x14ac:dyDescent="0.35">
      <c r="A1841" t="s">
        <v>1899</v>
      </c>
      <c r="B1841" s="4">
        <v>45924</v>
      </c>
      <c r="C1841" s="4">
        <v>46143</v>
      </c>
      <c r="D1841" t="s">
        <v>32</v>
      </c>
      <c r="E1841">
        <v>24</v>
      </c>
      <c r="F1841" t="s">
        <v>77</v>
      </c>
      <c r="G1841" t="s">
        <v>40</v>
      </c>
      <c r="H1841" t="s">
        <v>41</v>
      </c>
      <c r="I1841" t="s">
        <v>36</v>
      </c>
      <c r="J1841">
        <v>7</v>
      </c>
      <c r="K1841" s="5">
        <v>2861.3</v>
      </c>
      <c r="L1841" s="5">
        <v>11531.33</v>
      </c>
      <c r="M1841">
        <v>24</v>
      </c>
      <c r="N1841">
        <v>6</v>
      </c>
      <c r="O1841">
        <v>3</v>
      </c>
      <c r="P1841">
        <v>2</v>
      </c>
      <c r="Q1841">
        <v>19</v>
      </c>
      <c r="R1841">
        <v>0</v>
      </c>
      <c r="S1841">
        <v>0</v>
      </c>
      <c r="T1841">
        <v>1</v>
      </c>
      <c r="U1841">
        <v>0</v>
      </c>
      <c r="V1841">
        <v>0</v>
      </c>
      <c r="W1841" t="s">
        <v>37</v>
      </c>
      <c r="X1841">
        <v>37</v>
      </c>
      <c r="Y1841">
        <v>0</v>
      </c>
      <c r="Z1841">
        <f t="shared" si="168"/>
        <v>54</v>
      </c>
      <c r="AA1841">
        <f t="shared" si="169"/>
        <v>1.1621621621621621</v>
      </c>
      <c r="AB1841">
        <f t="shared" si="170"/>
        <v>8</v>
      </c>
      <c r="AC1841" t="str">
        <f t="shared" si="171"/>
        <v>Low</v>
      </c>
      <c r="AD1841" t="str">
        <f t="shared" si="172"/>
        <v>Upsell premium bundle</v>
      </c>
      <c r="AE1841">
        <f t="shared" si="173"/>
        <v>46</v>
      </c>
    </row>
    <row r="1842" spans="1:31" x14ac:dyDescent="0.35">
      <c r="A1842" t="s">
        <v>1900</v>
      </c>
      <c r="B1842" s="4">
        <v>46099</v>
      </c>
      <c r="C1842" s="4">
        <v>46143</v>
      </c>
      <c r="D1842" t="s">
        <v>32</v>
      </c>
      <c r="E1842">
        <v>28</v>
      </c>
      <c r="F1842" t="s">
        <v>57</v>
      </c>
      <c r="G1842" t="s">
        <v>85</v>
      </c>
      <c r="H1842" t="s">
        <v>41</v>
      </c>
      <c r="I1842" t="s">
        <v>36</v>
      </c>
      <c r="J1842">
        <v>1</v>
      </c>
      <c r="K1842" s="5">
        <v>1371.85</v>
      </c>
      <c r="L1842" s="5">
        <v>554.35</v>
      </c>
      <c r="M1842">
        <v>20</v>
      </c>
      <c r="N1842">
        <v>9</v>
      </c>
      <c r="O1842">
        <v>1</v>
      </c>
      <c r="P1842">
        <v>2</v>
      </c>
      <c r="Q1842">
        <v>28</v>
      </c>
      <c r="R1842">
        <v>0</v>
      </c>
      <c r="S1842">
        <v>0</v>
      </c>
      <c r="T1842">
        <v>1</v>
      </c>
      <c r="U1842">
        <v>0</v>
      </c>
      <c r="V1842">
        <v>0</v>
      </c>
      <c r="W1842" t="s">
        <v>45</v>
      </c>
      <c r="X1842">
        <v>24</v>
      </c>
      <c r="Y1842">
        <v>1</v>
      </c>
      <c r="Z1842">
        <f t="shared" si="168"/>
        <v>58</v>
      </c>
      <c r="AA1842">
        <f t="shared" si="169"/>
        <v>1.5483870967741935</v>
      </c>
      <c r="AB1842">
        <f t="shared" si="170"/>
        <v>23</v>
      </c>
      <c r="AC1842" t="str">
        <f t="shared" si="171"/>
        <v>Low</v>
      </c>
      <c r="AD1842" t="str">
        <f t="shared" si="172"/>
        <v>Upsell premium bundle</v>
      </c>
      <c r="AE1842">
        <f t="shared" si="173"/>
        <v>42</v>
      </c>
    </row>
    <row r="1843" spans="1:31" x14ac:dyDescent="0.35">
      <c r="A1843" t="s">
        <v>1901</v>
      </c>
      <c r="B1843" s="4">
        <v>45024</v>
      </c>
      <c r="C1843" s="4">
        <v>46143</v>
      </c>
      <c r="D1843" t="s">
        <v>47</v>
      </c>
      <c r="E1843">
        <v>66</v>
      </c>
      <c r="F1843" t="s">
        <v>33</v>
      </c>
      <c r="G1843" t="s">
        <v>67</v>
      </c>
      <c r="H1843" t="s">
        <v>58</v>
      </c>
      <c r="I1843" t="s">
        <v>36</v>
      </c>
      <c r="J1843">
        <v>37</v>
      </c>
      <c r="K1843" s="5">
        <v>754.54</v>
      </c>
      <c r="L1843" s="5">
        <v>240</v>
      </c>
      <c r="M1843">
        <v>49</v>
      </c>
      <c r="N1843">
        <v>34</v>
      </c>
      <c r="O1843">
        <v>10</v>
      </c>
      <c r="P1843">
        <v>9</v>
      </c>
      <c r="Q1843">
        <v>35</v>
      </c>
      <c r="R1843">
        <v>6</v>
      </c>
      <c r="S1843">
        <v>2</v>
      </c>
      <c r="T1843">
        <v>1</v>
      </c>
      <c r="U1843">
        <v>0</v>
      </c>
      <c r="V1843">
        <v>1</v>
      </c>
      <c r="W1843" t="s">
        <v>55</v>
      </c>
      <c r="X1843">
        <v>-1</v>
      </c>
      <c r="Y1843">
        <v>0</v>
      </c>
      <c r="Z1843">
        <f t="shared" si="168"/>
        <v>100</v>
      </c>
      <c r="AA1843">
        <f t="shared" si="169"/>
        <v>1.2537313432835822</v>
      </c>
      <c r="AB1843">
        <f t="shared" si="170"/>
        <v>16</v>
      </c>
      <c r="AC1843" t="str">
        <f t="shared" si="171"/>
        <v>Low</v>
      </c>
      <c r="AD1843" t="str">
        <f t="shared" si="172"/>
        <v>Upsell premium bundle</v>
      </c>
      <c r="AE1843">
        <f t="shared" si="173"/>
        <v>0</v>
      </c>
    </row>
    <row r="1844" spans="1:31" x14ac:dyDescent="0.35">
      <c r="A1844" t="s">
        <v>1902</v>
      </c>
      <c r="B1844" s="4">
        <v>45883</v>
      </c>
      <c r="C1844" s="4">
        <v>46143</v>
      </c>
      <c r="D1844" t="s">
        <v>47</v>
      </c>
      <c r="E1844">
        <v>36</v>
      </c>
      <c r="F1844" t="s">
        <v>57</v>
      </c>
      <c r="G1844" t="s">
        <v>67</v>
      </c>
      <c r="H1844" t="s">
        <v>41</v>
      </c>
      <c r="I1844" t="s">
        <v>36</v>
      </c>
      <c r="J1844">
        <v>8</v>
      </c>
      <c r="K1844" s="5">
        <v>644.39</v>
      </c>
      <c r="L1844" s="5">
        <v>990.7</v>
      </c>
      <c r="M1844">
        <v>28</v>
      </c>
      <c r="N1844">
        <v>17</v>
      </c>
      <c r="O1844">
        <v>8</v>
      </c>
      <c r="P1844">
        <v>0</v>
      </c>
      <c r="Q1844">
        <v>25</v>
      </c>
      <c r="R1844">
        <v>0</v>
      </c>
      <c r="S1844">
        <v>3</v>
      </c>
      <c r="T1844">
        <v>0</v>
      </c>
      <c r="U1844">
        <v>0</v>
      </c>
      <c r="V1844">
        <v>0</v>
      </c>
      <c r="W1844" t="s">
        <v>45</v>
      </c>
      <c r="X1844">
        <v>50</v>
      </c>
      <c r="Y1844">
        <v>0</v>
      </c>
      <c r="Z1844">
        <f t="shared" si="168"/>
        <v>75</v>
      </c>
      <c r="AA1844">
        <f t="shared" si="169"/>
        <v>1.3947368421052631</v>
      </c>
      <c r="AB1844">
        <f t="shared" si="170"/>
        <v>27</v>
      </c>
      <c r="AC1844" t="str">
        <f t="shared" si="171"/>
        <v>Low</v>
      </c>
      <c r="AD1844" t="str">
        <f t="shared" si="172"/>
        <v>Upsell premium bundle</v>
      </c>
      <c r="AE1844">
        <f t="shared" si="173"/>
        <v>25</v>
      </c>
    </row>
    <row r="1845" spans="1:31" x14ac:dyDescent="0.35">
      <c r="A1845" t="s">
        <v>1903</v>
      </c>
      <c r="B1845" s="4">
        <v>45206</v>
      </c>
      <c r="C1845" s="4">
        <v>46143</v>
      </c>
      <c r="D1845" t="s">
        <v>66</v>
      </c>
      <c r="E1845">
        <v>67</v>
      </c>
      <c r="F1845" t="s">
        <v>61</v>
      </c>
      <c r="G1845" t="s">
        <v>85</v>
      </c>
      <c r="H1845" t="s">
        <v>41</v>
      </c>
      <c r="I1845" t="s">
        <v>49</v>
      </c>
      <c r="J1845">
        <v>31</v>
      </c>
      <c r="K1845" s="5">
        <v>4012.92</v>
      </c>
      <c r="L1845" s="5">
        <v>1722.56</v>
      </c>
      <c r="M1845">
        <v>26</v>
      </c>
      <c r="N1845">
        <v>11</v>
      </c>
      <c r="O1845">
        <v>6</v>
      </c>
      <c r="P1845">
        <v>4</v>
      </c>
      <c r="Q1845">
        <v>18</v>
      </c>
      <c r="R1845">
        <v>2</v>
      </c>
      <c r="S1845">
        <v>0</v>
      </c>
      <c r="T1845">
        <v>0</v>
      </c>
      <c r="U1845">
        <v>0</v>
      </c>
      <c r="V1845">
        <v>1</v>
      </c>
      <c r="W1845" t="s">
        <v>50</v>
      </c>
      <c r="X1845">
        <v>22</v>
      </c>
      <c r="Y1845">
        <v>1</v>
      </c>
      <c r="Z1845">
        <f t="shared" si="168"/>
        <v>72</v>
      </c>
      <c r="AA1845">
        <f t="shared" si="169"/>
        <v>0.72131147540983609</v>
      </c>
      <c r="AB1845">
        <f t="shared" si="170"/>
        <v>21</v>
      </c>
      <c r="AC1845" t="str">
        <f t="shared" si="171"/>
        <v>Low</v>
      </c>
      <c r="AD1845" t="str">
        <f t="shared" si="172"/>
        <v>Upsell premium bundle</v>
      </c>
      <c r="AE1845">
        <f t="shared" si="173"/>
        <v>28</v>
      </c>
    </row>
    <row r="1846" spans="1:31" x14ac:dyDescent="0.35">
      <c r="A1846" t="s">
        <v>1904</v>
      </c>
      <c r="B1846" s="4">
        <v>45641</v>
      </c>
      <c r="C1846" s="4">
        <v>46143</v>
      </c>
      <c r="D1846" t="s">
        <v>47</v>
      </c>
      <c r="E1846">
        <v>52</v>
      </c>
      <c r="F1846" t="s">
        <v>43</v>
      </c>
      <c r="G1846" t="s">
        <v>63</v>
      </c>
      <c r="H1846" t="s">
        <v>44</v>
      </c>
      <c r="I1846" t="s">
        <v>49</v>
      </c>
      <c r="J1846">
        <v>16</v>
      </c>
      <c r="K1846" s="5">
        <v>96.02</v>
      </c>
      <c r="L1846" s="5">
        <v>6.3</v>
      </c>
      <c r="M1846">
        <v>22</v>
      </c>
      <c r="N1846">
        <v>10</v>
      </c>
      <c r="O1846">
        <v>5</v>
      </c>
      <c r="P1846">
        <v>0</v>
      </c>
      <c r="Q1846">
        <v>24</v>
      </c>
      <c r="R1846">
        <v>0</v>
      </c>
      <c r="S1846">
        <v>0</v>
      </c>
      <c r="T1846">
        <v>0</v>
      </c>
      <c r="U1846">
        <v>1</v>
      </c>
      <c r="V1846">
        <v>0</v>
      </c>
      <c r="W1846" t="s">
        <v>45</v>
      </c>
      <c r="X1846">
        <v>33</v>
      </c>
      <c r="Y1846">
        <v>0</v>
      </c>
      <c r="Z1846">
        <f t="shared" si="168"/>
        <v>67</v>
      </c>
      <c r="AA1846">
        <f t="shared" si="169"/>
        <v>1</v>
      </c>
      <c r="AB1846">
        <f t="shared" si="170"/>
        <v>21</v>
      </c>
      <c r="AC1846" t="str">
        <f t="shared" si="171"/>
        <v>Low</v>
      </c>
      <c r="AD1846" t="str">
        <f t="shared" si="172"/>
        <v>Upsell premium bundle</v>
      </c>
      <c r="AE1846">
        <f t="shared" si="173"/>
        <v>33</v>
      </c>
    </row>
    <row r="1847" spans="1:31" x14ac:dyDescent="0.35">
      <c r="A1847" t="s">
        <v>1905</v>
      </c>
      <c r="B1847" s="4">
        <v>45452</v>
      </c>
      <c r="C1847" s="4">
        <v>46143</v>
      </c>
      <c r="D1847" t="s">
        <v>72</v>
      </c>
      <c r="E1847">
        <v>37</v>
      </c>
      <c r="F1847" t="s">
        <v>77</v>
      </c>
      <c r="G1847" t="s">
        <v>67</v>
      </c>
      <c r="H1847" t="s">
        <v>41</v>
      </c>
      <c r="I1847" t="s">
        <v>49</v>
      </c>
      <c r="J1847">
        <v>23</v>
      </c>
      <c r="K1847" s="5">
        <v>10746.82</v>
      </c>
      <c r="L1847" s="5">
        <v>13512.94</v>
      </c>
      <c r="M1847">
        <v>21</v>
      </c>
      <c r="N1847">
        <v>12</v>
      </c>
      <c r="O1847">
        <v>1</v>
      </c>
      <c r="P1847">
        <v>2</v>
      </c>
      <c r="Q1847">
        <v>12</v>
      </c>
      <c r="R1847">
        <v>0</v>
      </c>
      <c r="S1847">
        <v>0</v>
      </c>
      <c r="T1847">
        <v>0</v>
      </c>
      <c r="U1847">
        <v>0</v>
      </c>
      <c r="V1847">
        <v>1</v>
      </c>
      <c r="W1847" t="s">
        <v>55</v>
      </c>
      <c r="X1847">
        <v>24</v>
      </c>
      <c r="Y1847">
        <v>0</v>
      </c>
      <c r="Z1847">
        <f t="shared" si="168"/>
        <v>53</v>
      </c>
      <c r="AA1847">
        <f t="shared" si="169"/>
        <v>0.62264150943396224</v>
      </c>
      <c r="AB1847">
        <f t="shared" si="170"/>
        <v>31</v>
      </c>
      <c r="AC1847" t="str">
        <f t="shared" si="171"/>
        <v>Low</v>
      </c>
      <c r="AD1847" t="str">
        <f t="shared" si="172"/>
        <v>Upsell premium bundle</v>
      </c>
      <c r="AE1847">
        <f t="shared" si="173"/>
        <v>47</v>
      </c>
    </row>
    <row r="1848" spans="1:31" x14ac:dyDescent="0.35">
      <c r="A1848" t="s">
        <v>1906</v>
      </c>
      <c r="B1848" s="4">
        <v>45509</v>
      </c>
      <c r="C1848" s="4">
        <v>46143</v>
      </c>
      <c r="D1848" t="s">
        <v>47</v>
      </c>
      <c r="E1848">
        <v>19</v>
      </c>
      <c r="F1848" t="s">
        <v>77</v>
      </c>
      <c r="G1848" t="s">
        <v>40</v>
      </c>
      <c r="H1848" t="s">
        <v>58</v>
      </c>
      <c r="I1848" t="s">
        <v>36</v>
      </c>
      <c r="J1848">
        <v>21</v>
      </c>
      <c r="K1848" s="5">
        <v>2365.29</v>
      </c>
      <c r="L1848" s="5">
        <v>10266.91</v>
      </c>
      <c r="M1848">
        <v>23</v>
      </c>
      <c r="N1848">
        <v>14</v>
      </c>
      <c r="O1848">
        <v>4</v>
      </c>
      <c r="P1848">
        <v>4</v>
      </c>
      <c r="Q1848">
        <v>27</v>
      </c>
      <c r="R1848">
        <v>0</v>
      </c>
      <c r="S1848">
        <v>0</v>
      </c>
      <c r="T1848">
        <v>0</v>
      </c>
      <c r="U1848">
        <v>0</v>
      </c>
      <c r="V1848">
        <v>1</v>
      </c>
      <c r="W1848" t="s">
        <v>37</v>
      </c>
      <c r="X1848">
        <v>45</v>
      </c>
      <c r="Y1848">
        <v>0</v>
      </c>
      <c r="Z1848">
        <f t="shared" si="168"/>
        <v>77</v>
      </c>
      <c r="AA1848">
        <f t="shared" si="169"/>
        <v>0.98039215686274506</v>
      </c>
      <c r="AB1848">
        <f t="shared" si="170"/>
        <v>0</v>
      </c>
      <c r="AC1848" t="str">
        <f t="shared" si="171"/>
        <v>Low</v>
      </c>
      <c r="AD1848" t="str">
        <f t="shared" si="172"/>
        <v>Upsell premium bundle</v>
      </c>
      <c r="AE1848">
        <f t="shared" si="173"/>
        <v>23</v>
      </c>
    </row>
    <row r="1849" spans="1:31" x14ac:dyDescent="0.35">
      <c r="A1849" t="s">
        <v>1907</v>
      </c>
      <c r="B1849" s="4">
        <v>46053</v>
      </c>
      <c r="C1849" s="4">
        <v>46143</v>
      </c>
      <c r="D1849" t="s">
        <v>72</v>
      </c>
      <c r="E1849">
        <v>23</v>
      </c>
      <c r="F1849" t="s">
        <v>61</v>
      </c>
      <c r="G1849" t="s">
        <v>63</v>
      </c>
      <c r="H1849" t="s">
        <v>41</v>
      </c>
      <c r="I1849" t="s">
        <v>36</v>
      </c>
      <c r="J1849">
        <v>3</v>
      </c>
      <c r="K1849" s="5">
        <v>2407.7399999999998</v>
      </c>
      <c r="L1849" s="5">
        <v>1972.63</v>
      </c>
      <c r="M1849">
        <v>14</v>
      </c>
      <c r="N1849">
        <v>8</v>
      </c>
      <c r="O1849">
        <v>1</v>
      </c>
      <c r="P1849">
        <v>1</v>
      </c>
      <c r="Q1849">
        <v>0</v>
      </c>
      <c r="R1849">
        <v>1</v>
      </c>
      <c r="S1849">
        <v>1</v>
      </c>
      <c r="T1849">
        <v>1</v>
      </c>
      <c r="U1849">
        <v>0</v>
      </c>
      <c r="V1849">
        <v>0</v>
      </c>
      <c r="W1849" t="s">
        <v>50</v>
      </c>
      <c r="X1849">
        <v>39</v>
      </c>
      <c r="Y1849">
        <v>1</v>
      </c>
      <c r="Z1849">
        <f t="shared" si="168"/>
        <v>24</v>
      </c>
      <c r="AA1849">
        <f t="shared" si="169"/>
        <v>0.42424242424242425</v>
      </c>
      <c r="AB1849">
        <f t="shared" si="170"/>
        <v>25</v>
      </c>
      <c r="AC1849" t="str">
        <f t="shared" si="171"/>
        <v>Low</v>
      </c>
      <c r="AD1849" t="str">
        <f t="shared" si="172"/>
        <v>Upsell premium bundle</v>
      </c>
      <c r="AE1849">
        <f t="shared" si="173"/>
        <v>76</v>
      </c>
    </row>
    <row r="1850" spans="1:31" x14ac:dyDescent="0.35">
      <c r="A1850" t="s">
        <v>1908</v>
      </c>
      <c r="B1850" s="4">
        <v>45559</v>
      </c>
      <c r="C1850" s="4">
        <v>46143</v>
      </c>
      <c r="D1850" t="s">
        <v>72</v>
      </c>
      <c r="E1850">
        <v>47</v>
      </c>
      <c r="F1850" t="s">
        <v>43</v>
      </c>
      <c r="G1850" t="s">
        <v>48</v>
      </c>
      <c r="H1850" t="s">
        <v>41</v>
      </c>
      <c r="I1850" t="s">
        <v>36</v>
      </c>
      <c r="J1850">
        <v>19</v>
      </c>
      <c r="K1850" s="5">
        <v>70.83</v>
      </c>
      <c r="L1850" s="5">
        <v>153.19999999999999</v>
      </c>
      <c r="M1850">
        <v>26</v>
      </c>
      <c r="N1850">
        <v>18</v>
      </c>
      <c r="O1850">
        <v>7</v>
      </c>
      <c r="P1850">
        <v>3</v>
      </c>
      <c r="Q1850">
        <v>15</v>
      </c>
      <c r="R1850">
        <v>1</v>
      </c>
      <c r="S1850">
        <v>1</v>
      </c>
      <c r="T1850">
        <v>0</v>
      </c>
      <c r="U1850">
        <v>0</v>
      </c>
      <c r="V1850">
        <v>0</v>
      </c>
      <c r="W1850" t="s">
        <v>50</v>
      </c>
      <c r="X1850">
        <v>64</v>
      </c>
      <c r="Y1850">
        <v>0</v>
      </c>
      <c r="Z1850">
        <f t="shared" si="168"/>
        <v>67</v>
      </c>
      <c r="AA1850">
        <f t="shared" si="169"/>
        <v>0.83673469387755106</v>
      </c>
      <c r="AB1850">
        <f t="shared" si="170"/>
        <v>6</v>
      </c>
      <c r="AC1850" t="str">
        <f t="shared" si="171"/>
        <v>Low</v>
      </c>
      <c r="AD1850" t="str">
        <f t="shared" si="172"/>
        <v>Upsell premium bundle</v>
      </c>
      <c r="AE1850">
        <f t="shared" si="173"/>
        <v>33</v>
      </c>
    </row>
    <row r="1851" spans="1:31" x14ac:dyDescent="0.35">
      <c r="A1851" t="s">
        <v>1909</v>
      </c>
      <c r="B1851" s="4">
        <v>45192</v>
      </c>
      <c r="C1851" s="4">
        <v>46143</v>
      </c>
      <c r="D1851" t="s">
        <v>72</v>
      </c>
      <c r="E1851">
        <v>26</v>
      </c>
      <c r="F1851" t="s">
        <v>57</v>
      </c>
      <c r="G1851" t="s">
        <v>34</v>
      </c>
      <c r="H1851" t="s">
        <v>41</v>
      </c>
      <c r="I1851" t="s">
        <v>36</v>
      </c>
      <c r="J1851">
        <v>31</v>
      </c>
      <c r="K1851" s="5">
        <v>1618.97</v>
      </c>
      <c r="L1851" s="5">
        <v>1373.28</v>
      </c>
      <c r="M1851">
        <v>20</v>
      </c>
      <c r="N1851">
        <v>7</v>
      </c>
      <c r="O1851">
        <v>2</v>
      </c>
      <c r="P1851">
        <v>1</v>
      </c>
      <c r="Q1851">
        <v>13</v>
      </c>
      <c r="R1851">
        <v>4</v>
      </c>
      <c r="S1851">
        <v>2</v>
      </c>
      <c r="T1851">
        <v>1</v>
      </c>
      <c r="U1851">
        <v>1</v>
      </c>
      <c r="V1851">
        <v>0</v>
      </c>
      <c r="W1851" t="s">
        <v>55</v>
      </c>
      <c r="X1851">
        <v>-4</v>
      </c>
      <c r="Y1851">
        <v>1</v>
      </c>
      <c r="Z1851">
        <f t="shared" si="168"/>
        <v>50</v>
      </c>
      <c r="AA1851">
        <f t="shared" si="169"/>
        <v>0.54098360655737709</v>
      </c>
      <c r="AB1851">
        <f t="shared" si="170"/>
        <v>50</v>
      </c>
      <c r="AC1851" t="str">
        <f t="shared" si="171"/>
        <v>Medium</v>
      </c>
      <c r="AD1851" t="str">
        <f t="shared" si="172"/>
        <v>Nudge core feature adoption</v>
      </c>
      <c r="AE1851">
        <f t="shared" si="173"/>
        <v>50</v>
      </c>
    </row>
    <row r="1852" spans="1:31" x14ac:dyDescent="0.35">
      <c r="A1852" t="s">
        <v>1910</v>
      </c>
      <c r="B1852" s="4">
        <v>46103</v>
      </c>
      <c r="C1852" s="4">
        <v>46143</v>
      </c>
      <c r="D1852" t="s">
        <v>66</v>
      </c>
      <c r="E1852">
        <v>27</v>
      </c>
      <c r="F1852" t="s">
        <v>43</v>
      </c>
      <c r="G1852" t="s">
        <v>63</v>
      </c>
      <c r="H1852" t="s">
        <v>58</v>
      </c>
      <c r="I1852" t="s">
        <v>49</v>
      </c>
      <c r="J1852">
        <v>1</v>
      </c>
      <c r="K1852" s="5">
        <v>25.94</v>
      </c>
      <c r="L1852" s="5">
        <v>33.950000000000003</v>
      </c>
      <c r="M1852">
        <v>26</v>
      </c>
      <c r="N1852">
        <v>6</v>
      </c>
      <c r="O1852">
        <v>3</v>
      </c>
      <c r="P1852">
        <v>0</v>
      </c>
      <c r="Q1852">
        <v>25</v>
      </c>
      <c r="R1852">
        <v>0</v>
      </c>
      <c r="S1852">
        <v>0</v>
      </c>
      <c r="T1852">
        <v>1</v>
      </c>
      <c r="U1852">
        <v>0</v>
      </c>
      <c r="V1852">
        <v>1</v>
      </c>
      <c r="W1852" t="s">
        <v>37</v>
      </c>
      <c r="X1852">
        <v>11</v>
      </c>
      <c r="Y1852">
        <v>0</v>
      </c>
      <c r="Z1852">
        <f t="shared" si="168"/>
        <v>66</v>
      </c>
      <c r="AA1852">
        <f t="shared" si="169"/>
        <v>1.6451612903225807</v>
      </c>
      <c r="AB1852">
        <f t="shared" si="170"/>
        <v>32</v>
      </c>
      <c r="AC1852" t="str">
        <f t="shared" si="171"/>
        <v>Low</v>
      </c>
      <c r="AD1852" t="str">
        <f t="shared" si="172"/>
        <v>Upsell premium bundle</v>
      </c>
      <c r="AE1852">
        <f t="shared" si="173"/>
        <v>34</v>
      </c>
    </row>
    <row r="1853" spans="1:31" x14ac:dyDescent="0.35">
      <c r="A1853" t="s">
        <v>1911</v>
      </c>
      <c r="B1853" s="4">
        <v>45164</v>
      </c>
      <c r="C1853" s="4">
        <v>46143</v>
      </c>
      <c r="D1853" t="s">
        <v>47</v>
      </c>
      <c r="E1853">
        <v>25</v>
      </c>
      <c r="F1853" t="s">
        <v>33</v>
      </c>
      <c r="G1853" t="s">
        <v>67</v>
      </c>
      <c r="H1853" t="s">
        <v>41</v>
      </c>
      <c r="I1853" t="s">
        <v>36</v>
      </c>
      <c r="J1853">
        <v>32</v>
      </c>
      <c r="K1853" s="5">
        <v>0</v>
      </c>
      <c r="L1853" s="5">
        <v>534.48</v>
      </c>
      <c r="M1853">
        <v>18</v>
      </c>
      <c r="N1853">
        <v>6</v>
      </c>
      <c r="O1853">
        <v>1</v>
      </c>
      <c r="P1853">
        <v>3</v>
      </c>
      <c r="Q1853">
        <v>9</v>
      </c>
      <c r="R1853">
        <v>0</v>
      </c>
      <c r="S1853">
        <v>0</v>
      </c>
      <c r="T1853">
        <v>0</v>
      </c>
      <c r="U1853">
        <v>1</v>
      </c>
      <c r="V1853">
        <v>1</v>
      </c>
      <c r="W1853" t="s">
        <v>37</v>
      </c>
      <c r="X1853">
        <v>75</v>
      </c>
      <c r="Y1853">
        <v>0</v>
      </c>
      <c r="Z1853">
        <f t="shared" si="168"/>
        <v>53</v>
      </c>
      <c r="AA1853">
        <f t="shared" si="169"/>
        <v>0.43548387096774194</v>
      </c>
      <c r="AB1853">
        <f t="shared" si="170"/>
        <v>0</v>
      </c>
      <c r="AC1853" t="str">
        <f t="shared" si="171"/>
        <v>Low</v>
      </c>
      <c r="AD1853" t="str">
        <f t="shared" si="172"/>
        <v>Upsell premium bundle</v>
      </c>
      <c r="AE1853">
        <f t="shared" si="173"/>
        <v>47</v>
      </c>
    </row>
    <row r="1854" spans="1:31" x14ac:dyDescent="0.35">
      <c r="A1854" t="s">
        <v>1912</v>
      </c>
      <c r="B1854" s="4">
        <v>44796</v>
      </c>
      <c r="C1854" s="4">
        <v>46143</v>
      </c>
      <c r="D1854" t="s">
        <v>60</v>
      </c>
      <c r="E1854">
        <v>70</v>
      </c>
      <c r="F1854" t="s">
        <v>61</v>
      </c>
      <c r="G1854" t="s">
        <v>63</v>
      </c>
      <c r="H1854" t="s">
        <v>35</v>
      </c>
      <c r="I1854" t="s">
        <v>49</v>
      </c>
      <c r="J1854">
        <v>44</v>
      </c>
      <c r="K1854" s="5">
        <v>3353.21</v>
      </c>
      <c r="L1854" s="5">
        <v>2933.3</v>
      </c>
      <c r="M1854">
        <v>13</v>
      </c>
      <c r="N1854">
        <v>8</v>
      </c>
      <c r="O1854">
        <v>0</v>
      </c>
      <c r="P1854">
        <v>0</v>
      </c>
      <c r="Q1854">
        <v>30</v>
      </c>
      <c r="R1854">
        <v>1</v>
      </c>
      <c r="S1854">
        <v>0</v>
      </c>
      <c r="T1854">
        <v>1</v>
      </c>
      <c r="U1854">
        <v>0</v>
      </c>
      <c r="V1854">
        <v>0</v>
      </c>
      <c r="W1854" t="s">
        <v>45</v>
      </c>
      <c r="X1854">
        <v>39</v>
      </c>
      <c r="Y1854">
        <v>0</v>
      </c>
      <c r="Z1854">
        <f t="shared" si="168"/>
        <v>47</v>
      </c>
      <c r="AA1854">
        <f t="shared" si="169"/>
        <v>0.58108108108108103</v>
      </c>
      <c r="AB1854">
        <f t="shared" si="170"/>
        <v>14</v>
      </c>
      <c r="AC1854" t="str">
        <f t="shared" si="171"/>
        <v>Low</v>
      </c>
      <c r="AD1854" t="str">
        <f t="shared" si="172"/>
        <v>Upsell premium bundle</v>
      </c>
      <c r="AE1854">
        <f t="shared" si="173"/>
        <v>53</v>
      </c>
    </row>
    <row r="1855" spans="1:31" x14ac:dyDescent="0.35">
      <c r="A1855" t="s">
        <v>1913</v>
      </c>
      <c r="B1855" s="4">
        <v>45776</v>
      </c>
      <c r="C1855" s="4">
        <v>46143</v>
      </c>
      <c r="D1855" t="s">
        <v>39</v>
      </c>
      <c r="E1855">
        <v>30</v>
      </c>
      <c r="F1855" t="s">
        <v>33</v>
      </c>
      <c r="G1855" t="s">
        <v>63</v>
      </c>
      <c r="H1855" t="s">
        <v>44</v>
      </c>
      <c r="I1855" t="s">
        <v>36</v>
      </c>
      <c r="J1855">
        <v>12</v>
      </c>
      <c r="K1855" s="5">
        <v>398.16</v>
      </c>
      <c r="L1855" s="5">
        <v>242.14</v>
      </c>
      <c r="M1855">
        <v>23</v>
      </c>
      <c r="N1855">
        <v>8</v>
      </c>
      <c r="O1855">
        <v>4</v>
      </c>
      <c r="P1855">
        <v>0</v>
      </c>
      <c r="Q1855">
        <v>17</v>
      </c>
      <c r="R1855">
        <v>0</v>
      </c>
      <c r="S1855">
        <v>0</v>
      </c>
      <c r="T1855">
        <v>1</v>
      </c>
      <c r="U1855">
        <v>0</v>
      </c>
      <c r="V1855">
        <v>0</v>
      </c>
      <c r="W1855" t="s">
        <v>45</v>
      </c>
      <c r="X1855">
        <v>33</v>
      </c>
      <c r="Y1855">
        <v>0</v>
      </c>
      <c r="Z1855">
        <f t="shared" si="168"/>
        <v>51</v>
      </c>
      <c r="AA1855">
        <f t="shared" si="169"/>
        <v>0.95238095238095233</v>
      </c>
      <c r="AB1855">
        <f t="shared" si="170"/>
        <v>11</v>
      </c>
      <c r="AC1855" t="str">
        <f t="shared" si="171"/>
        <v>Low</v>
      </c>
      <c r="AD1855" t="str">
        <f t="shared" si="172"/>
        <v>Upsell premium bundle</v>
      </c>
      <c r="AE1855">
        <f t="shared" si="173"/>
        <v>49</v>
      </c>
    </row>
    <row r="1856" spans="1:31" x14ac:dyDescent="0.35">
      <c r="A1856" t="s">
        <v>1914</v>
      </c>
      <c r="B1856" s="4">
        <v>44737</v>
      </c>
      <c r="C1856" s="4">
        <v>46143</v>
      </c>
      <c r="D1856" t="s">
        <v>47</v>
      </c>
      <c r="E1856">
        <v>22</v>
      </c>
      <c r="F1856" t="s">
        <v>61</v>
      </c>
      <c r="G1856" t="s">
        <v>67</v>
      </c>
      <c r="H1856" t="s">
        <v>44</v>
      </c>
      <c r="I1856" t="s">
        <v>36</v>
      </c>
      <c r="J1856">
        <v>46</v>
      </c>
      <c r="K1856" s="5">
        <v>4835.91</v>
      </c>
      <c r="L1856" s="5">
        <v>642.6</v>
      </c>
      <c r="M1856">
        <v>39</v>
      </c>
      <c r="N1856">
        <v>28</v>
      </c>
      <c r="O1856">
        <v>3</v>
      </c>
      <c r="P1856">
        <v>5</v>
      </c>
      <c r="Q1856">
        <v>45</v>
      </c>
      <c r="R1856">
        <v>3</v>
      </c>
      <c r="S1856">
        <v>1</v>
      </c>
      <c r="T1856">
        <v>0</v>
      </c>
      <c r="U1856">
        <v>0</v>
      </c>
      <c r="V1856">
        <v>1</v>
      </c>
      <c r="W1856" t="s">
        <v>45</v>
      </c>
      <c r="X1856">
        <v>33</v>
      </c>
      <c r="Y1856">
        <v>0</v>
      </c>
      <c r="Z1856">
        <f t="shared" si="168"/>
        <v>100</v>
      </c>
      <c r="AA1856">
        <f t="shared" si="169"/>
        <v>1.1052631578947369</v>
      </c>
      <c r="AB1856">
        <f t="shared" si="170"/>
        <v>0</v>
      </c>
      <c r="AC1856" t="str">
        <f t="shared" si="171"/>
        <v>Low</v>
      </c>
      <c r="AD1856" t="str">
        <f t="shared" si="172"/>
        <v>Upsell premium bundle</v>
      </c>
      <c r="AE1856">
        <f t="shared" si="173"/>
        <v>0</v>
      </c>
    </row>
    <row r="1857" spans="1:31" x14ac:dyDescent="0.35">
      <c r="A1857" t="s">
        <v>1915</v>
      </c>
      <c r="B1857" s="4">
        <v>45314</v>
      </c>
      <c r="C1857" s="4">
        <v>46143</v>
      </c>
      <c r="D1857" t="s">
        <v>47</v>
      </c>
      <c r="E1857">
        <v>45</v>
      </c>
      <c r="F1857" t="s">
        <v>43</v>
      </c>
      <c r="G1857" t="s">
        <v>85</v>
      </c>
      <c r="H1857" t="s">
        <v>41</v>
      </c>
      <c r="I1857" t="s">
        <v>36</v>
      </c>
      <c r="J1857">
        <v>27</v>
      </c>
      <c r="K1857" s="5">
        <v>134.21</v>
      </c>
      <c r="L1857" s="5">
        <v>37.200000000000003</v>
      </c>
      <c r="M1857">
        <v>35</v>
      </c>
      <c r="N1857">
        <v>14</v>
      </c>
      <c r="O1857">
        <v>9</v>
      </c>
      <c r="P1857">
        <v>4</v>
      </c>
      <c r="Q1857">
        <v>17</v>
      </c>
      <c r="R1857">
        <v>3</v>
      </c>
      <c r="S1857">
        <v>2</v>
      </c>
      <c r="T1857">
        <v>1</v>
      </c>
      <c r="U1857">
        <v>0</v>
      </c>
      <c r="V1857">
        <v>0</v>
      </c>
      <c r="W1857" t="s">
        <v>50</v>
      </c>
      <c r="X1857">
        <v>11</v>
      </c>
      <c r="Y1857">
        <v>0</v>
      </c>
      <c r="Z1857">
        <f t="shared" si="168"/>
        <v>80</v>
      </c>
      <c r="AA1857">
        <f t="shared" si="169"/>
        <v>0.91228070175438591</v>
      </c>
      <c r="AB1857">
        <f t="shared" si="170"/>
        <v>32</v>
      </c>
      <c r="AC1857" t="str">
        <f t="shared" si="171"/>
        <v>Low</v>
      </c>
      <c r="AD1857" t="str">
        <f t="shared" si="172"/>
        <v>Upsell premium bundle</v>
      </c>
      <c r="AE1857">
        <f t="shared" si="173"/>
        <v>20</v>
      </c>
    </row>
    <row r="1858" spans="1:31" x14ac:dyDescent="0.35">
      <c r="A1858" t="s">
        <v>1916</v>
      </c>
      <c r="B1858" s="4">
        <v>45486</v>
      </c>
      <c r="C1858" s="4">
        <v>46143</v>
      </c>
      <c r="D1858" t="s">
        <v>32</v>
      </c>
      <c r="E1858">
        <v>35</v>
      </c>
      <c r="F1858" t="s">
        <v>33</v>
      </c>
      <c r="G1858" t="s">
        <v>40</v>
      </c>
      <c r="H1858" t="s">
        <v>58</v>
      </c>
      <c r="I1858" t="s">
        <v>36</v>
      </c>
      <c r="J1858">
        <v>21</v>
      </c>
      <c r="K1858" s="5">
        <v>50.75</v>
      </c>
      <c r="L1858" s="5">
        <v>318.14999999999998</v>
      </c>
      <c r="M1858">
        <v>29</v>
      </c>
      <c r="N1858">
        <v>11</v>
      </c>
      <c r="O1858">
        <v>5</v>
      </c>
      <c r="P1858">
        <v>4</v>
      </c>
      <c r="Q1858">
        <v>29</v>
      </c>
      <c r="R1858">
        <v>2</v>
      </c>
      <c r="S1858">
        <v>0</v>
      </c>
      <c r="T1858">
        <v>1</v>
      </c>
      <c r="U1858">
        <v>0</v>
      </c>
      <c r="V1858">
        <v>0</v>
      </c>
      <c r="W1858" t="s">
        <v>55</v>
      </c>
      <c r="X1858">
        <v>60</v>
      </c>
      <c r="Y1858">
        <v>0</v>
      </c>
      <c r="Z1858">
        <f t="shared" ref="Z1858:Z1921" si="174">MIN(100,ROUND((M1858*1.1+N1858*0.7+O1858*1.2+P1858*1.4+Q1858*0.9+U1858*8+V1858*7),0))</f>
        <v>77</v>
      </c>
      <c r="AA1858">
        <f t="shared" ref="AA1858:AA1921" si="175">IFERROR((M1858+Q1858)/(30+J1858),0)</f>
        <v>1.1372549019607843</v>
      </c>
      <c r="AB1858">
        <f t="shared" ref="AB1858:AB1921" si="176">ROUND(MIN(100,MAX(0,60-Z1858*0.4-R1858*1.5+S1858*8-IF(L1858&gt;1500,10,0)-X1858*0.5+IF(I1858="Completed",-8,8)+IF(H1858="Free",6,-4))),0)</f>
        <v>0</v>
      </c>
      <c r="AC1858" t="str">
        <f t="shared" ref="AC1858:AC1921" si="177">IF(AB1858&gt;=70,"High",IF(AB1858&gt;=40,"Medium","Low"))</f>
        <v>Low</v>
      </c>
      <c r="AD1858" t="str">
        <f t="shared" ref="AD1858:AD1921" si="178">IF(AC1858="High",IF(Q1858&lt;5,"Re-engage with app usage offer",IF(K1858&lt;100,"Deposit incentive","Retention call")),IF(AC1858="Medium","Nudge core feature adoption","Upsell premium bundle"))</f>
        <v>Upsell premium bundle</v>
      </c>
      <c r="AE1858">
        <f t="shared" ref="AE1858:AE1921" si="179">100-Z1858</f>
        <v>23</v>
      </c>
    </row>
    <row r="1859" spans="1:31" x14ac:dyDescent="0.35">
      <c r="A1859" t="s">
        <v>1917</v>
      </c>
      <c r="B1859" s="4">
        <v>45561</v>
      </c>
      <c r="C1859" s="4">
        <v>46143</v>
      </c>
      <c r="D1859" t="s">
        <v>66</v>
      </c>
      <c r="E1859">
        <v>33</v>
      </c>
      <c r="F1859" t="s">
        <v>33</v>
      </c>
      <c r="G1859" t="s">
        <v>48</v>
      </c>
      <c r="H1859" t="s">
        <v>41</v>
      </c>
      <c r="I1859" t="s">
        <v>36</v>
      </c>
      <c r="J1859">
        <v>19</v>
      </c>
      <c r="K1859" s="5">
        <v>340.16</v>
      </c>
      <c r="L1859" s="5">
        <v>443.23</v>
      </c>
      <c r="M1859">
        <v>26</v>
      </c>
      <c r="N1859">
        <v>17</v>
      </c>
      <c r="O1859">
        <v>3</v>
      </c>
      <c r="P1859">
        <v>1</v>
      </c>
      <c r="Q1859">
        <v>13</v>
      </c>
      <c r="R1859">
        <v>2</v>
      </c>
      <c r="S1859">
        <v>0</v>
      </c>
      <c r="T1859">
        <v>1</v>
      </c>
      <c r="U1859">
        <v>1</v>
      </c>
      <c r="V1859">
        <v>0</v>
      </c>
      <c r="W1859" t="s">
        <v>55</v>
      </c>
      <c r="X1859">
        <v>6</v>
      </c>
      <c r="Y1859">
        <v>1</v>
      </c>
      <c r="Z1859">
        <f t="shared" si="174"/>
        <v>65</v>
      </c>
      <c r="AA1859">
        <f t="shared" si="175"/>
        <v>0.79591836734693877</v>
      </c>
      <c r="AB1859">
        <f t="shared" si="176"/>
        <v>26</v>
      </c>
      <c r="AC1859" t="str">
        <f t="shared" si="177"/>
        <v>Low</v>
      </c>
      <c r="AD1859" t="str">
        <f t="shared" si="178"/>
        <v>Upsell premium bundle</v>
      </c>
      <c r="AE1859">
        <f t="shared" si="179"/>
        <v>35</v>
      </c>
    </row>
    <row r="1860" spans="1:31" x14ac:dyDescent="0.35">
      <c r="A1860" t="s">
        <v>1918</v>
      </c>
      <c r="B1860" s="4">
        <v>45380</v>
      </c>
      <c r="C1860" s="4">
        <v>46143</v>
      </c>
      <c r="D1860" t="s">
        <v>32</v>
      </c>
      <c r="E1860">
        <v>64</v>
      </c>
      <c r="F1860" t="s">
        <v>33</v>
      </c>
      <c r="G1860" t="s">
        <v>34</v>
      </c>
      <c r="H1860" t="s">
        <v>58</v>
      </c>
      <c r="I1860" t="s">
        <v>36</v>
      </c>
      <c r="J1860">
        <v>25</v>
      </c>
      <c r="K1860" s="5">
        <v>0</v>
      </c>
      <c r="L1860" s="5">
        <v>166.29</v>
      </c>
      <c r="M1860">
        <v>16</v>
      </c>
      <c r="N1860">
        <v>7</v>
      </c>
      <c r="O1860">
        <v>3</v>
      </c>
      <c r="P1860">
        <v>0</v>
      </c>
      <c r="Q1860">
        <v>12</v>
      </c>
      <c r="R1860">
        <v>0</v>
      </c>
      <c r="S1860">
        <v>1</v>
      </c>
      <c r="T1860">
        <v>1</v>
      </c>
      <c r="U1860">
        <v>1</v>
      </c>
      <c r="V1860">
        <v>1</v>
      </c>
      <c r="W1860" t="s">
        <v>55</v>
      </c>
      <c r="X1860">
        <v>33</v>
      </c>
      <c r="Y1860">
        <v>0</v>
      </c>
      <c r="Z1860">
        <f t="shared" si="174"/>
        <v>52</v>
      </c>
      <c r="AA1860">
        <f t="shared" si="175"/>
        <v>0.50909090909090904</v>
      </c>
      <c r="AB1860">
        <f t="shared" si="176"/>
        <v>19</v>
      </c>
      <c r="AC1860" t="str">
        <f t="shared" si="177"/>
        <v>Low</v>
      </c>
      <c r="AD1860" t="str">
        <f t="shared" si="178"/>
        <v>Upsell premium bundle</v>
      </c>
      <c r="AE1860">
        <f t="shared" si="179"/>
        <v>48</v>
      </c>
    </row>
    <row r="1861" spans="1:31" x14ac:dyDescent="0.35">
      <c r="A1861" t="s">
        <v>1919</v>
      </c>
      <c r="B1861" s="4">
        <v>45969</v>
      </c>
      <c r="C1861" s="4">
        <v>46143</v>
      </c>
      <c r="D1861" t="s">
        <v>39</v>
      </c>
      <c r="E1861">
        <v>60</v>
      </c>
      <c r="F1861" t="s">
        <v>33</v>
      </c>
      <c r="G1861" t="s">
        <v>85</v>
      </c>
      <c r="H1861" t="s">
        <v>44</v>
      </c>
      <c r="I1861" t="s">
        <v>36</v>
      </c>
      <c r="J1861">
        <v>5</v>
      </c>
      <c r="K1861" s="5">
        <v>585.26</v>
      </c>
      <c r="L1861" s="5">
        <v>176.91</v>
      </c>
      <c r="M1861">
        <v>57</v>
      </c>
      <c r="N1861">
        <v>21</v>
      </c>
      <c r="O1861">
        <v>16</v>
      </c>
      <c r="P1861">
        <v>0</v>
      </c>
      <c r="Q1861">
        <v>22</v>
      </c>
      <c r="R1861">
        <v>1</v>
      </c>
      <c r="S1861">
        <v>1</v>
      </c>
      <c r="T1861">
        <v>1</v>
      </c>
      <c r="U1861">
        <v>1</v>
      </c>
      <c r="V1861">
        <v>0</v>
      </c>
      <c r="W1861" t="s">
        <v>55</v>
      </c>
      <c r="X1861">
        <v>-27</v>
      </c>
      <c r="Y1861">
        <v>0</v>
      </c>
      <c r="Z1861">
        <f t="shared" si="174"/>
        <v>100</v>
      </c>
      <c r="AA1861">
        <f t="shared" si="175"/>
        <v>2.2571428571428571</v>
      </c>
      <c r="AB1861">
        <f t="shared" si="176"/>
        <v>28</v>
      </c>
      <c r="AC1861" t="str">
        <f t="shared" si="177"/>
        <v>Low</v>
      </c>
      <c r="AD1861" t="str">
        <f t="shared" si="178"/>
        <v>Upsell premium bundle</v>
      </c>
      <c r="AE1861">
        <f t="shared" si="179"/>
        <v>0</v>
      </c>
    </row>
    <row r="1862" spans="1:31" x14ac:dyDescent="0.35">
      <c r="A1862" t="s">
        <v>1920</v>
      </c>
      <c r="B1862" s="4">
        <v>46061</v>
      </c>
      <c r="C1862" s="4">
        <v>46143</v>
      </c>
      <c r="D1862" t="s">
        <v>47</v>
      </c>
      <c r="E1862">
        <v>28</v>
      </c>
      <c r="F1862" t="s">
        <v>61</v>
      </c>
      <c r="G1862" t="s">
        <v>63</v>
      </c>
      <c r="H1862" t="s">
        <v>41</v>
      </c>
      <c r="I1862" t="s">
        <v>49</v>
      </c>
      <c r="J1862">
        <v>2</v>
      </c>
      <c r="K1862" s="5">
        <v>7694.69</v>
      </c>
      <c r="L1862" s="5">
        <v>0</v>
      </c>
      <c r="M1862">
        <v>12</v>
      </c>
      <c r="N1862">
        <v>7</v>
      </c>
      <c r="O1862">
        <v>1</v>
      </c>
      <c r="P1862">
        <v>0</v>
      </c>
      <c r="Q1862">
        <v>8</v>
      </c>
      <c r="R1862">
        <v>1</v>
      </c>
      <c r="S1862">
        <v>0</v>
      </c>
      <c r="T1862">
        <v>1</v>
      </c>
      <c r="U1862">
        <v>1</v>
      </c>
      <c r="V1862">
        <v>0</v>
      </c>
      <c r="W1862" t="s">
        <v>45</v>
      </c>
      <c r="X1862">
        <v>54</v>
      </c>
      <c r="Y1862">
        <v>0</v>
      </c>
      <c r="Z1862">
        <f t="shared" si="174"/>
        <v>35</v>
      </c>
      <c r="AA1862">
        <f t="shared" si="175"/>
        <v>0.625</v>
      </c>
      <c r="AB1862">
        <f t="shared" si="176"/>
        <v>32</v>
      </c>
      <c r="AC1862" t="str">
        <f t="shared" si="177"/>
        <v>Low</v>
      </c>
      <c r="AD1862" t="str">
        <f t="shared" si="178"/>
        <v>Upsell premium bundle</v>
      </c>
      <c r="AE1862">
        <f t="shared" si="179"/>
        <v>65</v>
      </c>
    </row>
    <row r="1863" spans="1:31" x14ac:dyDescent="0.35">
      <c r="A1863" t="s">
        <v>1921</v>
      </c>
      <c r="B1863" s="4">
        <v>45356</v>
      </c>
      <c r="C1863" s="4">
        <v>46143</v>
      </c>
      <c r="D1863" t="s">
        <v>39</v>
      </c>
      <c r="E1863">
        <v>44</v>
      </c>
      <c r="F1863" t="s">
        <v>61</v>
      </c>
      <c r="G1863" t="s">
        <v>40</v>
      </c>
      <c r="H1863" t="s">
        <v>41</v>
      </c>
      <c r="I1863" t="s">
        <v>36</v>
      </c>
      <c r="J1863">
        <v>26</v>
      </c>
      <c r="K1863" s="5">
        <v>7305.36</v>
      </c>
      <c r="L1863" s="5">
        <v>69.42</v>
      </c>
      <c r="M1863">
        <v>22</v>
      </c>
      <c r="N1863">
        <v>15</v>
      </c>
      <c r="O1863">
        <v>3</v>
      </c>
      <c r="P1863">
        <v>2</v>
      </c>
      <c r="Q1863">
        <v>17</v>
      </c>
      <c r="R1863">
        <v>0</v>
      </c>
      <c r="S1863">
        <v>2</v>
      </c>
      <c r="T1863">
        <v>1</v>
      </c>
      <c r="U1863">
        <v>0</v>
      </c>
      <c r="V1863">
        <v>1</v>
      </c>
      <c r="W1863" t="s">
        <v>37</v>
      </c>
      <c r="X1863">
        <v>15</v>
      </c>
      <c r="Y1863">
        <v>0</v>
      </c>
      <c r="Z1863">
        <f t="shared" si="174"/>
        <v>63</v>
      </c>
      <c r="AA1863">
        <f t="shared" si="175"/>
        <v>0.6964285714285714</v>
      </c>
      <c r="AB1863">
        <f t="shared" si="176"/>
        <v>41</v>
      </c>
      <c r="AC1863" t="str">
        <f t="shared" si="177"/>
        <v>Medium</v>
      </c>
      <c r="AD1863" t="str">
        <f t="shared" si="178"/>
        <v>Nudge core feature adoption</v>
      </c>
      <c r="AE1863">
        <f t="shared" si="179"/>
        <v>37</v>
      </c>
    </row>
    <row r="1864" spans="1:31" x14ac:dyDescent="0.35">
      <c r="A1864" t="s">
        <v>1922</v>
      </c>
      <c r="B1864" s="4">
        <v>45887</v>
      </c>
      <c r="C1864" s="4">
        <v>46143</v>
      </c>
      <c r="D1864" t="s">
        <v>66</v>
      </c>
      <c r="E1864">
        <v>32</v>
      </c>
      <c r="F1864" t="s">
        <v>33</v>
      </c>
      <c r="G1864" t="s">
        <v>85</v>
      </c>
      <c r="H1864" t="s">
        <v>41</v>
      </c>
      <c r="I1864" t="s">
        <v>36</v>
      </c>
      <c r="J1864">
        <v>8</v>
      </c>
      <c r="K1864" s="5">
        <v>0</v>
      </c>
      <c r="L1864" s="5">
        <v>98.44</v>
      </c>
      <c r="M1864">
        <v>19</v>
      </c>
      <c r="N1864">
        <v>10</v>
      </c>
      <c r="O1864">
        <v>2</v>
      </c>
      <c r="P1864">
        <v>2</v>
      </c>
      <c r="Q1864">
        <v>11</v>
      </c>
      <c r="R1864">
        <v>0</v>
      </c>
      <c r="S1864">
        <v>0</v>
      </c>
      <c r="T1864">
        <v>0</v>
      </c>
      <c r="U1864">
        <v>0</v>
      </c>
      <c r="V1864">
        <v>0</v>
      </c>
      <c r="W1864" t="s">
        <v>52</v>
      </c>
      <c r="X1864">
        <v>-11</v>
      </c>
      <c r="Y1864">
        <v>1</v>
      </c>
      <c r="Z1864">
        <f t="shared" si="174"/>
        <v>43</v>
      </c>
      <c r="AA1864">
        <f t="shared" si="175"/>
        <v>0.78947368421052633</v>
      </c>
      <c r="AB1864">
        <f t="shared" si="176"/>
        <v>46</v>
      </c>
      <c r="AC1864" t="str">
        <f t="shared" si="177"/>
        <v>Medium</v>
      </c>
      <c r="AD1864" t="str">
        <f t="shared" si="178"/>
        <v>Nudge core feature adoption</v>
      </c>
      <c r="AE1864">
        <f t="shared" si="179"/>
        <v>57</v>
      </c>
    </row>
    <row r="1865" spans="1:31" x14ac:dyDescent="0.35">
      <c r="A1865" t="s">
        <v>1923</v>
      </c>
      <c r="B1865" s="4">
        <v>45182</v>
      </c>
      <c r="C1865" s="4">
        <v>46143</v>
      </c>
      <c r="D1865" t="s">
        <v>66</v>
      </c>
      <c r="E1865">
        <v>62</v>
      </c>
      <c r="F1865" t="s">
        <v>43</v>
      </c>
      <c r="G1865" t="s">
        <v>40</v>
      </c>
      <c r="H1865" t="s">
        <v>41</v>
      </c>
      <c r="I1865" t="s">
        <v>36</v>
      </c>
      <c r="J1865">
        <v>32</v>
      </c>
      <c r="K1865" s="5">
        <v>130.26</v>
      </c>
      <c r="L1865" s="5">
        <v>99.38</v>
      </c>
      <c r="M1865">
        <v>17</v>
      </c>
      <c r="N1865">
        <v>10</v>
      </c>
      <c r="O1865">
        <v>1</v>
      </c>
      <c r="P1865">
        <v>3</v>
      </c>
      <c r="Q1865">
        <v>16</v>
      </c>
      <c r="R1865">
        <v>3</v>
      </c>
      <c r="S1865">
        <v>0</v>
      </c>
      <c r="T1865">
        <v>1</v>
      </c>
      <c r="U1865">
        <v>1</v>
      </c>
      <c r="V1865">
        <v>0</v>
      </c>
      <c r="W1865" t="s">
        <v>45</v>
      </c>
      <c r="X1865">
        <v>-14</v>
      </c>
      <c r="Y1865">
        <v>1</v>
      </c>
      <c r="Z1865">
        <f t="shared" si="174"/>
        <v>54</v>
      </c>
      <c r="AA1865">
        <f t="shared" si="175"/>
        <v>0.532258064516129</v>
      </c>
      <c r="AB1865">
        <f t="shared" si="176"/>
        <v>39</v>
      </c>
      <c r="AC1865" t="str">
        <f t="shared" si="177"/>
        <v>Low</v>
      </c>
      <c r="AD1865" t="str">
        <f t="shared" si="178"/>
        <v>Upsell premium bundle</v>
      </c>
      <c r="AE1865">
        <f t="shared" si="179"/>
        <v>46</v>
      </c>
    </row>
    <row r="1866" spans="1:31" x14ac:dyDescent="0.35">
      <c r="A1866" t="s">
        <v>1924</v>
      </c>
      <c r="B1866" s="4">
        <v>44867</v>
      </c>
      <c r="C1866" s="4">
        <v>46143</v>
      </c>
      <c r="D1866" t="s">
        <v>72</v>
      </c>
      <c r="E1866">
        <v>60</v>
      </c>
      <c r="F1866" t="s">
        <v>57</v>
      </c>
      <c r="G1866" t="s">
        <v>40</v>
      </c>
      <c r="H1866" t="s">
        <v>58</v>
      </c>
      <c r="I1866" t="s">
        <v>36</v>
      </c>
      <c r="J1866">
        <v>42</v>
      </c>
      <c r="K1866" s="5">
        <v>1282.52</v>
      </c>
      <c r="L1866" s="5">
        <v>778.32</v>
      </c>
      <c r="M1866">
        <v>30</v>
      </c>
      <c r="N1866">
        <v>12</v>
      </c>
      <c r="O1866">
        <v>3</v>
      </c>
      <c r="P1866">
        <v>5</v>
      </c>
      <c r="Q1866">
        <v>23</v>
      </c>
      <c r="R1866">
        <v>1</v>
      </c>
      <c r="S1866">
        <v>0</v>
      </c>
      <c r="T1866">
        <v>0</v>
      </c>
      <c r="U1866">
        <v>1</v>
      </c>
      <c r="V1866">
        <v>0</v>
      </c>
      <c r="W1866" t="s">
        <v>45</v>
      </c>
      <c r="X1866">
        <v>32</v>
      </c>
      <c r="Y1866">
        <v>0</v>
      </c>
      <c r="Z1866">
        <f t="shared" si="174"/>
        <v>81</v>
      </c>
      <c r="AA1866">
        <f t="shared" si="175"/>
        <v>0.73611111111111116</v>
      </c>
      <c r="AB1866">
        <f t="shared" si="176"/>
        <v>0</v>
      </c>
      <c r="AC1866" t="str">
        <f t="shared" si="177"/>
        <v>Low</v>
      </c>
      <c r="AD1866" t="str">
        <f t="shared" si="178"/>
        <v>Upsell premium bundle</v>
      </c>
      <c r="AE1866">
        <f t="shared" si="179"/>
        <v>19</v>
      </c>
    </row>
    <row r="1867" spans="1:31" x14ac:dyDescent="0.35">
      <c r="A1867" t="s">
        <v>1925</v>
      </c>
      <c r="B1867" s="4">
        <v>45672</v>
      </c>
      <c r="C1867" s="4">
        <v>46143</v>
      </c>
      <c r="D1867" t="s">
        <v>32</v>
      </c>
      <c r="E1867">
        <v>66</v>
      </c>
      <c r="F1867" t="s">
        <v>61</v>
      </c>
      <c r="G1867" t="s">
        <v>63</v>
      </c>
      <c r="H1867" t="s">
        <v>41</v>
      </c>
      <c r="I1867" t="s">
        <v>36</v>
      </c>
      <c r="J1867">
        <v>15</v>
      </c>
      <c r="K1867" s="5">
        <v>6397.6</v>
      </c>
      <c r="L1867" s="5">
        <v>4125.75</v>
      </c>
      <c r="M1867">
        <v>13</v>
      </c>
      <c r="N1867">
        <v>6</v>
      </c>
      <c r="O1867">
        <v>1</v>
      </c>
      <c r="P1867">
        <v>0</v>
      </c>
      <c r="Q1867">
        <v>7</v>
      </c>
      <c r="R1867">
        <v>0</v>
      </c>
      <c r="S1867">
        <v>0</v>
      </c>
      <c r="T1867">
        <v>0</v>
      </c>
      <c r="U1867">
        <v>0</v>
      </c>
      <c r="V1867">
        <v>1</v>
      </c>
      <c r="W1867" t="s">
        <v>37</v>
      </c>
      <c r="X1867">
        <v>-47</v>
      </c>
      <c r="Y1867">
        <v>1</v>
      </c>
      <c r="Z1867">
        <f t="shared" si="174"/>
        <v>33</v>
      </c>
      <c r="AA1867">
        <f t="shared" si="175"/>
        <v>0.44444444444444442</v>
      </c>
      <c r="AB1867">
        <f t="shared" si="176"/>
        <v>58</v>
      </c>
      <c r="AC1867" t="str">
        <f t="shared" si="177"/>
        <v>Medium</v>
      </c>
      <c r="AD1867" t="str">
        <f t="shared" si="178"/>
        <v>Nudge core feature adoption</v>
      </c>
      <c r="AE1867">
        <f t="shared" si="179"/>
        <v>67</v>
      </c>
    </row>
    <row r="1868" spans="1:31" x14ac:dyDescent="0.35">
      <c r="A1868" t="s">
        <v>1926</v>
      </c>
      <c r="B1868" s="4">
        <v>45669</v>
      </c>
      <c r="C1868" s="4">
        <v>46143</v>
      </c>
      <c r="D1868" t="s">
        <v>66</v>
      </c>
      <c r="E1868">
        <v>66</v>
      </c>
      <c r="F1868" t="s">
        <v>61</v>
      </c>
      <c r="G1868" t="s">
        <v>48</v>
      </c>
      <c r="H1868" t="s">
        <v>58</v>
      </c>
      <c r="I1868" t="s">
        <v>36</v>
      </c>
      <c r="J1868">
        <v>15</v>
      </c>
      <c r="K1868" s="5">
        <v>8339.9500000000007</v>
      </c>
      <c r="L1868" s="5">
        <v>3146.65</v>
      </c>
      <c r="M1868">
        <v>36</v>
      </c>
      <c r="N1868">
        <v>19</v>
      </c>
      <c r="O1868">
        <v>9</v>
      </c>
      <c r="P1868">
        <v>1</v>
      </c>
      <c r="Q1868">
        <v>21</v>
      </c>
      <c r="R1868">
        <v>0</v>
      </c>
      <c r="S1868">
        <v>0</v>
      </c>
      <c r="T1868">
        <v>1</v>
      </c>
      <c r="U1868">
        <v>1</v>
      </c>
      <c r="V1868">
        <v>1</v>
      </c>
      <c r="W1868" t="s">
        <v>37</v>
      </c>
      <c r="X1868">
        <v>71</v>
      </c>
      <c r="Y1868">
        <v>0</v>
      </c>
      <c r="Z1868">
        <f t="shared" si="174"/>
        <v>99</v>
      </c>
      <c r="AA1868">
        <f t="shared" si="175"/>
        <v>1.2666666666666666</v>
      </c>
      <c r="AB1868">
        <f t="shared" si="176"/>
        <v>0</v>
      </c>
      <c r="AC1868" t="str">
        <f t="shared" si="177"/>
        <v>Low</v>
      </c>
      <c r="AD1868" t="str">
        <f t="shared" si="178"/>
        <v>Upsell premium bundle</v>
      </c>
      <c r="AE1868">
        <f t="shared" si="179"/>
        <v>1</v>
      </c>
    </row>
    <row r="1869" spans="1:31" x14ac:dyDescent="0.35">
      <c r="A1869" t="s">
        <v>1927</v>
      </c>
      <c r="B1869" s="4">
        <v>45090</v>
      </c>
      <c r="C1869" s="4">
        <v>46143</v>
      </c>
      <c r="D1869" t="s">
        <v>39</v>
      </c>
      <c r="E1869">
        <v>69</v>
      </c>
      <c r="F1869" t="s">
        <v>57</v>
      </c>
      <c r="G1869" t="s">
        <v>40</v>
      </c>
      <c r="H1869" t="s">
        <v>41</v>
      </c>
      <c r="I1869" t="s">
        <v>36</v>
      </c>
      <c r="J1869">
        <v>35</v>
      </c>
      <c r="K1869" s="5">
        <v>850.17</v>
      </c>
      <c r="L1869" s="5">
        <v>1462.95</v>
      </c>
      <c r="M1869">
        <v>15</v>
      </c>
      <c r="N1869">
        <v>6</v>
      </c>
      <c r="O1869">
        <v>1</v>
      </c>
      <c r="P1869">
        <v>0</v>
      </c>
      <c r="Q1869">
        <v>10</v>
      </c>
      <c r="R1869">
        <v>2</v>
      </c>
      <c r="S1869">
        <v>2</v>
      </c>
      <c r="T1869">
        <v>1</v>
      </c>
      <c r="U1869">
        <v>1</v>
      </c>
      <c r="V1869">
        <v>0</v>
      </c>
      <c r="W1869" t="s">
        <v>45</v>
      </c>
      <c r="X1869">
        <v>-3</v>
      </c>
      <c r="Y1869">
        <v>1</v>
      </c>
      <c r="Z1869">
        <f t="shared" si="174"/>
        <v>39</v>
      </c>
      <c r="AA1869">
        <f t="shared" si="175"/>
        <v>0.38461538461538464</v>
      </c>
      <c r="AB1869">
        <f t="shared" si="176"/>
        <v>57</v>
      </c>
      <c r="AC1869" t="str">
        <f t="shared" si="177"/>
        <v>Medium</v>
      </c>
      <c r="AD1869" t="str">
        <f t="shared" si="178"/>
        <v>Nudge core feature adoption</v>
      </c>
      <c r="AE1869">
        <f t="shared" si="179"/>
        <v>61</v>
      </c>
    </row>
    <row r="1870" spans="1:31" x14ac:dyDescent="0.35">
      <c r="A1870" t="s">
        <v>1928</v>
      </c>
      <c r="B1870" s="4">
        <v>45131</v>
      </c>
      <c r="C1870" s="4">
        <v>46143</v>
      </c>
      <c r="D1870" t="s">
        <v>32</v>
      </c>
      <c r="E1870">
        <v>21</v>
      </c>
      <c r="F1870" t="s">
        <v>33</v>
      </c>
      <c r="G1870" t="s">
        <v>67</v>
      </c>
      <c r="H1870" t="s">
        <v>41</v>
      </c>
      <c r="I1870" t="s">
        <v>49</v>
      </c>
      <c r="J1870">
        <v>33</v>
      </c>
      <c r="K1870" s="5">
        <v>804.18</v>
      </c>
      <c r="L1870" s="5">
        <v>0</v>
      </c>
      <c r="M1870">
        <v>23</v>
      </c>
      <c r="N1870">
        <v>6</v>
      </c>
      <c r="O1870">
        <v>6</v>
      </c>
      <c r="P1870">
        <v>1</v>
      </c>
      <c r="Q1870">
        <v>16</v>
      </c>
      <c r="R1870">
        <v>0</v>
      </c>
      <c r="S1870">
        <v>0</v>
      </c>
      <c r="T1870">
        <v>1</v>
      </c>
      <c r="U1870">
        <v>1</v>
      </c>
      <c r="V1870">
        <v>0</v>
      </c>
      <c r="W1870" t="s">
        <v>37</v>
      </c>
      <c r="X1870">
        <v>31</v>
      </c>
      <c r="Y1870">
        <v>1</v>
      </c>
      <c r="Z1870">
        <f t="shared" si="174"/>
        <v>61</v>
      </c>
      <c r="AA1870">
        <f t="shared" si="175"/>
        <v>0.61904761904761907</v>
      </c>
      <c r="AB1870">
        <f t="shared" si="176"/>
        <v>34</v>
      </c>
      <c r="AC1870" t="str">
        <f t="shared" si="177"/>
        <v>Low</v>
      </c>
      <c r="AD1870" t="str">
        <f t="shared" si="178"/>
        <v>Upsell premium bundle</v>
      </c>
      <c r="AE1870">
        <f t="shared" si="179"/>
        <v>39</v>
      </c>
    </row>
    <row r="1871" spans="1:31" x14ac:dyDescent="0.35">
      <c r="A1871" t="s">
        <v>1929</v>
      </c>
      <c r="B1871" s="4">
        <v>45910</v>
      </c>
      <c r="C1871" s="4">
        <v>46143</v>
      </c>
      <c r="D1871" t="s">
        <v>32</v>
      </c>
      <c r="E1871">
        <v>51</v>
      </c>
      <c r="F1871" t="s">
        <v>33</v>
      </c>
      <c r="G1871" t="s">
        <v>63</v>
      </c>
      <c r="H1871" t="s">
        <v>35</v>
      </c>
      <c r="I1871" t="s">
        <v>36</v>
      </c>
      <c r="J1871">
        <v>7</v>
      </c>
      <c r="K1871" s="5">
        <v>365.09</v>
      </c>
      <c r="L1871" s="5">
        <v>272.89</v>
      </c>
      <c r="M1871">
        <v>44</v>
      </c>
      <c r="N1871">
        <v>18</v>
      </c>
      <c r="O1871">
        <v>10</v>
      </c>
      <c r="P1871">
        <v>9</v>
      </c>
      <c r="Q1871">
        <v>35</v>
      </c>
      <c r="R1871">
        <v>4</v>
      </c>
      <c r="S1871">
        <v>1</v>
      </c>
      <c r="T1871">
        <v>1</v>
      </c>
      <c r="U1871">
        <v>0</v>
      </c>
      <c r="V1871">
        <v>1</v>
      </c>
      <c r="W1871" t="s">
        <v>52</v>
      </c>
      <c r="X1871">
        <v>2</v>
      </c>
      <c r="Y1871">
        <v>0</v>
      </c>
      <c r="Z1871">
        <f t="shared" si="174"/>
        <v>100</v>
      </c>
      <c r="AA1871">
        <f t="shared" si="175"/>
        <v>2.1351351351351351</v>
      </c>
      <c r="AB1871">
        <f t="shared" si="176"/>
        <v>9</v>
      </c>
      <c r="AC1871" t="str">
        <f t="shared" si="177"/>
        <v>Low</v>
      </c>
      <c r="AD1871" t="str">
        <f t="shared" si="178"/>
        <v>Upsell premium bundle</v>
      </c>
      <c r="AE1871">
        <f t="shared" si="179"/>
        <v>0</v>
      </c>
    </row>
    <row r="1872" spans="1:31" x14ac:dyDescent="0.35">
      <c r="A1872" t="s">
        <v>1930</v>
      </c>
      <c r="B1872" s="4">
        <v>45423</v>
      </c>
      <c r="C1872" s="4">
        <v>46143</v>
      </c>
      <c r="D1872" t="s">
        <v>39</v>
      </c>
      <c r="E1872">
        <v>55</v>
      </c>
      <c r="F1872" t="s">
        <v>61</v>
      </c>
      <c r="G1872" t="s">
        <v>34</v>
      </c>
      <c r="H1872" t="s">
        <v>58</v>
      </c>
      <c r="I1872" t="s">
        <v>36</v>
      </c>
      <c r="J1872">
        <v>24</v>
      </c>
      <c r="K1872" s="5">
        <v>3543.01</v>
      </c>
      <c r="L1872" s="5">
        <v>873.93</v>
      </c>
      <c r="M1872">
        <v>17</v>
      </c>
      <c r="N1872">
        <v>9</v>
      </c>
      <c r="O1872">
        <v>2</v>
      </c>
      <c r="P1872">
        <v>1</v>
      </c>
      <c r="Q1872">
        <v>7</v>
      </c>
      <c r="R1872">
        <v>0</v>
      </c>
      <c r="S1872">
        <v>0</v>
      </c>
      <c r="T1872">
        <v>1</v>
      </c>
      <c r="U1872">
        <v>1</v>
      </c>
      <c r="V1872">
        <v>0</v>
      </c>
      <c r="W1872" t="s">
        <v>37</v>
      </c>
      <c r="X1872">
        <v>50</v>
      </c>
      <c r="Y1872">
        <v>0</v>
      </c>
      <c r="Z1872">
        <f t="shared" si="174"/>
        <v>43</v>
      </c>
      <c r="AA1872">
        <f t="shared" si="175"/>
        <v>0.44444444444444442</v>
      </c>
      <c r="AB1872">
        <f t="shared" si="176"/>
        <v>6</v>
      </c>
      <c r="AC1872" t="str">
        <f t="shared" si="177"/>
        <v>Low</v>
      </c>
      <c r="AD1872" t="str">
        <f t="shared" si="178"/>
        <v>Upsell premium bundle</v>
      </c>
      <c r="AE1872">
        <f t="shared" si="179"/>
        <v>57</v>
      </c>
    </row>
    <row r="1873" spans="1:31" x14ac:dyDescent="0.35">
      <c r="A1873" t="s">
        <v>1931</v>
      </c>
      <c r="B1873" s="4">
        <v>45486</v>
      </c>
      <c r="C1873" s="4">
        <v>46143</v>
      </c>
      <c r="D1873" t="s">
        <v>66</v>
      </c>
      <c r="E1873">
        <v>63</v>
      </c>
      <c r="F1873" t="s">
        <v>33</v>
      </c>
      <c r="G1873" t="s">
        <v>34</v>
      </c>
      <c r="H1873" t="s">
        <v>41</v>
      </c>
      <c r="I1873" t="s">
        <v>36</v>
      </c>
      <c r="J1873">
        <v>21</v>
      </c>
      <c r="K1873" s="5">
        <v>45.05</v>
      </c>
      <c r="L1873" s="5">
        <v>181.09</v>
      </c>
      <c r="M1873">
        <v>23</v>
      </c>
      <c r="N1873">
        <v>12</v>
      </c>
      <c r="O1873">
        <v>6</v>
      </c>
      <c r="P1873">
        <v>3</v>
      </c>
      <c r="Q1873">
        <v>7</v>
      </c>
      <c r="R1873">
        <v>2</v>
      </c>
      <c r="S1873">
        <v>0</v>
      </c>
      <c r="T1873">
        <v>1</v>
      </c>
      <c r="U1873">
        <v>1</v>
      </c>
      <c r="V1873">
        <v>1</v>
      </c>
      <c r="W1873" t="s">
        <v>45</v>
      </c>
      <c r="X1873">
        <v>-34</v>
      </c>
      <c r="Y1873">
        <v>1</v>
      </c>
      <c r="Z1873">
        <f t="shared" si="174"/>
        <v>66</v>
      </c>
      <c r="AA1873">
        <f t="shared" si="175"/>
        <v>0.58823529411764708</v>
      </c>
      <c r="AB1873">
        <f t="shared" si="176"/>
        <v>46</v>
      </c>
      <c r="AC1873" t="str">
        <f t="shared" si="177"/>
        <v>Medium</v>
      </c>
      <c r="AD1873" t="str">
        <f t="shared" si="178"/>
        <v>Nudge core feature adoption</v>
      </c>
      <c r="AE1873">
        <f t="shared" si="179"/>
        <v>34</v>
      </c>
    </row>
    <row r="1874" spans="1:31" x14ac:dyDescent="0.35">
      <c r="A1874" t="s">
        <v>1932</v>
      </c>
      <c r="B1874" s="4">
        <v>45607</v>
      </c>
      <c r="C1874" s="4">
        <v>46143</v>
      </c>
      <c r="D1874" t="s">
        <v>72</v>
      </c>
      <c r="E1874">
        <v>45</v>
      </c>
      <c r="F1874" t="s">
        <v>61</v>
      </c>
      <c r="G1874" t="s">
        <v>67</v>
      </c>
      <c r="H1874" t="s">
        <v>58</v>
      </c>
      <c r="I1874" t="s">
        <v>36</v>
      </c>
      <c r="J1874">
        <v>17</v>
      </c>
      <c r="K1874" s="5">
        <v>5089.67</v>
      </c>
      <c r="L1874" s="5">
        <v>3356.87</v>
      </c>
      <c r="M1874">
        <v>21</v>
      </c>
      <c r="N1874">
        <v>13</v>
      </c>
      <c r="O1874">
        <v>2</v>
      </c>
      <c r="P1874">
        <v>3</v>
      </c>
      <c r="Q1874">
        <v>17</v>
      </c>
      <c r="R1874">
        <v>2</v>
      </c>
      <c r="S1874">
        <v>0</v>
      </c>
      <c r="T1874">
        <v>1</v>
      </c>
      <c r="U1874">
        <v>1</v>
      </c>
      <c r="V1874">
        <v>0</v>
      </c>
      <c r="W1874" t="s">
        <v>50</v>
      </c>
      <c r="X1874">
        <v>12</v>
      </c>
      <c r="Y1874">
        <v>0</v>
      </c>
      <c r="Z1874">
        <f t="shared" si="174"/>
        <v>62</v>
      </c>
      <c r="AA1874">
        <f t="shared" si="175"/>
        <v>0.80851063829787229</v>
      </c>
      <c r="AB1874">
        <f t="shared" si="176"/>
        <v>4</v>
      </c>
      <c r="AC1874" t="str">
        <f t="shared" si="177"/>
        <v>Low</v>
      </c>
      <c r="AD1874" t="str">
        <f t="shared" si="178"/>
        <v>Upsell premium bundle</v>
      </c>
      <c r="AE1874">
        <f t="shared" si="179"/>
        <v>38</v>
      </c>
    </row>
    <row r="1875" spans="1:31" x14ac:dyDescent="0.35">
      <c r="A1875" t="s">
        <v>1933</v>
      </c>
      <c r="B1875" s="4">
        <v>45612</v>
      </c>
      <c r="C1875" s="4">
        <v>46143</v>
      </c>
      <c r="D1875" t="s">
        <v>47</v>
      </c>
      <c r="E1875">
        <v>51</v>
      </c>
      <c r="F1875" t="s">
        <v>43</v>
      </c>
      <c r="G1875" t="s">
        <v>85</v>
      </c>
      <c r="H1875" t="s">
        <v>41</v>
      </c>
      <c r="I1875" t="s">
        <v>36</v>
      </c>
      <c r="J1875">
        <v>17</v>
      </c>
      <c r="K1875" s="5">
        <v>62.72</v>
      </c>
      <c r="L1875" s="5">
        <v>65.11</v>
      </c>
      <c r="M1875">
        <v>15</v>
      </c>
      <c r="N1875">
        <v>9</v>
      </c>
      <c r="O1875">
        <v>3</v>
      </c>
      <c r="P1875">
        <v>1</v>
      </c>
      <c r="Q1875">
        <v>10</v>
      </c>
      <c r="R1875">
        <v>0</v>
      </c>
      <c r="S1875">
        <v>0</v>
      </c>
      <c r="T1875">
        <v>0</v>
      </c>
      <c r="U1875">
        <v>0</v>
      </c>
      <c r="V1875">
        <v>1</v>
      </c>
      <c r="W1875" t="s">
        <v>52</v>
      </c>
      <c r="X1875">
        <v>9</v>
      </c>
      <c r="Y1875">
        <v>0</v>
      </c>
      <c r="Z1875">
        <f t="shared" si="174"/>
        <v>44</v>
      </c>
      <c r="AA1875">
        <f t="shared" si="175"/>
        <v>0.53191489361702127</v>
      </c>
      <c r="AB1875">
        <f t="shared" si="176"/>
        <v>36</v>
      </c>
      <c r="AC1875" t="str">
        <f t="shared" si="177"/>
        <v>Low</v>
      </c>
      <c r="AD1875" t="str">
        <f t="shared" si="178"/>
        <v>Upsell premium bundle</v>
      </c>
      <c r="AE1875">
        <f t="shared" si="179"/>
        <v>56</v>
      </c>
    </row>
    <row r="1876" spans="1:31" x14ac:dyDescent="0.35">
      <c r="A1876" t="s">
        <v>1934</v>
      </c>
      <c r="B1876" s="4">
        <v>44831</v>
      </c>
      <c r="C1876" s="4">
        <v>46143</v>
      </c>
      <c r="D1876" t="s">
        <v>66</v>
      </c>
      <c r="E1876">
        <v>58</v>
      </c>
      <c r="F1876" t="s">
        <v>33</v>
      </c>
      <c r="G1876" t="s">
        <v>40</v>
      </c>
      <c r="H1876" t="s">
        <v>41</v>
      </c>
      <c r="I1876" t="s">
        <v>36</v>
      </c>
      <c r="J1876">
        <v>43</v>
      </c>
      <c r="K1876" s="5">
        <v>242.11</v>
      </c>
      <c r="L1876" s="5">
        <v>68.510000000000005</v>
      </c>
      <c r="M1876">
        <v>31</v>
      </c>
      <c r="N1876">
        <v>15</v>
      </c>
      <c r="O1876">
        <v>1</v>
      </c>
      <c r="P1876">
        <v>4</v>
      </c>
      <c r="Q1876">
        <v>23</v>
      </c>
      <c r="R1876">
        <v>0</v>
      </c>
      <c r="S1876">
        <v>0</v>
      </c>
      <c r="T1876">
        <v>1</v>
      </c>
      <c r="U1876">
        <v>1</v>
      </c>
      <c r="V1876">
        <v>1</v>
      </c>
      <c r="W1876" t="s">
        <v>37</v>
      </c>
      <c r="X1876">
        <v>72</v>
      </c>
      <c r="Y1876">
        <v>0</v>
      </c>
      <c r="Z1876">
        <f t="shared" si="174"/>
        <v>87</v>
      </c>
      <c r="AA1876">
        <f t="shared" si="175"/>
        <v>0.73972602739726023</v>
      </c>
      <c r="AB1876">
        <f t="shared" si="176"/>
        <v>0</v>
      </c>
      <c r="AC1876" t="str">
        <f t="shared" si="177"/>
        <v>Low</v>
      </c>
      <c r="AD1876" t="str">
        <f t="shared" si="178"/>
        <v>Upsell premium bundle</v>
      </c>
      <c r="AE1876">
        <f t="shared" si="179"/>
        <v>13</v>
      </c>
    </row>
    <row r="1877" spans="1:31" x14ac:dyDescent="0.35">
      <c r="A1877" t="s">
        <v>1935</v>
      </c>
      <c r="B1877" s="4">
        <v>45943</v>
      </c>
      <c r="C1877" s="4">
        <v>46143</v>
      </c>
      <c r="D1877" t="s">
        <v>60</v>
      </c>
      <c r="E1877">
        <v>25</v>
      </c>
      <c r="F1877" t="s">
        <v>57</v>
      </c>
      <c r="G1877" t="s">
        <v>63</v>
      </c>
      <c r="H1877" t="s">
        <v>58</v>
      </c>
      <c r="I1877" t="s">
        <v>36</v>
      </c>
      <c r="J1877">
        <v>6</v>
      </c>
      <c r="K1877" s="5">
        <v>1737.26</v>
      </c>
      <c r="L1877" s="5">
        <v>1165.8599999999999</v>
      </c>
      <c r="M1877">
        <v>39</v>
      </c>
      <c r="N1877">
        <v>24</v>
      </c>
      <c r="O1877">
        <v>10</v>
      </c>
      <c r="P1877">
        <v>7</v>
      </c>
      <c r="Q1877">
        <v>18</v>
      </c>
      <c r="R1877">
        <v>1</v>
      </c>
      <c r="S1877">
        <v>2</v>
      </c>
      <c r="T1877">
        <v>0</v>
      </c>
      <c r="U1877">
        <v>0</v>
      </c>
      <c r="V1877">
        <v>1</v>
      </c>
      <c r="W1877" t="s">
        <v>45</v>
      </c>
      <c r="X1877">
        <v>-2</v>
      </c>
      <c r="Y1877">
        <v>0</v>
      </c>
      <c r="Z1877">
        <f t="shared" si="174"/>
        <v>100</v>
      </c>
      <c r="AA1877">
        <f t="shared" si="175"/>
        <v>1.5833333333333333</v>
      </c>
      <c r="AB1877">
        <f t="shared" si="176"/>
        <v>24</v>
      </c>
      <c r="AC1877" t="str">
        <f t="shared" si="177"/>
        <v>Low</v>
      </c>
      <c r="AD1877" t="str">
        <f t="shared" si="178"/>
        <v>Upsell premium bundle</v>
      </c>
      <c r="AE1877">
        <f t="shared" si="179"/>
        <v>0</v>
      </c>
    </row>
    <row r="1878" spans="1:31" x14ac:dyDescent="0.35">
      <c r="A1878" t="s">
        <v>1936</v>
      </c>
      <c r="B1878" s="4">
        <v>45161</v>
      </c>
      <c r="C1878" s="4">
        <v>46143</v>
      </c>
      <c r="D1878" t="s">
        <v>47</v>
      </c>
      <c r="E1878">
        <v>55</v>
      </c>
      <c r="F1878" t="s">
        <v>43</v>
      </c>
      <c r="G1878" t="s">
        <v>63</v>
      </c>
      <c r="H1878" t="s">
        <v>41</v>
      </c>
      <c r="I1878" t="s">
        <v>36</v>
      </c>
      <c r="J1878">
        <v>32</v>
      </c>
      <c r="K1878" s="5">
        <v>46.68</v>
      </c>
      <c r="L1878" s="5">
        <v>0</v>
      </c>
      <c r="M1878">
        <v>27</v>
      </c>
      <c r="N1878">
        <v>13</v>
      </c>
      <c r="O1878">
        <v>4</v>
      </c>
      <c r="P1878">
        <v>0</v>
      </c>
      <c r="Q1878">
        <v>15</v>
      </c>
      <c r="R1878">
        <v>3</v>
      </c>
      <c r="S1878">
        <v>2</v>
      </c>
      <c r="T1878">
        <v>1</v>
      </c>
      <c r="U1878">
        <v>0</v>
      </c>
      <c r="V1878">
        <v>0</v>
      </c>
      <c r="W1878" t="s">
        <v>37</v>
      </c>
      <c r="X1878">
        <v>-33</v>
      </c>
      <c r="Y1878">
        <v>1</v>
      </c>
      <c r="Z1878">
        <f t="shared" si="174"/>
        <v>57</v>
      </c>
      <c r="AA1878">
        <f t="shared" si="175"/>
        <v>0.67741935483870963</v>
      </c>
      <c r="AB1878">
        <f t="shared" si="176"/>
        <v>63</v>
      </c>
      <c r="AC1878" t="str">
        <f t="shared" si="177"/>
        <v>Medium</v>
      </c>
      <c r="AD1878" t="str">
        <f t="shared" si="178"/>
        <v>Nudge core feature adoption</v>
      </c>
      <c r="AE1878">
        <f t="shared" si="179"/>
        <v>43</v>
      </c>
    </row>
    <row r="1879" spans="1:31" x14ac:dyDescent="0.35">
      <c r="A1879" t="s">
        <v>1937</v>
      </c>
      <c r="B1879" s="4">
        <v>45809</v>
      </c>
      <c r="C1879" s="4">
        <v>46143</v>
      </c>
      <c r="D1879" t="s">
        <v>47</v>
      </c>
      <c r="E1879">
        <v>51</v>
      </c>
      <c r="F1879" t="s">
        <v>43</v>
      </c>
      <c r="G1879" t="s">
        <v>63</v>
      </c>
      <c r="H1879" t="s">
        <v>41</v>
      </c>
      <c r="I1879" t="s">
        <v>54</v>
      </c>
      <c r="J1879">
        <v>11</v>
      </c>
      <c r="K1879" s="5">
        <v>185.53</v>
      </c>
      <c r="L1879" s="5">
        <v>34.17</v>
      </c>
      <c r="M1879">
        <v>4</v>
      </c>
      <c r="N1879">
        <v>2</v>
      </c>
      <c r="O1879">
        <v>1</v>
      </c>
      <c r="P1879">
        <v>0</v>
      </c>
      <c r="Q1879">
        <v>6</v>
      </c>
      <c r="R1879">
        <v>1</v>
      </c>
      <c r="S1879">
        <v>0</v>
      </c>
      <c r="T1879">
        <v>0</v>
      </c>
      <c r="U1879">
        <v>0</v>
      </c>
      <c r="V1879">
        <v>1</v>
      </c>
      <c r="W1879" t="s">
        <v>55</v>
      </c>
      <c r="X1879">
        <v>59</v>
      </c>
      <c r="Y1879">
        <v>1</v>
      </c>
      <c r="Z1879">
        <f t="shared" si="174"/>
        <v>19</v>
      </c>
      <c r="AA1879">
        <f t="shared" si="175"/>
        <v>0.24390243902439024</v>
      </c>
      <c r="AB1879">
        <f t="shared" si="176"/>
        <v>35</v>
      </c>
      <c r="AC1879" t="str">
        <f t="shared" si="177"/>
        <v>Low</v>
      </c>
      <c r="AD1879" t="str">
        <f t="shared" si="178"/>
        <v>Upsell premium bundle</v>
      </c>
      <c r="AE1879">
        <f t="shared" si="179"/>
        <v>81</v>
      </c>
    </row>
    <row r="1880" spans="1:31" x14ac:dyDescent="0.35">
      <c r="A1880" t="s">
        <v>1938</v>
      </c>
      <c r="B1880" s="4">
        <v>45728</v>
      </c>
      <c r="C1880" s="4">
        <v>46143</v>
      </c>
      <c r="D1880" t="s">
        <v>32</v>
      </c>
      <c r="E1880">
        <v>53</v>
      </c>
      <c r="F1880" t="s">
        <v>57</v>
      </c>
      <c r="G1880" t="s">
        <v>63</v>
      </c>
      <c r="H1880" t="s">
        <v>58</v>
      </c>
      <c r="I1880" t="s">
        <v>36</v>
      </c>
      <c r="J1880">
        <v>13</v>
      </c>
      <c r="K1880" s="5">
        <v>1533.06</v>
      </c>
      <c r="L1880" s="5">
        <v>1800.16</v>
      </c>
      <c r="M1880">
        <v>35</v>
      </c>
      <c r="N1880">
        <v>13</v>
      </c>
      <c r="O1880">
        <v>10</v>
      </c>
      <c r="P1880">
        <v>1</v>
      </c>
      <c r="Q1880">
        <v>24</v>
      </c>
      <c r="R1880">
        <v>2</v>
      </c>
      <c r="S1880">
        <v>0</v>
      </c>
      <c r="T1880">
        <v>1</v>
      </c>
      <c r="U1880">
        <v>1</v>
      </c>
      <c r="V1880">
        <v>1</v>
      </c>
      <c r="W1880" t="s">
        <v>45</v>
      </c>
      <c r="X1880">
        <v>46</v>
      </c>
      <c r="Y1880">
        <v>0</v>
      </c>
      <c r="Z1880">
        <f t="shared" si="174"/>
        <v>98</v>
      </c>
      <c r="AA1880">
        <f t="shared" si="175"/>
        <v>1.3720930232558139</v>
      </c>
      <c r="AB1880">
        <f t="shared" si="176"/>
        <v>0</v>
      </c>
      <c r="AC1880" t="str">
        <f t="shared" si="177"/>
        <v>Low</v>
      </c>
      <c r="AD1880" t="str">
        <f t="shared" si="178"/>
        <v>Upsell premium bundle</v>
      </c>
      <c r="AE1880">
        <f t="shared" si="179"/>
        <v>2</v>
      </c>
    </row>
    <row r="1881" spans="1:31" x14ac:dyDescent="0.35">
      <c r="A1881" t="s">
        <v>1939</v>
      </c>
      <c r="B1881" s="4">
        <v>45110</v>
      </c>
      <c r="C1881" s="4">
        <v>46143</v>
      </c>
      <c r="D1881" t="s">
        <v>72</v>
      </c>
      <c r="E1881">
        <v>70</v>
      </c>
      <c r="F1881" t="s">
        <v>57</v>
      </c>
      <c r="G1881" t="s">
        <v>63</v>
      </c>
      <c r="H1881" t="s">
        <v>58</v>
      </c>
      <c r="I1881" t="s">
        <v>54</v>
      </c>
      <c r="J1881">
        <v>34</v>
      </c>
      <c r="K1881" s="5">
        <v>356.82</v>
      </c>
      <c r="L1881" s="5">
        <v>410.47</v>
      </c>
      <c r="M1881">
        <v>9</v>
      </c>
      <c r="N1881">
        <v>6</v>
      </c>
      <c r="O1881">
        <v>0</v>
      </c>
      <c r="P1881">
        <v>1</v>
      </c>
      <c r="Q1881">
        <v>8</v>
      </c>
      <c r="R1881">
        <v>0</v>
      </c>
      <c r="S1881">
        <v>0</v>
      </c>
      <c r="T1881">
        <v>0</v>
      </c>
      <c r="U1881">
        <v>1</v>
      </c>
      <c r="V1881">
        <v>0</v>
      </c>
      <c r="W1881" t="s">
        <v>45</v>
      </c>
      <c r="X1881">
        <v>30</v>
      </c>
      <c r="Y1881">
        <v>1</v>
      </c>
      <c r="Z1881">
        <f t="shared" si="174"/>
        <v>31</v>
      </c>
      <c r="AA1881">
        <f t="shared" si="175"/>
        <v>0.265625</v>
      </c>
      <c r="AB1881">
        <f t="shared" si="176"/>
        <v>37</v>
      </c>
      <c r="AC1881" t="str">
        <f t="shared" si="177"/>
        <v>Low</v>
      </c>
      <c r="AD1881" t="str">
        <f t="shared" si="178"/>
        <v>Upsell premium bundle</v>
      </c>
      <c r="AE1881">
        <f t="shared" si="179"/>
        <v>69</v>
      </c>
    </row>
    <row r="1882" spans="1:31" x14ac:dyDescent="0.35">
      <c r="A1882" t="s">
        <v>1940</v>
      </c>
      <c r="B1882" s="4">
        <v>44879</v>
      </c>
      <c r="C1882" s="4">
        <v>46143</v>
      </c>
      <c r="D1882" t="s">
        <v>72</v>
      </c>
      <c r="E1882">
        <v>45</v>
      </c>
      <c r="F1882" t="s">
        <v>57</v>
      </c>
      <c r="G1882" t="s">
        <v>48</v>
      </c>
      <c r="H1882" t="s">
        <v>41</v>
      </c>
      <c r="I1882" t="s">
        <v>36</v>
      </c>
      <c r="J1882">
        <v>42</v>
      </c>
      <c r="K1882" s="5">
        <v>203.93</v>
      </c>
      <c r="L1882" s="5">
        <v>395.97</v>
      </c>
      <c r="M1882">
        <v>18</v>
      </c>
      <c r="N1882">
        <v>12</v>
      </c>
      <c r="O1882">
        <v>3</v>
      </c>
      <c r="P1882">
        <v>0</v>
      </c>
      <c r="Q1882">
        <v>26</v>
      </c>
      <c r="R1882">
        <v>1</v>
      </c>
      <c r="S1882">
        <v>2</v>
      </c>
      <c r="T1882">
        <v>0</v>
      </c>
      <c r="U1882">
        <v>1</v>
      </c>
      <c r="V1882">
        <v>1</v>
      </c>
      <c r="W1882" t="s">
        <v>55</v>
      </c>
      <c r="X1882">
        <v>73</v>
      </c>
      <c r="Y1882">
        <v>0</v>
      </c>
      <c r="Z1882">
        <f t="shared" si="174"/>
        <v>70</v>
      </c>
      <c r="AA1882">
        <f t="shared" si="175"/>
        <v>0.61111111111111116</v>
      </c>
      <c r="AB1882">
        <f t="shared" si="176"/>
        <v>8</v>
      </c>
      <c r="AC1882" t="str">
        <f t="shared" si="177"/>
        <v>Low</v>
      </c>
      <c r="AD1882" t="str">
        <f t="shared" si="178"/>
        <v>Upsell premium bundle</v>
      </c>
      <c r="AE1882">
        <f t="shared" si="179"/>
        <v>30</v>
      </c>
    </row>
    <row r="1883" spans="1:31" x14ac:dyDescent="0.35">
      <c r="A1883" t="s">
        <v>1941</v>
      </c>
      <c r="B1883" s="4">
        <v>45989</v>
      </c>
      <c r="C1883" s="4">
        <v>46143</v>
      </c>
      <c r="D1883" t="s">
        <v>39</v>
      </c>
      <c r="E1883">
        <v>60</v>
      </c>
      <c r="F1883" t="s">
        <v>33</v>
      </c>
      <c r="G1883" t="s">
        <v>63</v>
      </c>
      <c r="H1883" t="s">
        <v>58</v>
      </c>
      <c r="I1883" t="s">
        <v>36</v>
      </c>
      <c r="J1883">
        <v>5</v>
      </c>
      <c r="K1883" s="5">
        <v>0</v>
      </c>
      <c r="L1883" s="5">
        <v>145.38999999999999</v>
      </c>
      <c r="M1883">
        <v>26</v>
      </c>
      <c r="N1883">
        <v>14</v>
      </c>
      <c r="O1883">
        <v>1</v>
      </c>
      <c r="P1883">
        <v>1</v>
      </c>
      <c r="Q1883">
        <v>22</v>
      </c>
      <c r="R1883">
        <v>0</v>
      </c>
      <c r="S1883">
        <v>0</v>
      </c>
      <c r="T1883">
        <v>1</v>
      </c>
      <c r="U1883">
        <v>1</v>
      </c>
      <c r="V1883">
        <v>0</v>
      </c>
      <c r="W1883" t="s">
        <v>45</v>
      </c>
      <c r="X1883">
        <v>40</v>
      </c>
      <c r="Y1883">
        <v>0</v>
      </c>
      <c r="Z1883">
        <f t="shared" si="174"/>
        <v>69</v>
      </c>
      <c r="AA1883">
        <f t="shared" si="175"/>
        <v>1.3714285714285714</v>
      </c>
      <c r="AB1883">
        <f t="shared" si="176"/>
        <v>0</v>
      </c>
      <c r="AC1883" t="str">
        <f t="shared" si="177"/>
        <v>Low</v>
      </c>
      <c r="AD1883" t="str">
        <f t="shared" si="178"/>
        <v>Upsell premium bundle</v>
      </c>
      <c r="AE1883">
        <f t="shared" si="179"/>
        <v>31</v>
      </c>
    </row>
    <row r="1884" spans="1:31" x14ac:dyDescent="0.35">
      <c r="A1884" t="s">
        <v>1942</v>
      </c>
      <c r="B1884" s="4">
        <v>44728</v>
      </c>
      <c r="C1884" s="4">
        <v>46143</v>
      </c>
      <c r="D1884" t="s">
        <v>39</v>
      </c>
      <c r="E1884">
        <v>60</v>
      </c>
      <c r="F1884" t="s">
        <v>77</v>
      </c>
      <c r="G1884" t="s">
        <v>67</v>
      </c>
      <c r="H1884" t="s">
        <v>41</v>
      </c>
      <c r="I1884" t="s">
        <v>36</v>
      </c>
      <c r="J1884">
        <v>47</v>
      </c>
      <c r="K1884" s="5">
        <v>7348.53</v>
      </c>
      <c r="L1884" s="5">
        <v>13035.29</v>
      </c>
      <c r="M1884">
        <v>11</v>
      </c>
      <c r="N1884">
        <v>5</v>
      </c>
      <c r="O1884">
        <v>0</v>
      </c>
      <c r="P1884">
        <v>0</v>
      </c>
      <c r="Q1884">
        <v>14</v>
      </c>
      <c r="R1884">
        <v>0</v>
      </c>
      <c r="S1884">
        <v>0</v>
      </c>
      <c r="T1884">
        <v>1</v>
      </c>
      <c r="U1884">
        <v>0</v>
      </c>
      <c r="V1884">
        <v>1</v>
      </c>
      <c r="W1884" t="s">
        <v>52</v>
      </c>
      <c r="X1884">
        <v>27</v>
      </c>
      <c r="Y1884">
        <v>1</v>
      </c>
      <c r="Z1884">
        <f t="shared" si="174"/>
        <v>35</v>
      </c>
      <c r="AA1884">
        <f t="shared" si="175"/>
        <v>0.32467532467532467</v>
      </c>
      <c r="AB1884">
        <f t="shared" si="176"/>
        <v>21</v>
      </c>
      <c r="AC1884" t="str">
        <f t="shared" si="177"/>
        <v>Low</v>
      </c>
      <c r="AD1884" t="str">
        <f t="shared" si="178"/>
        <v>Upsell premium bundle</v>
      </c>
      <c r="AE1884">
        <f t="shared" si="179"/>
        <v>65</v>
      </c>
    </row>
    <row r="1885" spans="1:31" x14ac:dyDescent="0.35">
      <c r="A1885" t="s">
        <v>1943</v>
      </c>
      <c r="B1885" s="4">
        <v>45122</v>
      </c>
      <c r="C1885" s="4">
        <v>46143</v>
      </c>
      <c r="D1885" t="s">
        <v>60</v>
      </c>
      <c r="E1885">
        <v>46</v>
      </c>
      <c r="F1885" t="s">
        <v>57</v>
      </c>
      <c r="G1885" t="s">
        <v>40</v>
      </c>
      <c r="H1885" t="s">
        <v>41</v>
      </c>
      <c r="I1885" t="s">
        <v>36</v>
      </c>
      <c r="J1885">
        <v>34</v>
      </c>
      <c r="K1885" s="5">
        <v>1190.77</v>
      </c>
      <c r="L1885" s="5">
        <v>400.98</v>
      </c>
      <c r="M1885">
        <v>19</v>
      </c>
      <c r="N1885">
        <v>8</v>
      </c>
      <c r="O1885">
        <v>2</v>
      </c>
      <c r="P1885">
        <v>0</v>
      </c>
      <c r="Q1885">
        <v>12</v>
      </c>
      <c r="R1885">
        <v>2</v>
      </c>
      <c r="S1885">
        <v>0</v>
      </c>
      <c r="T1885">
        <v>1</v>
      </c>
      <c r="U1885">
        <v>1</v>
      </c>
      <c r="V1885">
        <v>0</v>
      </c>
      <c r="W1885" t="s">
        <v>55</v>
      </c>
      <c r="X1885">
        <v>46</v>
      </c>
      <c r="Y1885">
        <v>0</v>
      </c>
      <c r="Z1885">
        <f t="shared" si="174"/>
        <v>48</v>
      </c>
      <c r="AA1885">
        <f t="shared" si="175"/>
        <v>0.484375</v>
      </c>
      <c r="AB1885">
        <f t="shared" si="176"/>
        <v>13</v>
      </c>
      <c r="AC1885" t="str">
        <f t="shared" si="177"/>
        <v>Low</v>
      </c>
      <c r="AD1885" t="str">
        <f t="shared" si="178"/>
        <v>Upsell premium bundle</v>
      </c>
      <c r="AE1885">
        <f t="shared" si="179"/>
        <v>52</v>
      </c>
    </row>
    <row r="1886" spans="1:31" x14ac:dyDescent="0.35">
      <c r="A1886" t="s">
        <v>1944</v>
      </c>
      <c r="B1886" s="4">
        <v>45612</v>
      </c>
      <c r="C1886" s="4">
        <v>46143</v>
      </c>
      <c r="D1886" t="s">
        <v>39</v>
      </c>
      <c r="E1886">
        <v>65</v>
      </c>
      <c r="F1886" t="s">
        <v>33</v>
      </c>
      <c r="G1886" t="s">
        <v>40</v>
      </c>
      <c r="H1886" t="s">
        <v>58</v>
      </c>
      <c r="I1886" t="s">
        <v>49</v>
      </c>
      <c r="J1886">
        <v>17</v>
      </c>
      <c r="K1886" s="5">
        <v>446.42</v>
      </c>
      <c r="L1886" s="5">
        <v>249.22</v>
      </c>
      <c r="M1886">
        <v>37</v>
      </c>
      <c r="N1886">
        <v>19</v>
      </c>
      <c r="O1886">
        <v>2</v>
      </c>
      <c r="P1886">
        <v>0</v>
      </c>
      <c r="Q1886">
        <v>31</v>
      </c>
      <c r="R1886">
        <v>0</v>
      </c>
      <c r="S1886">
        <v>1</v>
      </c>
      <c r="T1886">
        <v>0</v>
      </c>
      <c r="U1886">
        <v>0</v>
      </c>
      <c r="V1886">
        <v>0</v>
      </c>
      <c r="W1886" t="s">
        <v>52</v>
      </c>
      <c r="X1886">
        <v>45</v>
      </c>
      <c r="Y1886">
        <v>0</v>
      </c>
      <c r="Z1886">
        <f t="shared" si="174"/>
        <v>84</v>
      </c>
      <c r="AA1886">
        <f t="shared" si="175"/>
        <v>1.446808510638298</v>
      </c>
      <c r="AB1886">
        <f t="shared" si="176"/>
        <v>16</v>
      </c>
      <c r="AC1886" t="str">
        <f t="shared" si="177"/>
        <v>Low</v>
      </c>
      <c r="AD1886" t="str">
        <f t="shared" si="178"/>
        <v>Upsell premium bundle</v>
      </c>
      <c r="AE1886">
        <f t="shared" si="179"/>
        <v>16</v>
      </c>
    </row>
    <row r="1887" spans="1:31" x14ac:dyDescent="0.35">
      <c r="A1887" t="s">
        <v>1945</v>
      </c>
      <c r="B1887" s="4">
        <v>44922</v>
      </c>
      <c r="C1887" s="4">
        <v>46143</v>
      </c>
      <c r="D1887" t="s">
        <v>39</v>
      </c>
      <c r="E1887">
        <v>63</v>
      </c>
      <c r="F1887" t="s">
        <v>77</v>
      </c>
      <c r="G1887" t="s">
        <v>34</v>
      </c>
      <c r="H1887" t="s">
        <v>41</v>
      </c>
      <c r="I1887" t="s">
        <v>36</v>
      </c>
      <c r="J1887">
        <v>40</v>
      </c>
      <c r="K1887" s="5">
        <v>2685.86</v>
      </c>
      <c r="L1887" s="5">
        <v>5401.44</v>
      </c>
      <c r="M1887">
        <v>8</v>
      </c>
      <c r="N1887">
        <v>5</v>
      </c>
      <c r="O1887">
        <v>1</v>
      </c>
      <c r="P1887">
        <v>1</v>
      </c>
      <c r="Q1887">
        <v>6</v>
      </c>
      <c r="R1887">
        <v>0</v>
      </c>
      <c r="S1887">
        <v>0</v>
      </c>
      <c r="T1887">
        <v>0</v>
      </c>
      <c r="U1887">
        <v>0</v>
      </c>
      <c r="V1887">
        <v>1</v>
      </c>
      <c r="W1887" t="s">
        <v>50</v>
      </c>
      <c r="X1887">
        <v>-5</v>
      </c>
      <c r="Y1887">
        <v>0</v>
      </c>
      <c r="Z1887">
        <f t="shared" si="174"/>
        <v>27</v>
      </c>
      <c r="AA1887">
        <f t="shared" si="175"/>
        <v>0.2</v>
      </c>
      <c r="AB1887">
        <f t="shared" si="176"/>
        <v>40</v>
      </c>
      <c r="AC1887" t="str">
        <f t="shared" si="177"/>
        <v>Medium</v>
      </c>
      <c r="AD1887" t="str">
        <f t="shared" si="178"/>
        <v>Nudge core feature adoption</v>
      </c>
      <c r="AE1887">
        <f t="shared" si="179"/>
        <v>73</v>
      </c>
    </row>
    <row r="1888" spans="1:31" x14ac:dyDescent="0.35">
      <c r="A1888" t="s">
        <v>1946</v>
      </c>
      <c r="B1888" s="4">
        <v>44891</v>
      </c>
      <c r="C1888" s="4">
        <v>46143</v>
      </c>
      <c r="D1888" t="s">
        <v>47</v>
      </c>
      <c r="E1888">
        <v>62</v>
      </c>
      <c r="F1888" t="s">
        <v>33</v>
      </c>
      <c r="G1888" t="s">
        <v>85</v>
      </c>
      <c r="H1888" t="s">
        <v>41</v>
      </c>
      <c r="I1888" t="s">
        <v>36</v>
      </c>
      <c r="J1888">
        <v>41</v>
      </c>
      <c r="K1888" s="5">
        <v>226.64</v>
      </c>
      <c r="L1888" s="5">
        <v>0</v>
      </c>
      <c r="M1888">
        <v>31</v>
      </c>
      <c r="N1888">
        <v>22</v>
      </c>
      <c r="O1888">
        <v>5</v>
      </c>
      <c r="P1888">
        <v>1</v>
      </c>
      <c r="Q1888">
        <v>17</v>
      </c>
      <c r="R1888">
        <v>0</v>
      </c>
      <c r="S1888">
        <v>1</v>
      </c>
      <c r="T1888">
        <v>1</v>
      </c>
      <c r="U1888">
        <v>0</v>
      </c>
      <c r="V1888">
        <v>1</v>
      </c>
      <c r="W1888" t="s">
        <v>50</v>
      </c>
      <c r="X1888">
        <v>76</v>
      </c>
      <c r="Y1888">
        <v>0</v>
      </c>
      <c r="Z1888">
        <f t="shared" si="174"/>
        <v>79</v>
      </c>
      <c r="AA1888">
        <f t="shared" si="175"/>
        <v>0.676056338028169</v>
      </c>
      <c r="AB1888">
        <f t="shared" si="176"/>
        <v>0</v>
      </c>
      <c r="AC1888" t="str">
        <f t="shared" si="177"/>
        <v>Low</v>
      </c>
      <c r="AD1888" t="str">
        <f t="shared" si="178"/>
        <v>Upsell premium bundle</v>
      </c>
      <c r="AE1888">
        <f t="shared" si="179"/>
        <v>21</v>
      </c>
    </row>
    <row r="1889" spans="1:31" x14ac:dyDescent="0.35">
      <c r="A1889" t="s">
        <v>1947</v>
      </c>
      <c r="B1889" s="4">
        <v>45726</v>
      </c>
      <c r="C1889" s="4">
        <v>46143</v>
      </c>
      <c r="D1889" t="s">
        <v>32</v>
      </c>
      <c r="E1889">
        <v>23</v>
      </c>
      <c r="F1889" t="s">
        <v>43</v>
      </c>
      <c r="G1889" t="s">
        <v>34</v>
      </c>
      <c r="H1889" t="s">
        <v>41</v>
      </c>
      <c r="I1889" t="s">
        <v>36</v>
      </c>
      <c r="J1889">
        <v>13</v>
      </c>
      <c r="K1889" s="5">
        <v>118.91</v>
      </c>
      <c r="L1889" s="5">
        <v>44.78</v>
      </c>
      <c r="M1889">
        <v>3</v>
      </c>
      <c r="N1889">
        <v>0</v>
      </c>
      <c r="O1889">
        <v>0</v>
      </c>
      <c r="P1889">
        <v>0</v>
      </c>
      <c r="Q1889">
        <v>9</v>
      </c>
      <c r="R1889">
        <v>1</v>
      </c>
      <c r="S1889">
        <v>0</v>
      </c>
      <c r="T1889">
        <v>0</v>
      </c>
      <c r="U1889">
        <v>0</v>
      </c>
      <c r="V1889">
        <v>0</v>
      </c>
      <c r="W1889" t="s">
        <v>55</v>
      </c>
      <c r="X1889">
        <v>7</v>
      </c>
      <c r="Y1889">
        <v>1</v>
      </c>
      <c r="Z1889">
        <f t="shared" si="174"/>
        <v>11</v>
      </c>
      <c r="AA1889">
        <f t="shared" si="175"/>
        <v>0.27906976744186046</v>
      </c>
      <c r="AB1889">
        <f t="shared" si="176"/>
        <v>49</v>
      </c>
      <c r="AC1889" t="str">
        <f t="shared" si="177"/>
        <v>Medium</v>
      </c>
      <c r="AD1889" t="str">
        <f t="shared" si="178"/>
        <v>Nudge core feature adoption</v>
      </c>
      <c r="AE1889">
        <f t="shared" si="179"/>
        <v>89</v>
      </c>
    </row>
    <row r="1890" spans="1:31" x14ac:dyDescent="0.35">
      <c r="A1890" t="s">
        <v>1948</v>
      </c>
      <c r="B1890" s="4">
        <v>45985</v>
      </c>
      <c r="C1890" s="4">
        <v>46143</v>
      </c>
      <c r="D1890" t="s">
        <v>66</v>
      </c>
      <c r="E1890">
        <v>57</v>
      </c>
      <c r="F1890" t="s">
        <v>57</v>
      </c>
      <c r="G1890" t="s">
        <v>63</v>
      </c>
      <c r="H1890" t="s">
        <v>44</v>
      </c>
      <c r="I1890" t="s">
        <v>36</v>
      </c>
      <c r="J1890">
        <v>5</v>
      </c>
      <c r="K1890" s="5">
        <v>682.24</v>
      </c>
      <c r="L1890" s="5">
        <v>838.33</v>
      </c>
      <c r="M1890">
        <v>37</v>
      </c>
      <c r="N1890">
        <v>12</v>
      </c>
      <c r="O1890">
        <v>3</v>
      </c>
      <c r="P1890">
        <v>3</v>
      </c>
      <c r="Q1890">
        <v>33</v>
      </c>
      <c r="R1890">
        <v>3</v>
      </c>
      <c r="S1890">
        <v>2</v>
      </c>
      <c r="T1890">
        <v>1</v>
      </c>
      <c r="U1890">
        <v>0</v>
      </c>
      <c r="V1890">
        <v>0</v>
      </c>
      <c r="W1890" t="s">
        <v>45</v>
      </c>
      <c r="X1890">
        <v>-20</v>
      </c>
      <c r="Y1890">
        <v>1</v>
      </c>
      <c r="Z1890">
        <f t="shared" si="174"/>
        <v>87</v>
      </c>
      <c r="AA1890">
        <f t="shared" si="175"/>
        <v>2</v>
      </c>
      <c r="AB1890">
        <f t="shared" si="176"/>
        <v>35</v>
      </c>
      <c r="AC1890" t="str">
        <f t="shared" si="177"/>
        <v>Low</v>
      </c>
      <c r="AD1890" t="str">
        <f t="shared" si="178"/>
        <v>Upsell premium bundle</v>
      </c>
      <c r="AE1890">
        <f t="shared" si="179"/>
        <v>13</v>
      </c>
    </row>
    <row r="1891" spans="1:31" x14ac:dyDescent="0.35">
      <c r="A1891" t="s">
        <v>1949</v>
      </c>
      <c r="B1891" s="4">
        <v>46057</v>
      </c>
      <c r="C1891" s="4">
        <v>46143</v>
      </c>
      <c r="D1891" t="s">
        <v>32</v>
      </c>
      <c r="E1891">
        <v>26</v>
      </c>
      <c r="F1891" t="s">
        <v>33</v>
      </c>
      <c r="G1891" t="s">
        <v>85</v>
      </c>
      <c r="H1891" t="s">
        <v>58</v>
      </c>
      <c r="I1891" t="s">
        <v>36</v>
      </c>
      <c r="J1891">
        <v>2</v>
      </c>
      <c r="K1891" s="5">
        <v>620.45000000000005</v>
      </c>
      <c r="L1891" s="5">
        <v>0</v>
      </c>
      <c r="M1891">
        <v>39</v>
      </c>
      <c r="N1891">
        <v>9</v>
      </c>
      <c r="O1891">
        <v>3</v>
      </c>
      <c r="P1891">
        <v>4</v>
      </c>
      <c r="Q1891">
        <v>26</v>
      </c>
      <c r="R1891">
        <v>2</v>
      </c>
      <c r="S1891">
        <v>0</v>
      </c>
      <c r="T1891">
        <v>0</v>
      </c>
      <c r="U1891">
        <v>1</v>
      </c>
      <c r="V1891">
        <v>0</v>
      </c>
      <c r="W1891" t="s">
        <v>52</v>
      </c>
      <c r="X1891">
        <v>40</v>
      </c>
      <c r="Y1891">
        <v>0</v>
      </c>
      <c r="Z1891">
        <f t="shared" si="174"/>
        <v>90</v>
      </c>
      <c r="AA1891">
        <f t="shared" si="175"/>
        <v>2.03125</v>
      </c>
      <c r="AB1891">
        <f t="shared" si="176"/>
        <v>0</v>
      </c>
      <c r="AC1891" t="str">
        <f t="shared" si="177"/>
        <v>Low</v>
      </c>
      <c r="AD1891" t="str">
        <f t="shared" si="178"/>
        <v>Upsell premium bundle</v>
      </c>
      <c r="AE1891">
        <f t="shared" si="179"/>
        <v>10</v>
      </c>
    </row>
    <row r="1892" spans="1:31" x14ac:dyDescent="0.35">
      <c r="A1892" t="s">
        <v>1950</v>
      </c>
      <c r="B1892" s="4">
        <v>45673</v>
      </c>
      <c r="C1892" s="4">
        <v>46143</v>
      </c>
      <c r="D1892" t="s">
        <v>39</v>
      </c>
      <c r="E1892">
        <v>31</v>
      </c>
      <c r="F1892" t="s">
        <v>43</v>
      </c>
      <c r="G1892" t="s">
        <v>85</v>
      </c>
      <c r="H1892" t="s">
        <v>58</v>
      </c>
      <c r="I1892" t="s">
        <v>36</v>
      </c>
      <c r="J1892">
        <v>15</v>
      </c>
      <c r="K1892" s="5">
        <v>76.239999999999995</v>
      </c>
      <c r="L1892" s="5">
        <v>40.85</v>
      </c>
      <c r="M1892">
        <v>21</v>
      </c>
      <c r="N1892">
        <v>13</v>
      </c>
      <c r="O1892">
        <v>4</v>
      </c>
      <c r="P1892">
        <v>2</v>
      </c>
      <c r="Q1892">
        <v>17</v>
      </c>
      <c r="R1892">
        <v>2</v>
      </c>
      <c r="S1892">
        <v>0</v>
      </c>
      <c r="T1892">
        <v>1</v>
      </c>
      <c r="U1892">
        <v>0</v>
      </c>
      <c r="V1892">
        <v>0</v>
      </c>
      <c r="W1892" t="s">
        <v>37</v>
      </c>
      <c r="X1892">
        <v>47</v>
      </c>
      <c r="Y1892">
        <v>0</v>
      </c>
      <c r="Z1892">
        <f t="shared" si="174"/>
        <v>55</v>
      </c>
      <c r="AA1892">
        <f t="shared" si="175"/>
        <v>0.84444444444444444</v>
      </c>
      <c r="AB1892">
        <f t="shared" si="176"/>
        <v>0</v>
      </c>
      <c r="AC1892" t="str">
        <f t="shared" si="177"/>
        <v>Low</v>
      </c>
      <c r="AD1892" t="str">
        <f t="shared" si="178"/>
        <v>Upsell premium bundle</v>
      </c>
      <c r="AE1892">
        <f t="shared" si="179"/>
        <v>45</v>
      </c>
    </row>
    <row r="1893" spans="1:31" x14ac:dyDescent="0.35">
      <c r="A1893" t="s">
        <v>1951</v>
      </c>
      <c r="B1893" s="4">
        <v>45556</v>
      </c>
      <c r="C1893" s="4">
        <v>46143</v>
      </c>
      <c r="D1893" t="s">
        <v>32</v>
      </c>
      <c r="E1893">
        <v>20</v>
      </c>
      <c r="F1893" t="s">
        <v>33</v>
      </c>
      <c r="G1893" t="s">
        <v>40</v>
      </c>
      <c r="H1893" t="s">
        <v>41</v>
      </c>
      <c r="I1893" t="s">
        <v>36</v>
      </c>
      <c r="J1893">
        <v>19</v>
      </c>
      <c r="K1893" s="5">
        <v>341.56</v>
      </c>
      <c r="L1893" s="5">
        <v>87.93</v>
      </c>
      <c r="M1893">
        <v>12</v>
      </c>
      <c r="N1893">
        <v>7</v>
      </c>
      <c r="O1893">
        <v>2</v>
      </c>
      <c r="P1893">
        <v>0</v>
      </c>
      <c r="Q1893">
        <v>11</v>
      </c>
      <c r="R1893">
        <v>2</v>
      </c>
      <c r="S1893">
        <v>0</v>
      </c>
      <c r="T1893">
        <v>1</v>
      </c>
      <c r="U1893">
        <v>0</v>
      </c>
      <c r="V1893">
        <v>1</v>
      </c>
      <c r="W1893" t="s">
        <v>45</v>
      </c>
      <c r="X1893">
        <v>52</v>
      </c>
      <c r="Y1893">
        <v>1</v>
      </c>
      <c r="Z1893">
        <f t="shared" si="174"/>
        <v>37</v>
      </c>
      <c r="AA1893">
        <f t="shared" si="175"/>
        <v>0.46938775510204084</v>
      </c>
      <c r="AB1893">
        <f t="shared" si="176"/>
        <v>14</v>
      </c>
      <c r="AC1893" t="str">
        <f t="shared" si="177"/>
        <v>Low</v>
      </c>
      <c r="AD1893" t="str">
        <f t="shared" si="178"/>
        <v>Upsell premium bundle</v>
      </c>
      <c r="AE1893">
        <f t="shared" si="179"/>
        <v>63</v>
      </c>
    </row>
    <row r="1894" spans="1:31" x14ac:dyDescent="0.35">
      <c r="A1894" t="s">
        <v>1952</v>
      </c>
      <c r="B1894" s="4">
        <v>45613</v>
      </c>
      <c r="C1894" s="4">
        <v>46143</v>
      </c>
      <c r="D1894" t="s">
        <v>32</v>
      </c>
      <c r="E1894">
        <v>70</v>
      </c>
      <c r="F1894" t="s">
        <v>33</v>
      </c>
      <c r="G1894" t="s">
        <v>85</v>
      </c>
      <c r="H1894" t="s">
        <v>41</v>
      </c>
      <c r="I1894" t="s">
        <v>36</v>
      </c>
      <c r="J1894">
        <v>17</v>
      </c>
      <c r="K1894" s="5">
        <v>457.17</v>
      </c>
      <c r="L1894" s="5">
        <v>284.99</v>
      </c>
      <c r="M1894">
        <v>40</v>
      </c>
      <c r="N1894">
        <v>25</v>
      </c>
      <c r="O1894">
        <v>7</v>
      </c>
      <c r="P1894">
        <v>7</v>
      </c>
      <c r="Q1894">
        <v>22</v>
      </c>
      <c r="R1894">
        <v>4</v>
      </c>
      <c r="S1894">
        <v>3</v>
      </c>
      <c r="T1894">
        <v>1</v>
      </c>
      <c r="U1894">
        <v>0</v>
      </c>
      <c r="V1894">
        <v>1</v>
      </c>
      <c r="W1894" t="s">
        <v>45</v>
      </c>
      <c r="X1894">
        <v>-28</v>
      </c>
      <c r="Y1894">
        <v>1</v>
      </c>
      <c r="Z1894">
        <f t="shared" si="174"/>
        <v>100</v>
      </c>
      <c r="AA1894">
        <f t="shared" si="175"/>
        <v>1.3191489361702127</v>
      </c>
      <c r="AB1894">
        <f t="shared" si="176"/>
        <v>50</v>
      </c>
      <c r="AC1894" t="str">
        <f t="shared" si="177"/>
        <v>Medium</v>
      </c>
      <c r="AD1894" t="str">
        <f t="shared" si="178"/>
        <v>Nudge core feature adoption</v>
      </c>
      <c r="AE1894">
        <f t="shared" si="179"/>
        <v>0</v>
      </c>
    </row>
    <row r="1895" spans="1:31" x14ac:dyDescent="0.35">
      <c r="A1895" t="s">
        <v>1953</v>
      </c>
      <c r="B1895" s="4">
        <v>45170</v>
      </c>
      <c r="C1895" s="4">
        <v>46143</v>
      </c>
      <c r="D1895" t="s">
        <v>47</v>
      </c>
      <c r="E1895">
        <v>32</v>
      </c>
      <c r="F1895" t="s">
        <v>57</v>
      </c>
      <c r="G1895" t="s">
        <v>63</v>
      </c>
      <c r="H1895" t="s">
        <v>41</v>
      </c>
      <c r="I1895" t="s">
        <v>36</v>
      </c>
      <c r="J1895">
        <v>32</v>
      </c>
      <c r="K1895" s="5">
        <v>546.96</v>
      </c>
      <c r="L1895" s="5">
        <v>1163.8800000000001</v>
      </c>
      <c r="M1895">
        <v>31</v>
      </c>
      <c r="N1895">
        <v>13</v>
      </c>
      <c r="O1895">
        <v>6</v>
      </c>
      <c r="P1895">
        <v>0</v>
      </c>
      <c r="Q1895">
        <v>23</v>
      </c>
      <c r="R1895">
        <v>0</v>
      </c>
      <c r="S1895">
        <v>0</v>
      </c>
      <c r="T1895">
        <v>1</v>
      </c>
      <c r="U1895">
        <v>0</v>
      </c>
      <c r="V1895">
        <v>1</v>
      </c>
      <c r="W1895" t="s">
        <v>37</v>
      </c>
      <c r="X1895">
        <v>89</v>
      </c>
      <c r="Y1895">
        <v>0</v>
      </c>
      <c r="Z1895">
        <f t="shared" si="174"/>
        <v>78</v>
      </c>
      <c r="AA1895">
        <f t="shared" si="175"/>
        <v>0.87096774193548387</v>
      </c>
      <c r="AB1895">
        <f t="shared" si="176"/>
        <v>0</v>
      </c>
      <c r="AC1895" t="str">
        <f t="shared" si="177"/>
        <v>Low</v>
      </c>
      <c r="AD1895" t="str">
        <f t="shared" si="178"/>
        <v>Upsell premium bundle</v>
      </c>
      <c r="AE1895">
        <f t="shared" si="179"/>
        <v>22</v>
      </c>
    </row>
    <row r="1896" spans="1:31" x14ac:dyDescent="0.35">
      <c r="A1896" t="s">
        <v>1954</v>
      </c>
      <c r="B1896" s="4">
        <v>45046</v>
      </c>
      <c r="C1896" s="4">
        <v>46143</v>
      </c>
      <c r="D1896" t="s">
        <v>47</v>
      </c>
      <c r="E1896">
        <v>54</v>
      </c>
      <c r="F1896" t="s">
        <v>57</v>
      </c>
      <c r="G1896" t="s">
        <v>40</v>
      </c>
      <c r="H1896" t="s">
        <v>41</v>
      </c>
      <c r="I1896" t="s">
        <v>36</v>
      </c>
      <c r="J1896">
        <v>36</v>
      </c>
      <c r="K1896" s="5">
        <v>2061.5100000000002</v>
      </c>
      <c r="L1896" s="5">
        <v>1196.29</v>
      </c>
      <c r="M1896">
        <v>15</v>
      </c>
      <c r="N1896">
        <v>6</v>
      </c>
      <c r="O1896">
        <v>3</v>
      </c>
      <c r="P1896">
        <v>0</v>
      </c>
      <c r="Q1896">
        <v>22</v>
      </c>
      <c r="R1896">
        <v>1</v>
      </c>
      <c r="S1896">
        <v>0</v>
      </c>
      <c r="T1896">
        <v>0</v>
      </c>
      <c r="U1896">
        <v>1</v>
      </c>
      <c r="V1896">
        <v>0</v>
      </c>
      <c r="W1896" t="s">
        <v>45</v>
      </c>
      <c r="X1896">
        <v>0</v>
      </c>
      <c r="Y1896">
        <v>1</v>
      </c>
      <c r="Z1896">
        <f t="shared" si="174"/>
        <v>52</v>
      </c>
      <c r="AA1896">
        <f t="shared" si="175"/>
        <v>0.56060606060606055</v>
      </c>
      <c r="AB1896">
        <f t="shared" si="176"/>
        <v>36</v>
      </c>
      <c r="AC1896" t="str">
        <f t="shared" si="177"/>
        <v>Low</v>
      </c>
      <c r="AD1896" t="str">
        <f t="shared" si="178"/>
        <v>Upsell premium bundle</v>
      </c>
      <c r="AE1896">
        <f t="shared" si="179"/>
        <v>48</v>
      </c>
    </row>
    <row r="1897" spans="1:31" x14ac:dyDescent="0.35">
      <c r="A1897" t="s">
        <v>1955</v>
      </c>
      <c r="B1897" s="4">
        <v>45483</v>
      </c>
      <c r="C1897" s="4">
        <v>46143</v>
      </c>
      <c r="D1897" t="s">
        <v>72</v>
      </c>
      <c r="E1897">
        <v>64</v>
      </c>
      <c r="F1897" t="s">
        <v>43</v>
      </c>
      <c r="G1897" t="s">
        <v>40</v>
      </c>
      <c r="H1897" t="s">
        <v>41</v>
      </c>
      <c r="I1897" t="s">
        <v>36</v>
      </c>
      <c r="J1897">
        <v>22</v>
      </c>
      <c r="K1897" s="5">
        <v>145.62</v>
      </c>
      <c r="L1897" s="5">
        <v>64.099999999999994</v>
      </c>
      <c r="M1897">
        <v>22</v>
      </c>
      <c r="N1897">
        <v>10</v>
      </c>
      <c r="O1897">
        <v>1</v>
      </c>
      <c r="P1897">
        <v>0</v>
      </c>
      <c r="Q1897">
        <v>17</v>
      </c>
      <c r="R1897">
        <v>0</v>
      </c>
      <c r="S1897">
        <v>0</v>
      </c>
      <c r="T1897">
        <v>0</v>
      </c>
      <c r="U1897">
        <v>0</v>
      </c>
      <c r="V1897">
        <v>1</v>
      </c>
      <c r="W1897" t="s">
        <v>52</v>
      </c>
      <c r="X1897">
        <v>20</v>
      </c>
      <c r="Y1897">
        <v>0</v>
      </c>
      <c r="Z1897">
        <f t="shared" si="174"/>
        <v>55</v>
      </c>
      <c r="AA1897">
        <f t="shared" si="175"/>
        <v>0.75</v>
      </c>
      <c r="AB1897">
        <f t="shared" si="176"/>
        <v>26</v>
      </c>
      <c r="AC1897" t="str">
        <f t="shared" si="177"/>
        <v>Low</v>
      </c>
      <c r="AD1897" t="str">
        <f t="shared" si="178"/>
        <v>Upsell premium bundle</v>
      </c>
      <c r="AE1897">
        <f t="shared" si="179"/>
        <v>45</v>
      </c>
    </row>
    <row r="1898" spans="1:31" x14ac:dyDescent="0.35">
      <c r="A1898" t="s">
        <v>1956</v>
      </c>
      <c r="B1898" s="4">
        <v>45294</v>
      </c>
      <c r="C1898" s="4">
        <v>46143</v>
      </c>
      <c r="D1898" t="s">
        <v>47</v>
      </c>
      <c r="E1898">
        <v>34</v>
      </c>
      <c r="F1898" t="s">
        <v>57</v>
      </c>
      <c r="G1898" t="s">
        <v>48</v>
      </c>
      <c r="H1898" t="s">
        <v>41</v>
      </c>
      <c r="I1898" t="s">
        <v>49</v>
      </c>
      <c r="J1898">
        <v>28</v>
      </c>
      <c r="K1898" s="5">
        <v>933.94</v>
      </c>
      <c r="L1898" s="5">
        <v>1131.1099999999999</v>
      </c>
      <c r="M1898">
        <v>14</v>
      </c>
      <c r="N1898">
        <v>9</v>
      </c>
      <c r="O1898">
        <v>4</v>
      </c>
      <c r="P1898">
        <v>0</v>
      </c>
      <c r="Q1898">
        <v>14</v>
      </c>
      <c r="R1898">
        <v>0</v>
      </c>
      <c r="S1898">
        <v>2</v>
      </c>
      <c r="T1898">
        <v>1</v>
      </c>
      <c r="U1898">
        <v>0</v>
      </c>
      <c r="V1898">
        <v>0</v>
      </c>
      <c r="W1898" t="s">
        <v>45</v>
      </c>
      <c r="X1898">
        <v>-67</v>
      </c>
      <c r="Y1898">
        <v>1</v>
      </c>
      <c r="Z1898">
        <f t="shared" si="174"/>
        <v>39</v>
      </c>
      <c r="AA1898">
        <f t="shared" si="175"/>
        <v>0.48275862068965519</v>
      </c>
      <c r="AB1898">
        <f t="shared" si="176"/>
        <v>100</v>
      </c>
      <c r="AC1898" t="str">
        <f t="shared" si="177"/>
        <v>High</v>
      </c>
      <c r="AD1898" t="str">
        <f t="shared" si="178"/>
        <v>Retention call</v>
      </c>
      <c r="AE1898">
        <f t="shared" si="179"/>
        <v>61</v>
      </c>
    </row>
    <row r="1899" spans="1:31" x14ac:dyDescent="0.35">
      <c r="A1899" t="s">
        <v>1957</v>
      </c>
      <c r="B1899" s="4">
        <v>44922</v>
      </c>
      <c r="C1899" s="4">
        <v>46143</v>
      </c>
      <c r="D1899" t="s">
        <v>47</v>
      </c>
      <c r="E1899">
        <v>58</v>
      </c>
      <c r="F1899" t="s">
        <v>33</v>
      </c>
      <c r="G1899" t="s">
        <v>40</v>
      </c>
      <c r="H1899" t="s">
        <v>44</v>
      </c>
      <c r="I1899" t="s">
        <v>36</v>
      </c>
      <c r="J1899">
        <v>40</v>
      </c>
      <c r="K1899" s="5">
        <v>295.42</v>
      </c>
      <c r="L1899" s="5">
        <v>203.16</v>
      </c>
      <c r="M1899">
        <v>30</v>
      </c>
      <c r="N1899">
        <v>11</v>
      </c>
      <c r="O1899">
        <v>8</v>
      </c>
      <c r="P1899">
        <v>1</v>
      </c>
      <c r="Q1899">
        <v>18</v>
      </c>
      <c r="R1899">
        <v>2</v>
      </c>
      <c r="S1899">
        <v>1</v>
      </c>
      <c r="T1899">
        <v>1</v>
      </c>
      <c r="U1899">
        <v>1</v>
      </c>
      <c r="V1899">
        <v>0</v>
      </c>
      <c r="W1899" t="s">
        <v>50</v>
      </c>
      <c r="X1899">
        <v>16</v>
      </c>
      <c r="Y1899">
        <v>1</v>
      </c>
      <c r="Z1899">
        <f t="shared" si="174"/>
        <v>76</v>
      </c>
      <c r="AA1899">
        <f t="shared" si="175"/>
        <v>0.68571428571428572</v>
      </c>
      <c r="AB1899">
        <f t="shared" si="176"/>
        <v>15</v>
      </c>
      <c r="AC1899" t="str">
        <f t="shared" si="177"/>
        <v>Low</v>
      </c>
      <c r="AD1899" t="str">
        <f t="shared" si="178"/>
        <v>Upsell premium bundle</v>
      </c>
      <c r="AE1899">
        <f t="shared" si="179"/>
        <v>24</v>
      </c>
    </row>
    <row r="1900" spans="1:31" x14ac:dyDescent="0.35">
      <c r="A1900" t="s">
        <v>1958</v>
      </c>
      <c r="B1900" s="4">
        <v>44875</v>
      </c>
      <c r="C1900" s="4">
        <v>46143</v>
      </c>
      <c r="D1900" t="s">
        <v>47</v>
      </c>
      <c r="E1900">
        <v>51</v>
      </c>
      <c r="F1900" t="s">
        <v>33</v>
      </c>
      <c r="G1900" t="s">
        <v>85</v>
      </c>
      <c r="H1900" t="s">
        <v>41</v>
      </c>
      <c r="I1900" t="s">
        <v>36</v>
      </c>
      <c r="J1900">
        <v>42</v>
      </c>
      <c r="K1900" s="5">
        <v>365.45</v>
      </c>
      <c r="L1900" s="5">
        <v>374.35</v>
      </c>
      <c r="M1900">
        <v>40</v>
      </c>
      <c r="N1900">
        <v>20</v>
      </c>
      <c r="O1900">
        <v>9</v>
      </c>
      <c r="P1900">
        <v>4</v>
      </c>
      <c r="Q1900">
        <v>29</v>
      </c>
      <c r="R1900">
        <v>2</v>
      </c>
      <c r="S1900">
        <v>0</v>
      </c>
      <c r="T1900">
        <v>1</v>
      </c>
      <c r="U1900">
        <v>0</v>
      </c>
      <c r="V1900">
        <v>0</v>
      </c>
      <c r="W1900" t="s">
        <v>37</v>
      </c>
      <c r="X1900">
        <v>11</v>
      </c>
      <c r="Y1900">
        <v>0</v>
      </c>
      <c r="Z1900">
        <f t="shared" si="174"/>
        <v>100</v>
      </c>
      <c r="AA1900">
        <f t="shared" si="175"/>
        <v>0.95833333333333337</v>
      </c>
      <c r="AB1900">
        <f t="shared" si="176"/>
        <v>10</v>
      </c>
      <c r="AC1900" t="str">
        <f t="shared" si="177"/>
        <v>Low</v>
      </c>
      <c r="AD1900" t="str">
        <f t="shared" si="178"/>
        <v>Upsell premium bundle</v>
      </c>
      <c r="AE1900">
        <f t="shared" si="179"/>
        <v>0</v>
      </c>
    </row>
    <row r="1901" spans="1:31" x14ac:dyDescent="0.35">
      <c r="A1901" t="s">
        <v>1959</v>
      </c>
      <c r="B1901" s="4">
        <v>45844</v>
      </c>
      <c r="C1901" s="4">
        <v>46143</v>
      </c>
      <c r="D1901" t="s">
        <v>72</v>
      </c>
      <c r="E1901">
        <v>51</v>
      </c>
      <c r="F1901" t="s">
        <v>33</v>
      </c>
      <c r="G1901" t="s">
        <v>48</v>
      </c>
      <c r="H1901" t="s">
        <v>44</v>
      </c>
      <c r="I1901" t="s">
        <v>36</v>
      </c>
      <c r="J1901">
        <v>9</v>
      </c>
      <c r="K1901" s="5">
        <v>546</v>
      </c>
      <c r="L1901" s="5">
        <v>446.19</v>
      </c>
      <c r="M1901">
        <v>38</v>
      </c>
      <c r="N1901">
        <v>9</v>
      </c>
      <c r="O1901">
        <v>7</v>
      </c>
      <c r="P1901">
        <v>2</v>
      </c>
      <c r="Q1901">
        <v>21</v>
      </c>
      <c r="R1901">
        <v>0</v>
      </c>
      <c r="S1901">
        <v>1</v>
      </c>
      <c r="T1901">
        <v>1</v>
      </c>
      <c r="U1901">
        <v>0</v>
      </c>
      <c r="V1901">
        <v>0</v>
      </c>
      <c r="W1901" t="s">
        <v>52</v>
      </c>
      <c r="X1901">
        <v>-33</v>
      </c>
      <c r="Y1901">
        <v>0</v>
      </c>
      <c r="Z1901">
        <f t="shared" si="174"/>
        <v>78</v>
      </c>
      <c r="AA1901">
        <f t="shared" si="175"/>
        <v>1.5128205128205128</v>
      </c>
      <c r="AB1901">
        <f t="shared" si="176"/>
        <v>41</v>
      </c>
      <c r="AC1901" t="str">
        <f t="shared" si="177"/>
        <v>Medium</v>
      </c>
      <c r="AD1901" t="str">
        <f t="shared" si="178"/>
        <v>Nudge core feature adoption</v>
      </c>
      <c r="AE1901">
        <f t="shared" si="179"/>
        <v>22</v>
      </c>
    </row>
    <row r="1902" spans="1:31" x14ac:dyDescent="0.35">
      <c r="A1902" t="s">
        <v>1960</v>
      </c>
      <c r="B1902" s="4">
        <v>45167</v>
      </c>
      <c r="C1902" s="4">
        <v>46143</v>
      </c>
      <c r="D1902" t="s">
        <v>66</v>
      </c>
      <c r="E1902">
        <v>70</v>
      </c>
      <c r="F1902" t="s">
        <v>57</v>
      </c>
      <c r="G1902" t="s">
        <v>85</v>
      </c>
      <c r="H1902" t="s">
        <v>41</v>
      </c>
      <c r="I1902" t="s">
        <v>36</v>
      </c>
      <c r="J1902">
        <v>32</v>
      </c>
      <c r="K1902" s="5">
        <v>1945.94</v>
      </c>
      <c r="L1902" s="5">
        <v>758.12</v>
      </c>
      <c r="M1902">
        <v>19</v>
      </c>
      <c r="N1902">
        <v>13</v>
      </c>
      <c r="O1902">
        <v>3</v>
      </c>
      <c r="P1902">
        <v>1</v>
      </c>
      <c r="Q1902">
        <v>17</v>
      </c>
      <c r="R1902">
        <v>1</v>
      </c>
      <c r="S1902">
        <v>0</v>
      </c>
      <c r="T1902">
        <v>1</v>
      </c>
      <c r="U1902">
        <v>0</v>
      </c>
      <c r="V1902">
        <v>0</v>
      </c>
      <c r="W1902" t="s">
        <v>50</v>
      </c>
      <c r="X1902">
        <v>16</v>
      </c>
      <c r="Y1902">
        <v>0</v>
      </c>
      <c r="Z1902">
        <f t="shared" si="174"/>
        <v>50</v>
      </c>
      <c r="AA1902">
        <f t="shared" si="175"/>
        <v>0.58064516129032262</v>
      </c>
      <c r="AB1902">
        <f t="shared" si="176"/>
        <v>29</v>
      </c>
      <c r="AC1902" t="str">
        <f t="shared" si="177"/>
        <v>Low</v>
      </c>
      <c r="AD1902" t="str">
        <f t="shared" si="178"/>
        <v>Upsell premium bundle</v>
      </c>
      <c r="AE1902">
        <f t="shared" si="179"/>
        <v>50</v>
      </c>
    </row>
    <row r="1903" spans="1:31" x14ac:dyDescent="0.35">
      <c r="A1903" t="s">
        <v>1961</v>
      </c>
      <c r="B1903" s="4">
        <v>44994</v>
      </c>
      <c r="C1903" s="4">
        <v>46143</v>
      </c>
      <c r="D1903" t="s">
        <v>72</v>
      </c>
      <c r="E1903">
        <v>37</v>
      </c>
      <c r="F1903" t="s">
        <v>61</v>
      </c>
      <c r="G1903" t="s">
        <v>85</v>
      </c>
      <c r="H1903" t="s">
        <v>41</v>
      </c>
      <c r="I1903" t="s">
        <v>36</v>
      </c>
      <c r="J1903">
        <v>38</v>
      </c>
      <c r="K1903" s="5">
        <v>8546.44</v>
      </c>
      <c r="L1903" s="5">
        <v>3046.61</v>
      </c>
      <c r="M1903">
        <v>24</v>
      </c>
      <c r="N1903">
        <v>15</v>
      </c>
      <c r="O1903">
        <v>3</v>
      </c>
      <c r="P1903">
        <v>0</v>
      </c>
      <c r="Q1903">
        <v>14</v>
      </c>
      <c r="R1903">
        <v>4</v>
      </c>
      <c r="S1903">
        <v>1</v>
      </c>
      <c r="T1903">
        <v>1</v>
      </c>
      <c r="U1903">
        <v>1</v>
      </c>
      <c r="V1903">
        <v>0</v>
      </c>
      <c r="W1903" t="s">
        <v>37</v>
      </c>
      <c r="X1903">
        <v>13</v>
      </c>
      <c r="Y1903">
        <v>1</v>
      </c>
      <c r="Z1903">
        <f t="shared" si="174"/>
        <v>61</v>
      </c>
      <c r="AA1903">
        <f t="shared" si="175"/>
        <v>0.55882352941176472</v>
      </c>
      <c r="AB1903">
        <f t="shared" si="176"/>
        <v>19</v>
      </c>
      <c r="AC1903" t="str">
        <f t="shared" si="177"/>
        <v>Low</v>
      </c>
      <c r="AD1903" t="str">
        <f t="shared" si="178"/>
        <v>Upsell premium bundle</v>
      </c>
      <c r="AE1903">
        <f t="shared" si="179"/>
        <v>39</v>
      </c>
    </row>
    <row r="1904" spans="1:31" x14ac:dyDescent="0.35">
      <c r="A1904" t="s">
        <v>1962</v>
      </c>
      <c r="B1904" s="4">
        <v>45095</v>
      </c>
      <c r="C1904" s="4">
        <v>46143</v>
      </c>
      <c r="D1904" t="s">
        <v>32</v>
      </c>
      <c r="E1904">
        <v>65</v>
      </c>
      <c r="F1904" t="s">
        <v>61</v>
      </c>
      <c r="G1904" t="s">
        <v>67</v>
      </c>
      <c r="H1904" t="s">
        <v>41</v>
      </c>
      <c r="I1904" t="s">
        <v>54</v>
      </c>
      <c r="J1904">
        <v>34</v>
      </c>
      <c r="K1904" s="5">
        <v>2463.8200000000002</v>
      </c>
      <c r="L1904" s="5">
        <v>1188.17</v>
      </c>
      <c r="M1904">
        <v>25</v>
      </c>
      <c r="N1904">
        <v>12</v>
      </c>
      <c r="O1904">
        <v>3</v>
      </c>
      <c r="P1904">
        <v>1</v>
      </c>
      <c r="Q1904">
        <v>24</v>
      </c>
      <c r="R1904">
        <v>0</v>
      </c>
      <c r="S1904">
        <v>0</v>
      </c>
      <c r="T1904">
        <v>0</v>
      </c>
      <c r="U1904">
        <v>0</v>
      </c>
      <c r="V1904">
        <v>0</v>
      </c>
      <c r="W1904" t="s">
        <v>52</v>
      </c>
      <c r="X1904">
        <v>-32</v>
      </c>
      <c r="Y1904">
        <v>1</v>
      </c>
      <c r="Z1904">
        <f t="shared" si="174"/>
        <v>63</v>
      </c>
      <c r="AA1904">
        <f t="shared" si="175"/>
        <v>0.765625</v>
      </c>
      <c r="AB1904">
        <f t="shared" si="176"/>
        <v>65</v>
      </c>
      <c r="AC1904" t="str">
        <f t="shared" si="177"/>
        <v>Medium</v>
      </c>
      <c r="AD1904" t="str">
        <f t="shared" si="178"/>
        <v>Nudge core feature adoption</v>
      </c>
      <c r="AE1904">
        <f t="shared" si="179"/>
        <v>37</v>
      </c>
    </row>
    <row r="1905" spans="1:31" x14ac:dyDescent="0.35">
      <c r="A1905" t="s">
        <v>1963</v>
      </c>
      <c r="B1905" s="4">
        <v>45670</v>
      </c>
      <c r="C1905" s="4">
        <v>46143</v>
      </c>
      <c r="D1905" t="s">
        <v>66</v>
      </c>
      <c r="E1905">
        <v>56</v>
      </c>
      <c r="F1905" t="s">
        <v>33</v>
      </c>
      <c r="G1905" t="s">
        <v>85</v>
      </c>
      <c r="H1905" t="s">
        <v>41</v>
      </c>
      <c r="I1905" t="s">
        <v>36</v>
      </c>
      <c r="J1905">
        <v>15</v>
      </c>
      <c r="K1905" s="5">
        <v>276.45999999999998</v>
      </c>
      <c r="L1905" s="5">
        <v>198.38</v>
      </c>
      <c r="M1905">
        <v>41</v>
      </c>
      <c r="N1905">
        <v>10</v>
      </c>
      <c r="O1905">
        <v>3</v>
      </c>
      <c r="P1905">
        <v>7</v>
      </c>
      <c r="Q1905">
        <v>32</v>
      </c>
      <c r="R1905">
        <v>1</v>
      </c>
      <c r="S1905">
        <v>2</v>
      </c>
      <c r="T1905">
        <v>0</v>
      </c>
      <c r="U1905">
        <v>0</v>
      </c>
      <c r="V1905">
        <v>0</v>
      </c>
      <c r="W1905" t="s">
        <v>45</v>
      </c>
      <c r="X1905">
        <v>61</v>
      </c>
      <c r="Y1905">
        <v>0</v>
      </c>
      <c r="Z1905">
        <f t="shared" si="174"/>
        <v>94</v>
      </c>
      <c r="AA1905">
        <f t="shared" si="175"/>
        <v>1.6222222222222222</v>
      </c>
      <c r="AB1905">
        <f t="shared" si="176"/>
        <v>4</v>
      </c>
      <c r="AC1905" t="str">
        <f t="shared" si="177"/>
        <v>Low</v>
      </c>
      <c r="AD1905" t="str">
        <f t="shared" si="178"/>
        <v>Upsell premium bundle</v>
      </c>
      <c r="AE1905">
        <f t="shared" si="179"/>
        <v>6</v>
      </c>
    </row>
    <row r="1906" spans="1:31" x14ac:dyDescent="0.35">
      <c r="A1906" t="s">
        <v>1964</v>
      </c>
      <c r="B1906" s="4">
        <v>45474</v>
      </c>
      <c r="C1906" s="4">
        <v>46143</v>
      </c>
      <c r="D1906" t="s">
        <v>32</v>
      </c>
      <c r="E1906">
        <v>21</v>
      </c>
      <c r="F1906" t="s">
        <v>57</v>
      </c>
      <c r="G1906" t="s">
        <v>40</v>
      </c>
      <c r="H1906" t="s">
        <v>44</v>
      </c>
      <c r="I1906" t="s">
        <v>49</v>
      </c>
      <c r="J1906">
        <v>22</v>
      </c>
      <c r="K1906" s="5">
        <v>1773.95</v>
      </c>
      <c r="L1906" s="5">
        <v>0</v>
      </c>
      <c r="M1906">
        <v>34</v>
      </c>
      <c r="N1906">
        <v>24</v>
      </c>
      <c r="O1906">
        <v>6</v>
      </c>
      <c r="P1906">
        <v>2</v>
      </c>
      <c r="Q1906">
        <v>22</v>
      </c>
      <c r="R1906">
        <v>1</v>
      </c>
      <c r="S1906">
        <v>0</v>
      </c>
      <c r="T1906">
        <v>0</v>
      </c>
      <c r="U1906">
        <v>1</v>
      </c>
      <c r="V1906">
        <v>1</v>
      </c>
      <c r="W1906" t="s">
        <v>45</v>
      </c>
      <c r="X1906">
        <v>59</v>
      </c>
      <c r="Y1906">
        <v>0</v>
      </c>
      <c r="Z1906">
        <f t="shared" si="174"/>
        <v>99</v>
      </c>
      <c r="AA1906">
        <f t="shared" si="175"/>
        <v>1.0769230769230769</v>
      </c>
      <c r="AB1906">
        <f t="shared" si="176"/>
        <v>0</v>
      </c>
      <c r="AC1906" t="str">
        <f t="shared" si="177"/>
        <v>Low</v>
      </c>
      <c r="AD1906" t="str">
        <f t="shared" si="178"/>
        <v>Upsell premium bundle</v>
      </c>
      <c r="AE1906">
        <f t="shared" si="179"/>
        <v>1</v>
      </c>
    </row>
    <row r="1907" spans="1:31" x14ac:dyDescent="0.35">
      <c r="A1907" t="s">
        <v>1965</v>
      </c>
      <c r="B1907" s="4">
        <v>45104</v>
      </c>
      <c r="C1907" s="4">
        <v>46143</v>
      </c>
      <c r="D1907" t="s">
        <v>32</v>
      </c>
      <c r="E1907">
        <v>59</v>
      </c>
      <c r="F1907" t="s">
        <v>57</v>
      </c>
      <c r="G1907" t="s">
        <v>40</v>
      </c>
      <c r="H1907" t="s">
        <v>58</v>
      </c>
      <c r="I1907" t="s">
        <v>49</v>
      </c>
      <c r="J1907">
        <v>34</v>
      </c>
      <c r="K1907" s="5">
        <v>0</v>
      </c>
      <c r="L1907" s="5">
        <v>549.16</v>
      </c>
      <c r="M1907">
        <v>28</v>
      </c>
      <c r="N1907">
        <v>20</v>
      </c>
      <c r="O1907">
        <v>2</v>
      </c>
      <c r="P1907">
        <v>3</v>
      </c>
      <c r="Q1907">
        <v>28</v>
      </c>
      <c r="R1907">
        <v>2</v>
      </c>
      <c r="S1907">
        <v>0</v>
      </c>
      <c r="T1907">
        <v>1</v>
      </c>
      <c r="U1907">
        <v>0</v>
      </c>
      <c r="V1907">
        <v>1</v>
      </c>
      <c r="W1907" t="s">
        <v>50</v>
      </c>
      <c r="X1907">
        <v>30</v>
      </c>
      <c r="Y1907">
        <v>0</v>
      </c>
      <c r="Z1907">
        <f t="shared" si="174"/>
        <v>84</v>
      </c>
      <c r="AA1907">
        <f t="shared" si="175"/>
        <v>0.875</v>
      </c>
      <c r="AB1907">
        <f t="shared" si="176"/>
        <v>12</v>
      </c>
      <c r="AC1907" t="str">
        <f t="shared" si="177"/>
        <v>Low</v>
      </c>
      <c r="AD1907" t="str">
        <f t="shared" si="178"/>
        <v>Upsell premium bundle</v>
      </c>
      <c r="AE1907">
        <f t="shared" si="179"/>
        <v>16</v>
      </c>
    </row>
    <row r="1908" spans="1:31" x14ac:dyDescent="0.35">
      <c r="A1908" t="s">
        <v>1966</v>
      </c>
      <c r="B1908" s="4">
        <v>44782</v>
      </c>
      <c r="C1908" s="4">
        <v>46143</v>
      </c>
      <c r="D1908" t="s">
        <v>39</v>
      </c>
      <c r="E1908">
        <v>46</v>
      </c>
      <c r="F1908" t="s">
        <v>57</v>
      </c>
      <c r="G1908" t="s">
        <v>63</v>
      </c>
      <c r="H1908" t="s">
        <v>41</v>
      </c>
      <c r="I1908" t="s">
        <v>54</v>
      </c>
      <c r="J1908">
        <v>45</v>
      </c>
      <c r="K1908" s="5">
        <v>983.99</v>
      </c>
      <c r="L1908" s="5">
        <v>1789.22</v>
      </c>
      <c r="M1908">
        <v>21</v>
      </c>
      <c r="N1908">
        <v>7</v>
      </c>
      <c r="O1908">
        <v>1</v>
      </c>
      <c r="P1908">
        <v>2</v>
      </c>
      <c r="Q1908">
        <v>7</v>
      </c>
      <c r="R1908">
        <v>2</v>
      </c>
      <c r="S1908">
        <v>0</v>
      </c>
      <c r="T1908">
        <v>1</v>
      </c>
      <c r="U1908">
        <v>0</v>
      </c>
      <c r="V1908">
        <v>0</v>
      </c>
      <c r="W1908" t="s">
        <v>45</v>
      </c>
      <c r="X1908">
        <v>-9</v>
      </c>
      <c r="Y1908">
        <v>1</v>
      </c>
      <c r="Z1908">
        <f t="shared" si="174"/>
        <v>38</v>
      </c>
      <c r="AA1908">
        <f t="shared" si="175"/>
        <v>0.37333333333333335</v>
      </c>
      <c r="AB1908">
        <f t="shared" si="176"/>
        <v>50</v>
      </c>
      <c r="AC1908" t="str">
        <f t="shared" si="177"/>
        <v>Medium</v>
      </c>
      <c r="AD1908" t="str">
        <f t="shared" si="178"/>
        <v>Nudge core feature adoption</v>
      </c>
      <c r="AE1908">
        <f t="shared" si="179"/>
        <v>62</v>
      </c>
    </row>
    <row r="1909" spans="1:31" x14ac:dyDescent="0.35">
      <c r="A1909" t="s">
        <v>1967</v>
      </c>
      <c r="B1909" s="4">
        <v>45752</v>
      </c>
      <c r="C1909" s="4">
        <v>46143</v>
      </c>
      <c r="D1909" t="s">
        <v>47</v>
      </c>
      <c r="E1909">
        <v>53</v>
      </c>
      <c r="F1909" t="s">
        <v>33</v>
      </c>
      <c r="G1909" t="s">
        <v>63</v>
      </c>
      <c r="H1909" t="s">
        <v>41</v>
      </c>
      <c r="I1909" t="s">
        <v>36</v>
      </c>
      <c r="J1909">
        <v>13</v>
      </c>
      <c r="K1909" s="5">
        <v>242.14</v>
      </c>
      <c r="L1909" s="5">
        <v>202.17</v>
      </c>
      <c r="M1909">
        <v>18</v>
      </c>
      <c r="N1909">
        <v>5</v>
      </c>
      <c r="O1909">
        <v>4</v>
      </c>
      <c r="P1909">
        <v>3</v>
      </c>
      <c r="Q1909">
        <v>23</v>
      </c>
      <c r="R1909">
        <v>0</v>
      </c>
      <c r="S1909">
        <v>0</v>
      </c>
      <c r="T1909">
        <v>1</v>
      </c>
      <c r="U1909">
        <v>1</v>
      </c>
      <c r="V1909">
        <v>1</v>
      </c>
      <c r="W1909" t="s">
        <v>37</v>
      </c>
      <c r="X1909">
        <v>29</v>
      </c>
      <c r="Y1909">
        <v>1</v>
      </c>
      <c r="Z1909">
        <f t="shared" si="174"/>
        <v>68</v>
      </c>
      <c r="AA1909">
        <f t="shared" si="175"/>
        <v>0.95348837209302328</v>
      </c>
      <c r="AB1909">
        <f t="shared" si="176"/>
        <v>16</v>
      </c>
      <c r="AC1909" t="str">
        <f t="shared" si="177"/>
        <v>Low</v>
      </c>
      <c r="AD1909" t="str">
        <f t="shared" si="178"/>
        <v>Upsell premium bundle</v>
      </c>
      <c r="AE1909">
        <f t="shared" si="179"/>
        <v>32</v>
      </c>
    </row>
    <row r="1910" spans="1:31" x14ac:dyDescent="0.35">
      <c r="A1910" t="s">
        <v>1968</v>
      </c>
      <c r="B1910" s="4">
        <v>45733</v>
      </c>
      <c r="C1910" s="4">
        <v>46143</v>
      </c>
      <c r="D1910" t="s">
        <v>47</v>
      </c>
      <c r="E1910">
        <v>65</v>
      </c>
      <c r="F1910" t="s">
        <v>33</v>
      </c>
      <c r="G1910" t="s">
        <v>63</v>
      </c>
      <c r="H1910" t="s">
        <v>58</v>
      </c>
      <c r="I1910" t="s">
        <v>36</v>
      </c>
      <c r="J1910">
        <v>13</v>
      </c>
      <c r="K1910" s="5">
        <v>0</v>
      </c>
      <c r="L1910" s="5">
        <v>219.94</v>
      </c>
      <c r="M1910">
        <v>17</v>
      </c>
      <c r="N1910">
        <v>10</v>
      </c>
      <c r="O1910">
        <v>1</v>
      </c>
      <c r="P1910">
        <v>3</v>
      </c>
      <c r="Q1910">
        <v>15</v>
      </c>
      <c r="R1910">
        <v>0</v>
      </c>
      <c r="S1910">
        <v>1</v>
      </c>
      <c r="T1910">
        <v>1</v>
      </c>
      <c r="U1910">
        <v>0</v>
      </c>
      <c r="V1910">
        <v>1</v>
      </c>
      <c r="W1910" t="s">
        <v>55</v>
      </c>
      <c r="X1910">
        <v>52</v>
      </c>
      <c r="Y1910">
        <v>0</v>
      </c>
      <c r="Z1910">
        <f t="shared" si="174"/>
        <v>52</v>
      </c>
      <c r="AA1910">
        <f t="shared" si="175"/>
        <v>0.7441860465116279</v>
      </c>
      <c r="AB1910">
        <f t="shared" si="176"/>
        <v>9</v>
      </c>
      <c r="AC1910" t="str">
        <f t="shared" si="177"/>
        <v>Low</v>
      </c>
      <c r="AD1910" t="str">
        <f t="shared" si="178"/>
        <v>Upsell premium bundle</v>
      </c>
      <c r="AE1910">
        <f t="shared" si="179"/>
        <v>48</v>
      </c>
    </row>
    <row r="1911" spans="1:31" x14ac:dyDescent="0.35">
      <c r="A1911" t="s">
        <v>1969</v>
      </c>
      <c r="B1911" s="4">
        <v>45452</v>
      </c>
      <c r="C1911" s="4">
        <v>46143</v>
      </c>
      <c r="D1911" t="s">
        <v>32</v>
      </c>
      <c r="E1911">
        <v>42</v>
      </c>
      <c r="F1911" t="s">
        <v>57</v>
      </c>
      <c r="G1911" t="s">
        <v>40</v>
      </c>
      <c r="H1911" t="s">
        <v>41</v>
      </c>
      <c r="I1911" t="s">
        <v>36</v>
      </c>
      <c r="J1911">
        <v>23</v>
      </c>
      <c r="K1911" s="5">
        <v>1944.18</v>
      </c>
      <c r="L1911" s="5">
        <v>1203.97</v>
      </c>
      <c r="M1911">
        <v>31</v>
      </c>
      <c r="N1911">
        <v>15</v>
      </c>
      <c r="O1911">
        <v>4</v>
      </c>
      <c r="P1911">
        <v>6</v>
      </c>
      <c r="Q1911">
        <v>14</v>
      </c>
      <c r="R1911">
        <v>1</v>
      </c>
      <c r="S1911">
        <v>0</v>
      </c>
      <c r="T1911">
        <v>1</v>
      </c>
      <c r="U1911">
        <v>0</v>
      </c>
      <c r="V1911">
        <v>1</v>
      </c>
      <c r="W1911" t="s">
        <v>55</v>
      </c>
      <c r="X1911">
        <v>50</v>
      </c>
      <c r="Y1911">
        <v>1</v>
      </c>
      <c r="Z1911">
        <f t="shared" si="174"/>
        <v>77</v>
      </c>
      <c r="AA1911">
        <f t="shared" si="175"/>
        <v>0.84905660377358494</v>
      </c>
      <c r="AB1911">
        <f t="shared" si="176"/>
        <v>1</v>
      </c>
      <c r="AC1911" t="str">
        <f t="shared" si="177"/>
        <v>Low</v>
      </c>
      <c r="AD1911" t="str">
        <f t="shared" si="178"/>
        <v>Upsell premium bundle</v>
      </c>
      <c r="AE1911">
        <f t="shared" si="179"/>
        <v>23</v>
      </c>
    </row>
    <row r="1912" spans="1:31" x14ac:dyDescent="0.35">
      <c r="A1912" t="s">
        <v>1970</v>
      </c>
      <c r="B1912" s="4">
        <v>45407</v>
      </c>
      <c r="C1912" s="4">
        <v>46143</v>
      </c>
      <c r="D1912" t="s">
        <v>72</v>
      </c>
      <c r="E1912">
        <v>38</v>
      </c>
      <c r="F1912" t="s">
        <v>61</v>
      </c>
      <c r="G1912" t="s">
        <v>48</v>
      </c>
      <c r="H1912" t="s">
        <v>58</v>
      </c>
      <c r="I1912" t="s">
        <v>49</v>
      </c>
      <c r="J1912">
        <v>24</v>
      </c>
      <c r="K1912" s="5">
        <v>4740.95</v>
      </c>
      <c r="L1912" s="5">
        <v>3464.07</v>
      </c>
      <c r="M1912">
        <v>28</v>
      </c>
      <c r="N1912">
        <v>19</v>
      </c>
      <c r="O1912">
        <v>5</v>
      </c>
      <c r="P1912">
        <v>1</v>
      </c>
      <c r="Q1912">
        <v>16</v>
      </c>
      <c r="R1912">
        <v>1</v>
      </c>
      <c r="S1912">
        <v>3</v>
      </c>
      <c r="T1912">
        <v>1</v>
      </c>
      <c r="U1912">
        <v>0</v>
      </c>
      <c r="V1912">
        <v>0</v>
      </c>
      <c r="W1912" t="s">
        <v>52</v>
      </c>
      <c r="X1912">
        <v>-6</v>
      </c>
      <c r="Y1912">
        <v>1</v>
      </c>
      <c r="Z1912">
        <f t="shared" si="174"/>
        <v>66</v>
      </c>
      <c r="AA1912">
        <f t="shared" si="175"/>
        <v>0.81481481481481477</v>
      </c>
      <c r="AB1912">
        <f t="shared" si="176"/>
        <v>53</v>
      </c>
      <c r="AC1912" t="str">
        <f t="shared" si="177"/>
        <v>Medium</v>
      </c>
      <c r="AD1912" t="str">
        <f t="shared" si="178"/>
        <v>Nudge core feature adoption</v>
      </c>
      <c r="AE1912">
        <f t="shared" si="179"/>
        <v>34</v>
      </c>
    </row>
    <row r="1913" spans="1:31" x14ac:dyDescent="0.35">
      <c r="A1913" t="s">
        <v>1971</v>
      </c>
      <c r="B1913" s="4">
        <v>45142</v>
      </c>
      <c r="C1913" s="4">
        <v>46143</v>
      </c>
      <c r="D1913" t="s">
        <v>39</v>
      </c>
      <c r="E1913">
        <v>70</v>
      </c>
      <c r="F1913" t="s">
        <v>61</v>
      </c>
      <c r="G1913" t="s">
        <v>67</v>
      </c>
      <c r="H1913" t="s">
        <v>58</v>
      </c>
      <c r="I1913" t="s">
        <v>36</v>
      </c>
      <c r="J1913">
        <v>33</v>
      </c>
      <c r="K1913" s="5">
        <v>6070.3</v>
      </c>
      <c r="L1913" s="5">
        <v>2369.35</v>
      </c>
      <c r="M1913">
        <v>31</v>
      </c>
      <c r="N1913">
        <v>8</v>
      </c>
      <c r="O1913">
        <v>2</v>
      </c>
      <c r="P1913">
        <v>5</v>
      </c>
      <c r="Q1913">
        <v>27</v>
      </c>
      <c r="R1913">
        <v>2</v>
      </c>
      <c r="S1913">
        <v>2</v>
      </c>
      <c r="T1913">
        <v>0</v>
      </c>
      <c r="U1913">
        <v>0</v>
      </c>
      <c r="V1913">
        <v>0</v>
      </c>
      <c r="W1913" t="s">
        <v>45</v>
      </c>
      <c r="X1913">
        <v>-56</v>
      </c>
      <c r="Y1913">
        <v>1</v>
      </c>
      <c r="Z1913">
        <f t="shared" si="174"/>
        <v>73</v>
      </c>
      <c r="AA1913">
        <f t="shared" si="175"/>
        <v>0.92063492063492058</v>
      </c>
      <c r="AB1913">
        <f t="shared" si="176"/>
        <v>50</v>
      </c>
      <c r="AC1913" t="str">
        <f t="shared" si="177"/>
        <v>Medium</v>
      </c>
      <c r="AD1913" t="str">
        <f t="shared" si="178"/>
        <v>Nudge core feature adoption</v>
      </c>
      <c r="AE1913">
        <f t="shared" si="179"/>
        <v>27</v>
      </c>
    </row>
    <row r="1914" spans="1:31" x14ac:dyDescent="0.35">
      <c r="A1914" t="s">
        <v>1972</v>
      </c>
      <c r="B1914" s="4">
        <v>45301</v>
      </c>
      <c r="C1914" s="4">
        <v>46143</v>
      </c>
      <c r="D1914" t="s">
        <v>72</v>
      </c>
      <c r="E1914">
        <v>36</v>
      </c>
      <c r="F1914" t="s">
        <v>33</v>
      </c>
      <c r="G1914" t="s">
        <v>40</v>
      </c>
      <c r="H1914" t="s">
        <v>44</v>
      </c>
      <c r="I1914" t="s">
        <v>36</v>
      </c>
      <c r="J1914">
        <v>28</v>
      </c>
      <c r="K1914" s="5">
        <v>461.4</v>
      </c>
      <c r="L1914" s="5">
        <v>96.65</v>
      </c>
      <c r="M1914">
        <v>44</v>
      </c>
      <c r="N1914">
        <v>18</v>
      </c>
      <c r="O1914">
        <v>4</v>
      </c>
      <c r="P1914">
        <v>4</v>
      </c>
      <c r="Q1914">
        <v>21</v>
      </c>
      <c r="R1914">
        <v>3</v>
      </c>
      <c r="S1914">
        <v>1</v>
      </c>
      <c r="T1914">
        <v>1</v>
      </c>
      <c r="U1914">
        <v>1</v>
      </c>
      <c r="V1914">
        <v>1</v>
      </c>
      <c r="W1914" t="s">
        <v>45</v>
      </c>
      <c r="X1914">
        <v>36</v>
      </c>
      <c r="Y1914">
        <v>0</v>
      </c>
      <c r="Z1914">
        <f t="shared" si="174"/>
        <v>100</v>
      </c>
      <c r="AA1914">
        <f t="shared" si="175"/>
        <v>1.1206896551724137</v>
      </c>
      <c r="AB1914">
        <f t="shared" si="176"/>
        <v>0</v>
      </c>
      <c r="AC1914" t="str">
        <f t="shared" si="177"/>
        <v>Low</v>
      </c>
      <c r="AD1914" t="str">
        <f t="shared" si="178"/>
        <v>Upsell premium bundle</v>
      </c>
      <c r="AE1914">
        <f t="shared" si="179"/>
        <v>0</v>
      </c>
    </row>
    <row r="1915" spans="1:31" x14ac:dyDescent="0.35">
      <c r="A1915" t="s">
        <v>1973</v>
      </c>
      <c r="B1915" s="4">
        <v>45850</v>
      </c>
      <c r="C1915" s="4">
        <v>46143</v>
      </c>
      <c r="D1915" t="s">
        <v>39</v>
      </c>
      <c r="E1915">
        <v>43</v>
      </c>
      <c r="F1915" t="s">
        <v>57</v>
      </c>
      <c r="G1915" t="s">
        <v>85</v>
      </c>
      <c r="H1915" t="s">
        <v>58</v>
      </c>
      <c r="I1915" t="s">
        <v>49</v>
      </c>
      <c r="J1915">
        <v>9</v>
      </c>
      <c r="K1915" s="5">
        <v>1273.08</v>
      </c>
      <c r="L1915" s="5">
        <v>0</v>
      </c>
      <c r="M1915">
        <v>29</v>
      </c>
      <c r="N1915">
        <v>16</v>
      </c>
      <c r="O1915">
        <v>2</v>
      </c>
      <c r="P1915">
        <v>5</v>
      </c>
      <c r="Q1915">
        <v>25</v>
      </c>
      <c r="R1915">
        <v>2</v>
      </c>
      <c r="S1915">
        <v>1</v>
      </c>
      <c r="T1915">
        <v>1</v>
      </c>
      <c r="U1915">
        <v>0</v>
      </c>
      <c r="V1915">
        <v>0</v>
      </c>
      <c r="W1915" t="s">
        <v>55</v>
      </c>
      <c r="X1915">
        <v>13</v>
      </c>
      <c r="Y1915">
        <v>1</v>
      </c>
      <c r="Z1915">
        <f t="shared" si="174"/>
        <v>75</v>
      </c>
      <c r="AA1915">
        <f t="shared" si="175"/>
        <v>1.3846153846153846</v>
      </c>
      <c r="AB1915">
        <f t="shared" si="176"/>
        <v>33</v>
      </c>
      <c r="AC1915" t="str">
        <f t="shared" si="177"/>
        <v>Low</v>
      </c>
      <c r="AD1915" t="str">
        <f t="shared" si="178"/>
        <v>Upsell premium bundle</v>
      </c>
      <c r="AE1915">
        <f t="shared" si="179"/>
        <v>25</v>
      </c>
    </row>
    <row r="1916" spans="1:31" x14ac:dyDescent="0.35">
      <c r="A1916" t="s">
        <v>1974</v>
      </c>
      <c r="B1916" s="4">
        <v>45287</v>
      </c>
      <c r="C1916" s="4">
        <v>46143</v>
      </c>
      <c r="D1916" t="s">
        <v>66</v>
      </c>
      <c r="E1916">
        <v>56</v>
      </c>
      <c r="F1916" t="s">
        <v>61</v>
      </c>
      <c r="G1916" t="s">
        <v>63</v>
      </c>
      <c r="H1916" t="s">
        <v>35</v>
      </c>
      <c r="I1916" t="s">
        <v>36</v>
      </c>
      <c r="J1916">
        <v>28</v>
      </c>
      <c r="K1916" s="5">
        <v>6071.03</v>
      </c>
      <c r="L1916" s="5">
        <v>1006.3</v>
      </c>
      <c r="M1916">
        <v>24</v>
      </c>
      <c r="N1916">
        <v>15</v>
      </c>
      <c r="O1916">
        <v>5</v>
      </c>
      <c r="P1916">
        <v>1</v>
      </c>
      <c r="Q1916">
        <v>13</v>
      </c>
      <c r="R1916">
        <v>1</v>
      </c>
      <c r="S1916">
        <v>2</v>
      </c>
      <c r="T1916">
        <v>0</v>
      </c>
      <c r="U1916">
        <v>1</v>
      </c>
      <c r="V1916">
        <v>0</v>
      </c>
      <c r="W1916" t="s">
        <v>55</v>
      </c>
      <c r="X1916">
        <v>40</v>
      </c>
      <c r="Y1916">
        <v>0</v>
      </c>
      <c r="Z1916">
        <f t="shared" si="174"/>
        <v>64</v>
      </c>
      <c r="AA1916">
        <f t="shared" si="175"/>
        <v>0.63793103448275867</v>
      </c>
      <c r="AB1916">
        <f t="shared" si="176"/>
        <v>17</v>
      </c>
      <c r="AC1916" t="str">
        <f t="shared" si="177"/>
        <v>Low</v>
      </c>
      <c r="AD1916" t="str">
        <f t="shared" si="178"/>
        <v>Upsell premium bundle</v>
      </c>
      <c r="AE1916">
        <f t="shared" si="179"/>
        <v>36</v>
      </c>
    </row>
    <row r="1917" spans="1:31" x14ac:dyDescent="0.35">
      <c r="A1917" t="s">
        <v>1975</v>
      </c>
      <c r="B1917" s="4">
        <v>45985</v>
      </c>
      <c r="C1917" s="4">
        <v>46143</v>
      </c>
      <c r="D1917" t="s">
        <v>39</v>
      </c>
      <c r="E1917">
        <v>54</v>
      </c>
      <c r="F1917" t="s">
        <v>61</v>
      </c>
      <c r="G1917" t="s">
        <v>48</v>
      </c>
      <c r="H1917" t="s">
        <v>41</v>
      </c>
      <c r="I1917" t="s">
        <v>36</v>
      </c>
      <c r="J1917">
        <v>5</v>
      </c>
      <c r="K1917" s="5">
        <v>2390.2399999999998</v>
      </c>
      <c r="L1917" s="5">
        <v>3244.17</v>
      </c>
      <c r="M1917">
        <v>22</v>
      </c>
      <c r="N1917">
        <v>7</v>
      </c>
      <c r="O1917">
        <v>1</v>
      </c>
      <c r="P1917">
        <v>2</v>
      </c>
      <c r="Q1917">
        <v>20</v>
      </c>
      <c r="R1917">
        <v>4</v>
      </c>
      <c r="S1917">
        <v>3</v>
      </c>
      <c r="T1917">
        <v>0</v>
      </c>
      <c r="U1917">
        <v>0</v>
      </c>
      <c r="V1917">
        <v>0</v>
      </c>
      <c r="W1917" t="s">
        <v>52</v>
      </c>
      <c r="X1917">
        <v>39</v>
      </c>
      <c r="Y1917">
        <v>1</v>
      </c>
      <c r="Z1917">
        <f t="shared" si="174"/>
        <v>51</v>
      </c>
      <c r="AA1917">
        <f t="shared" si="175"/>
        <v>1.2</v>
      </c>
      <c r="AB1917">
        <f t="shared" si="176"/>
        <v>26</v>
      </c>
      <c r="AC1917" t="str">
        <f t="shared" si="177"/>
        <v>Low</v>
      </c>
      <c r="AD1917" t="str">
        <f t="shared" si="178"/>
        <v>Upsell premium bundle</v>
      </c>
      <c r="AE1917">
        <f t="shared" si="179"/>
        <v>49</v>
      </c>
    </row>
    <row r="1918" spans="1:31" x14ac:dyDescent="0.35">
      <c r="A1918" t="s">
        <v>1976</v>
      </c>
      <c r="B1918" s="4">
        <v>45999</v>
      </c>
      <c r="C1918" s="4">
        <v>46143</v>
      </c>
      <c r="D1918" t="s">
        <v>60</v>
      </c>
      <c r="E1918">
        <v>25</v>
      </c>
      <c r="F1918" t="s">
        <v>77</v>
      </c>
      <c r="G1918" t="s">
        <v>67</v>
      </c>
      <c r="H1918" t="s">
        <v>41</v>
      </c>
      <c r="I1918" t="s">
        <v>36</v>
      </c>
      <c r="J1918">
        <v>4</v>
      </c>
      <c r="K1918" s="5">
        <v>2106.39</v>
      </c>
      <c r="L1918" s="5">
        <v>10338.709999999999</v>
      </c>
      <c r="M1918">
        <v>13</v>
      </c>
      <c r="N1918">
        <v>4</v>
      </c>
      <c r="O1918">
        <v>1</v>
      </c>
      <c r="P1918">
        <v>0</v>
      </c>
      <c r="Q1918">
        <v>5</v>
      </c>
      <c r="R1918">
        <v>0</v>
      </c>
      <c r="S1918">
        <v>1</v>
      </c>
      <c r="T1918">
        <v>0</v>
      </c>
      <c r="U1918">
        <v>0</v>
      </c>
      <c r="V1918">
        <v>1</v>
      </c>
      <c r="W1918" t="s">
        <v>37</v>
      </c>
      <c r="X1918">
        <v>-36</v>
      </c>
      <c r="Y1918">
        <v>1</v>
      </c>
      <c r="Z1918">
        <f t="shared" si="174"/>
        <v>30</v>
      </c>
      <c r="AA1918">
        <f t="shared" si="175"/>
        <v>0.52941176470588236</v>
      </c>
      <c r="AB1918">
        <f t="shared" si="176"/>
        <v>62</v>
      </c>
      <c r="AC1918" t="str">
        <f t="shared" si="177"/>
        <v>Medium</v>
      </c>
      <c r="AD1918" t="str">
        <f t="shared" si="178"/>
        <v>Nudge core feature adoption</v>
      </c>
      <c r="AE1918">
        <f t="shared" si="179"/>
        <v>70</v>
      </c>
    </row>
    <row r="1919" spans="1:31" x14ac:dyDescent="0.35">
      <c r="A1919" t="s">
        <v>1977</v>
      </c>
      <c r="B1919" s="4">
        <v>45225</v>
      </c>
      <c r="C1919" s="4">
        <v>46143</v>
      </c>
      <c r="D1919" t="s">
        <v>39</v>
      </c>
      <c r="E1919">
        <v>70</v>
      </c>
      <c r="F1919" t="s">
        <v>33</v>
      </c>
      <c r="G1919" t="s">
        <v>40</v>
      </c>
      <c r="H1919" t="s">
        <v>41</v>
      </c>
      <c r="I1919" t="s">
        <v>36</v>
      </c>
      <c r="J1919">
        <v>30</v>
      </c>
      <c r="K1919" s="5">
        <v>181.27</v>
      </c>
      <c r="L1919" s="5">
        <v>440.96</v>
      </c>
      <c r="M1919">
        <v>25</v>
      </c>
      <c r="N1919">
        <v>18</v>
      </c>
      <c r="O1919">
        <v>5</v>
      </c>
      <c r="P1919">
        <v>1</v>
      </c>
      <c r="Q1919">
        <v>21</v>
      </c>
      <c r="R1919">
        <v>0</v>
      </c>
      <c r="S1919">
        <v>0</v>
      </c>
      <c r="T1919">
        <v>0</v>
      </c>
      <c r="U1919">
        <v>0</v>
      </c>
      <c r="V1919">
        <v>0</v>
      </c>
      <c r="W1919" t="s">
        <v>37</v>
      </c>
      <c r="X1919">
        <v>63</v>
      </c>
      <c r="Y1919">
        <v>0</v>
      </c>
      <c r="Z1919">
        <f t="shared" si="174"/>
        <v>66</v>
      </c>
      <c r="AA1919">
        <f t="shared" si="175"/>
        <v>0.76666666666666672</v>
      </c>
      <c r="AB1919">
        <f t="shared" si="176"/>
        <v>0</v>
      </c>
      <c r="AC1919" t="str">
        <f t="shared" si="177"/>
        <v>Low</v>
      </c>
      <c r="AD1919" t="str">
        <f t="shared" si="178"/>
        <v>Upsell premium bundle</v>
      </c>
      <c r="AE1919">
        <f t="shared" si="179"/>
        <v>34</v>
      </c>
    </row>
    <row r="1920" spans="1:31" x14ac:dyDescent="0.35">
      <c r="A1920" t="s">
        <v>1978</v>
      </c>
      <c r="B1920" s="4">
        <v>44885</v>
      </c>
      <c r="C1920" s="4">
        <v>46143</v>
      </c>
      <c r="D1920" t="s">
        <v>72</v>
      </c>
      <c r="E1920">
        <v>41</v>
      </c>
      <c r="F1920" t="s">
        <v>57</v>
      </c>
      <c r="G1920" t="s">
        <v>63</v>
      </c>
      <c r="H1920" t="s">
        <v>41</v>
      </c>
      <c r="I1920" t="s">
        <v>49</v>
      </c>
      <c r="J1920">
        <v>41</v>
      </c>
      <c r="K1920" s="5">
        <v>660.69</v>
      </c>
      <c r="L1920" s="5">
        <v>0</v>
      </c>
      <c r="M1920">
        <v>35</v>
      </c>
      <c r="N1920">
        <v>25</v>
      </c>
      <c r="O1920">
        <v>6</v>
      </c>
      <c r="P1920">
        <v>3</v>
      </c>
      <c r="Q1920">
        <v>16</v>
      </c>
      <c r="R1920">
        <v>0</v>
      </c>
      <c r="S1920">
        <v>0</v>
      </c>
      <c r="T1920">
        <v>0</v>
      </c>
      <c r="U1920">
        <v>0</v>
      </c>
      <c r="V1920">
        <v>1</v>
      </c>
      <c r="W1920" t="s">
        <v>55</v>
      </c>
      <c r="X1920">
        <v>-24</v>
      </c>
      <c r="Y1920">
        <v>0</v>
      </c>
      <c r="Z1920">
        <f t="shared" si="174"/>
        <v>89</v>
      </c>
      <c r="AA1920">
        <f t="shared" si="175"/>
        <v>0.71830985915492962</v>
      </c>
      <c r="AB1920">
        <f t="shared" si="176"/>
        <v>50</v>
      </c>
      <c r="AC1920" t="str">
        <f t="shared" si="177"/>
        <v>Medium</v>
      </c>
      <c r="AD1920" t="str">
        <f t="shared" si="178"/>
        <v>Nudge core feature adoption</v>
      </c>
      <c r="AE1920">
        <f t="shared" si="179"/>
        <v>11</v>
      </c>
    </row>
    <row r="1921" spans="1:31" x14ac:dyDescent="0.35">
      <c r="A1921" t="s">
        <v>1979</v>
      </c>
      <c r="B1921" s="4">
        <v>44949</v>
      </c>
      <c r="C1921" s="4">
        <v>46143</v>
      </c>
      <c r="D1921" t="s">
        <v>32</v>
      </c>
      <c r="E1921">
        <v>63</v>
      </c>
      <c r="F1921" t="s">
        <v>33</v>
      </c>
      <c r="G1921" t="s">
        <v>85</v>
      </c>
      <c r="H1921" t="s">
        <v>41</v>
      </c>
      <c r="I1921" t="s">
        <v>36</v>
      </c>
      <c r="J1921">
        <v>39</v>
      </c>
      <c r="K1921" s="5">
        <v>807.61</v>
      </c>
      <c r="L1921" s="5">
        <v>214.56</v>
      </c>
      <c r="M1921">
        <v>25</v>
      </c>
      <c r="N1921">
        <v>15</v>
      </c>
      <c r="O1921">
        <v>1</v>
      </c>
      <c r="P1921">
        <v>1</v>
      </c>
      <c r="Q1921">
        <v>19</v>
      </c>
      <c r="R1921">
        <v>1</v>
      </c>
      <c r="S1921">
        <v>0</v>
      </c>
      <c r="T1921">
        <v>0</v>
      </c>
      <c r="U1921">
        <v>1</v>
      </c>
      <c r="V1921">
        <v>1</v>
      </c>
      <c r="W1921" t="s">
        <v>45</v>
      </c>
      <c r="X1921">
        <v>35</v>
      </c>
      <c r="Y1921">
        <v>0</v>
      </c>
      <c r="Z1921">
        <f t="shared" si="174"/>
        <v>73</v>
      </c>
      <c r="AA1921">
        <f t="shared" si="175"/>
        <v>0.6376811594202898</v>
      </c>
      <c r="AB1921">
        <f t="shared" si="176"/>
        <v>10</v>
      </c>
      <c r="AC1921" t="str">
        <f t="shared" si="177"/>
        <v>Low</v>
      </c>
      <c r="AD1921" t="str">
        <f t="shared" si="178"/>
        <v>Upsell premium bundle</v>
      </c>
      <c r="AE1921">
        <f t="shared" si="179"/>
        <v>27</v>
      </c>
    </row>
    <row r="1922" spans="1:31" x14ac:dyDescent="0.35">
      <c r="A1922" t="s">
        <v>1980</v>
      </c>
      <c r="B1922" s="4">
        <v>45137</v>
      </c>
      <c r="C1922" s="4">
        <v>46143</v>
      </c>
      <c r="D1922" t="s">
        <v>72</v>
      </c>
      <c r="E1922">
        <v>62</v>
      </c>
      <c r="F1922" t="s">
        <v>33</v>
      </c>
      <c r="G1922" t="s">
        <v>85</v>
      </c>
      <c r="H1922" t="s">
        <v>44</v>
      </c>
      <c r="I1922" t="s">
        <v>36</v>
      </c>
      <c r="J1922">
        <v>33</v>
      </c>
      <c r="K1922" s="5">
        <v>251.69</v>
      </c>
      <c r="L1922" s="5">
        <v>367.36</v>
      </c>
      <c r="M1922">
        <v>31</v>
      </c>
      <c r="N1922">
        <v>10</v>
      </c>
      <c r="O1922">
        <v>3</v>
      </c>
      <c r="P1922">
        <v>0</v>
      </c>
      <c r="Q1922">
        <v>24</v>
      </c>
      <c r="R1922">
        <v>1</v>
      </c>
      <c r="S1922">
        <v>0</v>
      </c>
      <c r="T1922">
        <v>1</v>
      </c>
      <c r="U1922">
        <v>0</v>
      </c>
      <c r="V1922">
        <v>0</v>
      </c>
      <c r="W1922" t="s">
        <v>55</v>
      </c>
      <c r="X1922">
        <v>29</v>
      </c>
      <c r="Y1922">
        <v>0</v>
      </c>
      <c r="Z1922">
        <f t="shared" ref="Z1922:Z1985" si="180">MIN(100,ROUND((M1922*1.1+N1922*0.7+O1922*1.2+P1922*1.4+Q1922*0.9+U1922*8+V1922*7),0))</f>
        <v>66</v>
      </c>
      <c r="AA1922">
        <f t="shared" ref="AA1922:AA1985" si="181">IFERROR((M1922+Q1922)/(30+J1922),0)</f>
        <v>0.87301587301587302</v>
      </c>
      <c r="AB1922">
        <f t="shared" ref="AB1922:AB1985" si="182">ROUND(MIN(100,MAX(0,60-Z1922*0.4-R1922*1.5+S1922*8-IF(L1922&gt;1500,10,0)-X1922*0.5+IF(I1922="Completed",-8,8)+IF(H1922="Free",6,-4))),0)</f>
        <v>6</v>
      </c>
      <c r="AC1922" t="str">
        <f t="shared" ref="AC1922:AC1985" si="183">IF(AB1922&gt;=70,"High",IF(AB1922&gt;=40,"Medium","Low"))</f>
        <v>Low</v>
      </c>
      <c r="AD1922" t="str">
        <f t="shared" ref="AD1922:AD1985" si="184">IF(AC1922="High",IF(Q1922&lt;5,"Re-engage with app usage offer",IF(K1922&lt;100,"Deposit incentive","Retention call")),IF(AC1922="Medium","Nudge core feature adoption","Upsell premium bundle"))</f>
        <v>Upsell premium bundle</v>
      </c>
      <c r="AE1922">
        <f t="shared" ref="AE1922:AE1985" si="185">100-Z1922</f>
        <v>34</v>
      </c>
    </row>
    <row r="1923" spans="1:31" x14ac:dyDescent="0.35">
      <c r="A1923" t="s">
        <v>1981</v>
      </c>
      <c r="B1923" s="4">
        <v>45602</v>
      </c>
      <c r="C1923" s="4">
        <v>46143</v>
      </c>
      <c r="D1923" t="s">
        <v>47</v>
      </c>
      <c r="E1923">
        <v>49</v>
      </c>
      <c r="F1923" t="s">
        <v>57</v>
      </c>
      <c r="G1923" t="s">
        <v>48</v>
      </c>
      <c r="H1923" t="s">
        <v>41</v>
      </c>
      <c r="I1923" t="s">
        <v>36</v>
      </c>
      <c r="J1923">
        <v>18</v>
      </c>
      <c r="K1923" s="5">
        <v>510.68</v>
      </c>
      <c r="L1923" s="5">
        <v>795.04</v>
      </c>
      <c r="M1923">
        <v>35</v>
      </c>
      <c r="N1923">
        <v>17</v>
      </c>
      <c r="O1923">
        <v>9</v>
      </c>
      <c r="P1923">
        <v>0</v>
      </c>
      <c r="Q1923">
        <v>26</v>
      </c>
      <c r="R1923">
        <v>1</v>
      </c>
      <c r="S1923">
        <v>1</v>
      </c>
      <c r="T1923">
        <v>0</v>
      </c>
      <c r="U1923">
        <v>1</v>
      </c>
      <c r="V1923">
        <v>1</v>
      </c>
      <c r="W1923" t="s">
        <v>37</v>
      </c>
      <c r="X1923">
        <v>64</v>
      </c>
      <c r="Y1923">
        <v>0</v>
      </c>
      <c r="Z1923">
        <f t="shared" si="180"/>
        <v>100</v>
      </c>
      <c r="AA1923">
        <f t="shared" si="181"/>
        <v>1.2708333333333333</v>
      </c>
      <c r="AB1923">
        <f t="shared" si="182"/>
        <v>0</v>
      </c>
      <c r="AC1923" t="str">
        <f t="shared" si="183"/>
        <v>Low</v>
      </c>
      <c r="AD1923" t="str">
        <f t="shared" si="184"/>
        <v>Upsell premium bundle</v>
      </c>
      <c r="AE1923">
        <f t="shared" si="185"/>
        <v>0</v>
      </c>
    </row>
    <row r="1924" spans="1:31" x14ac:dyDescent="0.35">
      <c r="A1924" t="s">
        <v>1982</v>
      </c>
      <c r="B1924" s="4">
        <v>45494</v>
      </c>
      <c r="C1924" s="4">
        <v>46143</v>
      </c>
      <c r="D1924" t="s">
        <v>66</v>
      </c>
      <c r="E1924">
        <v>45</v>
      </c>
      <c r="F1924" t="s">
        <v>57</v>
      </c>
      <c r="G1924" t="s">
        <v>63</v>
      </c>
      <c r="H1924" t="s">
        <v>58</v>
      </c>
      <c r="I1924" t="s">
        <v>36</v>
      </c>
      <c r="J1924">
        <v>21</v>
      </c>
      <c r="K1924" s="5">
        <v>569.22</v>
      </c>
      <c r="L1924" s="5">
        <v>977.89</v>
      </c>
      <c r="M1924">
        <v>40</v>
      </c>
      <c r="N1924">
        <v>11</v>
      </c>
      <c r="O1924">
        <v>10</v>
      </c>
      <c r="P1924">
        <v>2</v>
      </c>
      <c r="Q1924">
        <v>42</v>
      </c>
      <c r="R1924">
        <v>0</v>
      </c>
      <c r="S1924">
        <v>0</v>
      </c>
      <c r="T1924">
        <v>0</v>
      </c>
      <c r="U1924">
        <v>0</v>
      </c>
      <c r="V1924">
        <v>0</v>
      </c>
      <c r="W1924" t="s">
        <v>37</v>
      </c>
      <c r="X1924">
        <v>53</v>
      </c>
      <c r="Y1924">
        <v>0</v>
      </c>
      <c r="Z1924">
        <f t="shared" si="180"/>
        <v>100</v>
      </c>
      <c r="AA1924">
        <f t="shared" si="181"/>
        <v>1.607843137254902</v>
      </c>
      <c r="AB1924">
        <f t="shared" si="182"/>
        <v>0</v>
      </c>
      <c r="AC1924" t="str">
        <f t="shared" si="183"/>
        <v>Low</v>
      </c>
      <c r="AD1924" t="str">
        <f t="shared" si="184"/>
        <v>Upsell premium bundle</v>
      </c>
      <c r="AE1924">
        <f t="shared" si="185"/>
        <v>0</v>
      </c>
    </row>
    <row r="1925" spans="1:31" x14ac:dyDescent="0.35">
      <c r="A1925" t="s">
        <v>1983</v>
      </c>
      <c r="B1925" s="4">
        <v>45857</v>
      </c>
      <c r="C1925" s="4">
        <v>46143</v>
      </c>
      <c r="D1925" t="s">
        <v>47</v>
      </c>
      <c r="E1925">
        <v>31</v>
      </c>
      <c r="F1925" t="s">
        <v>43</v>
      </c>
      <c r="G1925" t="s">
        <v>40</v>
      </c>
      <c r="H1925" t="s">
        <v>58</v>
      </c>
      <c r="I1925" t="s">
        <v>36</v>
      </c>
      <c r="J1925">
        <v>9</v>
      </c>
      <c r="K1925" s="5">
        <v>62.74</v>
      </c>
      <c r="L1925" s="5">
        <v>25.61</v>
      </c>
      <c r="M1925">
        <v>31</v>
      </c>
      <c r="N1925">
        <v>12</v>
      </c>
      <c r="O1925">
        <v>7</v>
      </c>
      <c r="P1925">
        <v>6</v>
      </c>
      <c r="Q1925">
        <v>32</v>
      </c>
      <c r="R1925">
        <v>0</v>
      </c>
      <c r="S1925">
        <v>1</v>
      </c>
      <c r="T1925">
        <v>1</v>
      </c>
      <c r="U1925">
        <v>0</v>
      </c>
      <c r="V1925">
        <v>0</v>
      </c>
      <c r="W1925" t="s">
        <v>50</v>
      </c>
      <c r="X1925">
        <v>99</v>
      </c>
      <c r="Y1925">
        <v>0</v>
      </c>
      <c r="Z1925">
        <f t="shared" si="180"/>
        <v>88</v>
      </c>
      <c r="AA1925">
        <f t="shared" si="181"/>
        <v>1.6153846153846154</v>
      </c>
      <c r="AB1925">
        <f t="shared" si="182"/>
        <v>0</v>
      </c>
      <c r="AC1925" t="str">
        <f t="shared" si="183"/>
        <v>Low</v>
      </c>
      <c r="AD1925" t="str">
        <f t="shared" si="184"/>
        <v>Upsell premium bundle</v>
      </c>
      <c r="AE1925">
        <f t="shared" si="185"/>
        <v>12</v>
      </c>
    </row>
    <row r="1926" spans="1:31" x14ac:dyDescent="0.35">
      <c r="A1926" t="s">
        <v>1984</v>
      </c>
      <c r="B1926" s="4">
        <v>45236</v>
      </c>
      <c r="C1926" s="4">
        <v>46143</v>
      </c>
      <c r="D1926" t="s">
        <v>39</v>
      </c>
      <c r="E1926">
        <v>38</v>
      </c>
      <c r="F1926" t="s">
        <v>43</v>
      </c>
      <c r="G1926" t="s">
        <v>40</v>
      </c>
      <c r="H1926" t="s">
        <v>41</v>
      </c>
      <c r="I1926" t="s">
        <v>36</v>
      </c>
      <c r="J1926">
        <v>30</v>
      </c>
      <c r="K1926" s="5">
        <v>65.099999999999994</v>
      </c>
      <c r="L1926" s="5">
        <v>73.010000000000005</v>
      </c>
      <c r="M1926">
        <v>10</v>
      </c>
      <c r="N1926">
        <v>7</v>
      </c>
      <c r="O1926">
        <v>1</v>
      </c>
      <c r="P1926">
        <v>1</v>
      </c>
      <c r="Q1926">
        <v>8</v>
      </c>
      <c r="R1926">
        <v>4</v>
      </c>
      <c r="S1926">
        <v>1</v>
      </c>
      <c r="T1926">
        <v>0</v>
      </c>
      <c r="U1926">
        <v>0</v>
      </c>
      <c r="V1926">
        <v>1</v>
      </c>
      <c r="W1926" t="s">
        <v>52</v>
      </c>
      <c r="X1926">
        <v>3</v>
      </c>
      <c r="Y1926">
        <v>1</v>
      </c>
      <c r="Z1926">
        <f t="shared" si="180"/>
        <v>33</v>
      </c>
      <c r="AA1926">
        <f t="shared" si="181"/>
        <v>0.3</v>
      </c>
      <c r="AB1926">
        <f t="shared" si="182"/>
        <v>45</v>
      </c>
      <c r="AC1926" t="str">
        <f t="shared" si="183"/>
        <v>Medium</v>
      </c>
      <c r="AD1926" t="str">
        <f t="shared" si="184"/>
        <v>Nudge core feature adoption</v>
      </c>
      <c r="AE1926">
        <f t="shared" si="185"/>
        <v>67</v>
      </c>
    </row>
    <row r="1927" spans="1:31" x14ac:dyDescent="0.35">
      <c r="A1927" t="s">
        <v>1985</v>
      </c>
      <c r="B1927" s="4">
        <v>44778</v>
      </c>
      <c r="C1927" s="4">
        <v>46143</v>
      </c>
      <c r="D1927" t="s">
        <v>32</v>
      </c>
      <c r="E1927">
        <v>49</v>
      </c>
      <c r="F1927" t="s">
        <v>33</v>
      </c>
      <c r="G1927" t="s">
        <v>67</v>
      </c>
      <c r="H1927" t="s">
        <v>41</v>
      </c>
      <c r="I1927" t="s">
        <v>36</v>
      </c>
      <c r="J1927">
        <v>45</v>
      </c>
      <c r="K1927" s="5">
        <v>0</v>
      </c>
      <c r="L1927" s="5">
        <v>322.89</v>
      </c>
      <c r="M1927">
        <v>6</v>
      </c>
      <c r="N1927">
        <v>4</v>
      </c>
      <c r="O1927">
        <v>1</v>
      </c>
      <c r="P1927">
        <v>0</v>
      </c>
      <c r="Q1927">
        <v>11</v>
      </c>
      <c r="R1927">
        <v>4</v>
      </c>
      <c r="S1927">
        <v>1</v>
      </c>
      <c r="T1927">
        <v>1</v>
      </c>
      <c r="U1927">
        <v>0</v>
      </c>
      <c r="V1927">
        <v>0</v>
      </c>
      <c r="W1927" t="s">
        <v>55</v>
      </c>
      <c r="X1927">
        <v>26</v>
      </c>
      <c r="Y1927">
        <v>1</v>
      </c>
      <c r="Z1927">
        <f t="shared" si="180"/>
        <v>21</v>
      </c>
      <c r="AA1927">
        <f t="shared" si="181"/>
        <v>0.22666666666666666</v>
      </c>
      <c r="AB1927">
        <f t="shared" si="182"/>
        <v>39</v>
      </c>
      <c r="AC1927" t="str">
        <f t="shared" si="183"/>
        <v>Low</v>
      </c>
      <c r="AD1927" t="str">
        <f t="shared" si="184"/>
        <v>Upsell premium bundle</v>
      </c>
      <c r="AE1927">
        <f t="shared" si="185"/>
        <v>79</v>
      </c>
    </row>
    <row r="1928" spans="1:31" x14ac:dyDescent="0.35">
      <c r="A1928" t="s">
        <v>1986</v>
      </c>
      <c r="B1928" s="4">
        <v>45830</v>
      </c>
      <c r="C1928" s="4">
        <v>46143</v>
      </c>
      <c r="D1928" t="s">
        <v>47</v>
      </c>
      <c r="E1928">
        <v>53</v>
      </c>
      <c r="F1928" t="s">
        <v>57</v>
      </c>
      <c r="G1928" t="s">
        <v>67</v>
      </c>
      <c r="H1928" t="s">
        <v>58</v>
      </c>
      <c r="I1928" t="s">
        <v>36</v>
      </c>
      <c r="J1928">
        <v>10</v>
      </c>
      <c r="K1928" s="5">
        <v>439.3</v>
      </c>
      <c r="L1928" s="5">
        <v>636.47</v>
      </c>
      <c r="M1928">
        <v>15</v>
      </c>
      <c r="N1928">
        <v>4</v>
      </c>
      <c r="O1928">
        <v>3</v>
      </c>
      <c r="P1928">
        <v>2</v>
      </c>
      <c r="Q1928">
        <v>21</v>
      </c>
      <c r="R1928">
        <v>0</v>
      </c>
      <c r="S1928">
        <v>2</v>
      </c>
      <c r="T1928">
        <v>1</v>
      </c>
      <c r="U1928">
        <v>0</v>
      </c>
      <c r="V1928">
        <v>1</v>
      </c>
      <c r="W1928" t="s">
        <v>37</v>
      </c>
      <c r="X1928">
        <v>7</v>
      </c>
      <c r="Y1928">
        <v>0</v>
      </c>
      <c r="Z1928">
        <f t="shared" si="180"/>
        <v>52</v>
      </c>
      <c r="AA1928">
        <f t="shared" si="181"/>
        <v>0.9</v>
      </c>
      <c r="AB1928">
        <f t="shared" si="182"/>
        <v>40</v>
      </c>
      <c r="AC1928" t="str">
        <f t="shared" si="183"/>
        <v>Medium</v>
      </c>
      <c r="AD1928" t="str">
        <f t="shared" si="184"/>
        <v>Nudge core feature adoption</v>
      </c>
      <c r="AE1928">
        <f t="shared" si="185"/>
        <v>48</v>
      </c>
    </row>
    <row r="1929" spans="1:31" x14ac:dyDescent="0.35">
      <c r="A1929" t="s">
        <v>1987</v>
      </c>
      <c r="B1929" s="4">
        <v>44729</v>
      </c>
      <c r="C1929" s="4">
        <v>46143</v>
      </c>
      <c r="D1929" t="s">
        <v>32</v>
      </c>
      <c r="E1929">
        <v>59</v>
      </c>
      <c r="F1929" t="s">
        <v>61</v>
      </c>
      <c r="G1929" t="s">
        <v>63</v>
      </c>
      <c r="H1929" t="s">
        <v>41</v>
      </c>
      <c r="I1929" t="s">
        <v>54</v>
      </c>
      <c r="J1929">
        <v>47</v>
      </c>
      <c r="K1929" s="5">
        <v>1656.53</v>
      </c>
      <c r="L1929" s="5">
        <v>651.27</v>
      </c>
      <c r="M1929">
        <v>21</v>
      </c>
      <c r="N1929">
        <v>13</v>
      </c>
      <c r="O1929">
        <v>5</v>
      </c>
      <c r="P1929">
        <v>1</v>
      </c>
      <c r="Q1929">
        <v>10</v>
      </c>
      <c r="R1929">
        <v>1</v>
      </c>
      <c r="S1929">
        <v>0</v>
      </c>
      <c r="T1929">
        <v>1</v>
      </c>
      <c r="U1929">
        <v>1</v>
      </c>
      <c r="V1929">
        <v>0</v>
      </c>
      <c r="W1929" t="s">
        <v>55</v>
      </c>
      <c r="X1929">
        <v>41</v>
      </c>
      <c r="Y1929">
        <v>0</v>
      </c>
      <c r="Z1929">
        <f t="shared" si="180"/>
        <v>57</v>
      </c>
      <c r="AA1929">
        <f t="shared" si="181"/>
        <v>0.40259740259740262</v>
      </c>
      <c r="AB1929">
        <f t="shared" si="182"/>
        <v>29</v>
      </c>
      <c r="AC1929" t="str">
        <f t="shared" si="183"/>
        <v>Low</v>
      </c>
      <c r="AD1929" t="str">
        <f t="shared" si="184"/>
        <v>Upsell premium bundle</v>
      </c>
      <c r="AE1929">
        <f t="shared" si="185"/>
        <v>43</v>
      </c>
    </row>
    <row r="1930" spans="1:31" x14ac:dyDescent="0.35">
      <c r="A1930" t="s">
        <v>1988</v>
      </c>
      <c r="B1930" s="4">
        <v>45518</v>
      </c>
      <c r="C1930" s="4">
        <v>46143</v>
      </c>
      <c r="D1930" t="s">
        <v>72</v>
      </c>
      <c r="E1930">
        <v>20</v>
      </c>
      <c r="F1930" t="s">
        <v>33</v>
      </c>
      <c r="G1930" t="s">
        <v>40</v>
      </c>
      <c r="H1930" t="s">
        <v>41</v>
      </c>
      <c r="I1930" t="s">
        <v>36</v>
      </c>
      <c r="J1930">
        <v>20</v>
      </c>
      <c r="K1930" s="5">
        <v>137.24</v>
      </c>
      <c r="L1930" s="5">
        <v>74.09</v>
      </c>
      <c r="M1930">
        <v>20</v>
      </c>
      <c r="N1930">
        <v>5</v>
      </c>
      <c r="O1930">
        <v>3</v>
      </c>
      <c r="P1930">
        <v>1</v>
      </c>
      <c r="Q1930">
        <v>19</v>
      </c>
      <c r="R1930">
        <v>0</v>
      </c>
      <c r="S1930">
        <v>0</v>
      </c>
      <c r="T1930">
        <v>1</v>
      </c>
      <c r="U1930">
        <v>0</v>
      </c>
      <c r="V1930">
        <v>1</v>
      </c>
      <c r="W1930" t="s">
        <v>37</v>
      </c>
      <c r="X1930">
        <v>51</v>
      </c>
      <c r="Y1930">
        <v>1</v>
      </c>
      <c r="Z1930">
        <f t="shared" si="180"/>
        <v>55</v>
      </c>
      <c r="AA1930">
        <f t="shared" si="181"/>
        <v>0.78</v>
      </c>
      <c r="AB1930">
        <f t="shared" si="182"/>
        <v>11</v>
      </c>
      <c r="AC1930" t="str">
        <f t="shared" si="183"/>
        <v>Low</v>
      </c>
      <c r="AD1930" t="str">
        <f t="shared" si="184"/>
        <v>Upsell premium bundle</v>
      </c>
      <c r="AE1930">
        <f t="shared" si="185"/>
        <v>45</v>
      </c>
    </row>
    <row r="1931" spans="1:31" x14ac:dyDescent="0.35">
      <c r="A1931" t="s">
        <v>1989</v>
      </c>
      <c r="B1931" s="4">
        <v>46067</v>
      </c>
      <c r="C1931" s="4">
        <v>46143</v>
      </c>
      <c r="D1931" t="s">
        <v>72</v>
      </c>
      <c r="E1931">
        <v>23</v>
      </c>
      <c r="F1931" t="s">
        <v>57</v>
      </c>
      <c r="G1931" t="s">
        <v>34</v>
      </c>
      <c r="H1931" t="s">
        <v>58</v>
      </c>
      <c r="I1931" t="s">
        <v>36</v>
      </c>
      <c r="J1931">
        <v>2</v>
      </c>
      <c r="K1931" s="5">
        <v>617.61</v>
      </c>
      <c r="L1931" s="5">
        <v>1070.45</v>
      </c>
      <c r="M1931">
        <v>31</v>
      </c>
      <c r="N1931">
        <v>11</v>
      </c>
      <c r="O1931">
        <v>8</v>
      </c>
      <c r="P1931">
        <v>1</v>
      </c>
      <c r="Q1931">
        <v>29</v>
      </c>
      <c r="R1931">
        <v>0</v>
      </c>
      <c r="S1931">
        <v>0</v>
      </c>
      <c r="T1931">
        <v>1</v>
      </c>
      <c r="U1931">
        <v>1</v>
      </c>
      <c r="V1931">
        <v>0</v>
      </c>
      <c r="W1931" t="s">
        <v>50</v>
      </c>
      <c r="X1931">
        <v>48</v>
      </c>
      <c r="Y1931">
        <v>0</v>
      </c>
      <c r="Z1931">
        <f t="shared" si="180"/>
        <v>87</v>
      </c>
      <c r="AA1931">
        <f t="shared" si="181"/>
        <v>1.875</v>
      </c>
      <c r="AB1931">
        <f t="shared" si="182"/>
        <v>0</v>
      </c>
      <c r="AC1931" t="str">
        <f t="shared" si="183"/>
        <v>Low</v>
      </c>
      <c r="AD1931" t="str">
        <f t="shared" si="184"/>
        <v>Upsell premium bundle</v>
      </c>
      <c r="AE1931">
        <f t="shared" si="185"/>
        <v>13</v>
      </c>
    </row>
    <row r="1932" spans="1:31" x14ac:dyDescent="0.35">
      <c r="A1932" t="s">
        <v>1990</v>
      </c>
      <c r="B1932" s="4">
        <v>44765</v>
      </c>
      <c r="C1932" s="4">
        <v>46143</v>
      </c>
      <c r="D1932" t="s">
        <v>47</v>
      </c>
      <c r="E1932">
        <v>23</v>
      </c>
      <c r="F1932" t="s">
        <v>43</v>
      </c>
      <c r="G1932" t="s">
        <v>63</v>
      </c>
      <c r="H1932" t="s">
        <v>41</v>
      </c>
      <c r="I1932" t="s">
        <v>36</v>
      </c>
      <c r="J1932">
        <v>45</v>
      </c>
      <c r="K1932" s="5">
        <v>91.82</v>
      </c>
      <c r="L1932" s="5">
        <v>53.41</v>
      </c>
      <c r="M1932">
        <v>22</v>
      </c>
      <c r="N1932">
        <v>6</v>
      </c>
      <c r="O1932">
        <v>4</v>
      </c>
      <c r="P1932">
        <v>1</v>
      </c>
      <c r="Q1932">
        <v>19</v>
      </c>
      <c r="R1932">
        <v>1</v>
      </c>
      <c r="S1932">
        <v>0</v>
      </c>
      <c r="T1932">
        <v>1</v>
      </c>
      <c r="U1932">
        <v>1</v>
      </c>
      <c r="V1932">
        <v>0</v>
      </c>
      <c r="W1932" t="s">
        <v>55</v>
      </c>
      <c r="X1932">
        <v>-32</v>
      </c>
      <c r="Y1932">
        <v>0</v>
      </c>
      <c r="Z1932">
        <f t="shared" si="180"/>
        <v>60</v>
      </c>
      <c r="AA1932">
        <f t="shared" si="181"/>
        <v>0.54666666666666663</v>
      </c>
      <c r="AB1932">
        <f t="shared" si="182"/>
        <v>49</v>
      </c>
      <c r="AC1932" t="str">
        <f t="shared" si="183"/>
        <v>Medium</v>
      </c>
      <c r="AD1932" t="str">
        <f t="shared" si="184"/>
        <v>Nudge core feature adoption</v>
      </c>
      <c r="AE1932">
        <f t="shared" si="185"/>
        <v>40</v>
      </c>
    </row>
    <row r="1933" spans="1:31" x14ac:dyDescent="0.35">
      <c r="A1933" t="s">
        <v>1991</v>
      </c>
      <c r="B1933" s="4">
        <v>44718</v>
      </c>
      <c r="C1933" s="4">
        <v>46143</v>
      </c>
      <c r="D1933" t="s">
        <v>60</v>
      </c>
      <c r="E1933">
        <v>28</v>
      </c>
      <c r="F1933" t="s">
        <v>33</v>
      </c>
      <c r="G1933" t="s">
        <v>34</v>
      </c>
      <c r="H1933" t="s">
        <v>41</v>
      </c>
      <c r="I1933" t="s">
        <v>36</v>
      </c>
      <c r="J1933">
        <v>47</v>
      </c>
      <c r="K1933" s="5">
        <v>208.79</v>
      </c>
      <c r="L1933" s="5">
        <v>480.64</v>
      </c>
      <c r="M1933">
        <v>13</v>
      </c>
      <c r="N1933">
        <v>4</v>
      </c>
      <c r="O1933">
        <v>3</v>
      </c>
      <c r="P1933">
        <v>1</v>
      </c>
      <c r="Q1933">
        <v>6</v>
      </c>
      <c r="R1933">
        <v>1</v>
      </c>
      <c r="S1933">
        <v>1</v>
      </c>
      <c r="T1933">
        <v>1</v>
      </c>
      <c r="U1933">
        <v>0</v>
      </c>
      <c r="V1933">
        <v>0</v>
      </c>
      <c r="W1933" t="s">
        <v>55</v>
      </c>
      <c r="X1933">
        <v>52</v>
      </c>
      <c r="Y1933">
        <v>1</v>
      </c>
      <c r="Z1933">
        <f t="shared" si="180"/>
        <v>28</v>
      </c>
      <c r="AA1933">
        <f t="shared" si="181"/>
        <v>0.24675324675324675</v>
      </c>
      <c r="AB1933">
        <f t="shared" si="182"/>
        <v>27</v>
      </c>
      <c r="AC1933" t="str">
        <f t="shared" si="183"/>
        <v>Low</v>
      </c>
      <c r="AD1933" t="str">
        <f t="shared" si="184"/>
        <v>Upsell premium bundle</v>
      </c>
      <c r="AE1933">
        <f t="shared" si="185"/>
        <v>72</v>
      </c>
    </row>
    <row r="1934" spans="1:31" x14ac:dyDescent="0.35">
      <c r="A1934" t="s">
        <v>1992</v>
      </c>
      <c r="B1934" s="4">
        <v>46112</v>
      </c>
      <c r="C1934" s="4">
        <v>46143</v>
      </c>
      <c r="D1934" t="s">
        <v>72</v>
      </c>
      <c r="E1934">
        <v>18</v>
      </c>
      <c r="F1934" t="s">
        <v>57</v>
      </c>
      <c r="G1934" t="s">
        <v>67</v>
      </c>
      <c r="H1934" t="s">
        <v>41</v>
      </c>
      <c r="I1934" t="s">
        <v>36</v>
      </c>
      <c r="J1934">
        <v>1</v>
      </c>
      <c r="K1934" s="5">
        <v>967.31</v>
      </c>
      <c r="L1934" s="5">
        <v>667.63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</v>
      </c>
      <c r="S1934">
        <v>0</v>
      </c>
      <c r="T1934">
        <v>0</v>
      </c>
      <c r="U1934">
        <v>0</v>
      </c>
      <c r="V1934">
        <v>0</v>
      </c>
      <c r="W1934" t="s">
        <v>55</v>
      </c>
      <c r="X1934">
        <v>18</v>
      </c>
      <c r="Y1934">
        <v>0</v>
      </c>
      <c r="Z1934">
        <f t="shared" si="180"/>
        <v>0</v>
      </c>
      <c r="AA1934">
        <f t="shared" si="181"/>
        <v>0</v>
      </c>
      <c r="AB1934">
        <f t="shared" si="182"/>
        <v>46</v>
      </c>
      <c r="AC1934" t="str">
        <f t="shared" si="183"/>
        <v>Medium</v>
      </c>
      <c r="AD1934" t="str">
        <f t="shared" si="184"/>
        <v>Nudge core feature adoption</v>
      </c>
      <c r="AE1934">
        <f t="shared" si="185"/>
        <v>100</v>
      </c>
    </row>
    <row r="1935" spans="1:31" x14ac:dyDescent="0.35">
      <c r="A1935" t="s">
        <v>1993</v>
      </c>
      <c r="B1935" s="4">
        <v>44851</v>
      </c>
      <c r="C1935" s="4">
        <v>46143</v>
      </c>
      <c r="D1935" t="s">
        <v>32</v>
      </c>
      <c r="E1935">
        <v>22</v>
      </c>
      <c r="F1935" t="s">
        <v>43</v>
      </c>
      <c r="G1935" t="s">
        <v>34</v>
      </c>
      <c r="H1935" t="s">
        <v>44</v>
      </c>
      <c r="I1935" t="s">
        <v>36</v>
      </c>
      <c r="J1935">
        <v>43</v>
      </c>
      <c r="K1935" s="5">
        <v>118.45</v>
      </c>
      <c r="L1935" s="5">
        <v>81.040000000000006</v>
      </c>
      <c r="M1935">
        <v>46</v>
      </c>
      <c r="N1935">
        <v>19</v>
      </c>
      <c r="O1935">
        <v>3</v>
      </c>
      <c r="P1935">
        <v>2</v>
      </c>
      <c r="Q1935">
        <v>35</v>
      </c>
      <c r="R1935">
        <v>3</v>
      </c>
      <c r="S1935">
        <v>3</v>
      </c>
      <c r="T1935">
        <v>0</v>
      </c>
      <c r="U1935">
        <v>1</v>
      </c>
      <c r="V1935">
        <v>1</v>
      </c>
      <c r="W1935" t="s">
        <v>45</v>
      </c>
      <c r="X1935">
        <v>23</v>
      </c>
      <c r="Y1935">
        <v>0</v>
      </c>
      <c r="Z1935">
        <f t="shared" si="180"/>
        <v>100</v>
      </c>
      <c r="AA1935">
        <f t="shared" si="181"/>
        <v>1.1095890410958904</v>
      </c>
      <c r="AB1935">
        <f t="shared" si="182"/>
        <v>16</v>
      </c>
      <c r="AC1935" t="str">
        <f t="shared" si="183"/>
        <v>Low</v>
      </c>
      <c r="AD1935" t="str">
        <f t="shared" si="184"/>
        <v>Upsell premium bundle</v>
      </c>
      <c r="AE1935">
        <f t="shared" si="185"/>
        <v>0</v>
      </c>
    </row>
    <row r="1936" spans="1:31" x14ac:dyDescent="0.35">
      <c r="A1936" t="s">
        <v>1994</v>
      </c>
      <c r="B1936" s="4">
        <v>45278</v>
      </c>
      <c r="C1936" s="4">
        <v>46143</v>
      </c>
      <c r="D1936" t="s">
        <v>47</v>
      </c>
      <c r="E1936">
        <v>25</v>
      </c>
      <c r="F1936" t="s">
        <v>57</v>
      </c>
      <c r="G1936" t="s">
        <v>85</v>
      </c>
      <c r="H1936" t="s">
        <v>44</v>
      </c>
      <c r="I1936" t="s">
        <v>36</v>
      </c>
      <c r="J1936">
        <v>28</v>
      </c>
      <c r="K1936" s="5">
        <v>862.88</v>
      </c>
      <c r="L1936" s="5">
        <v>1099.17</v>
      </c>
      <c r="M1936">
        <v>28</v>
      </c>
      <c r="N1936">
        <v>8</v>
      </c>
      <c r="O1936">
        <v>7</v>
      </c>
      <c r="P1936">
        <v>2</v>
      </c>
      <c r="Q1936">
        <v>15</v>
      </c>
      <c r="R1936">
        <v>2</v>
      </c>
      <c r="S1936">
        <v>1</v>
      </c>
      <c r="T1936">
        <v>1</v>
      </c>
      <c r="U1936">
        <v>1</v>
      </c>
      <c r="V1936">
        <v>1</v>
      </c>
      <c r="W1936" t="s">
        <v>37</v>
      </c>
      <c r="X1936">
        <v>36</v>
      </c>
      <c r="Y1936">
        <v>0</v>
      </c>
      <c r="Z1936">
        <f t="shared" si="180"/>
        <v>76</v>
      </c>
      <c r="AA1936">
        <f t="shared" si="181"/>
        <v>0.74137931034482762</v>
      </c>
      <c r="AB1936">
        <f t="shared" si="182"/>
        <v>5</v>
      </c>
      <c r="AC1936" t="str">
        <f t="shared" si="183"/>
        <v>Low</v>
      </c>
      <c r="AD1936" t="str">
        <f t="shared" si="184"/>
        <v>Upsell premium bundle</v>
      </c>
      <c r="AE1936">
        <f t="shared" si="185"/>
        <v>24</v>
      </c>
    </row>
    <row r="1937" spans="1:31" x14ac:dyDescent="0.35">
      <c r="A1937" t="s">
        <v>1995</v>
      </c>
      <c r="B1937" s="4">
        <v>45413</v>
      </c>
      <c r="C1937" s="4">
        <v>46143</v>
      </c>
      <c r="D1937" t="s">
        <v>47</v>
      </c>
      <c r="E1937">
        <v>72</v>
      </c>
      <c r="F1937" t="s">
        <v>33</v>
      </c>
      <c r="G1937" t="s">
        <v>48</v>
      </c>
      <c r="H1937" t="s">
        <v>58</v>
      </c>
      <c r="I1937" t="s">
        <v>36</v>
      </c>
      <c r="J1937">
        <v>24</v>
      </c>
      <c r="K1937" s="5">
        <v>331.27</v>
      </c>
      <c r="L1937" s="5">
        <v>508.74</v>
      </c>
      <c r="M1937">
        <v>6</v>
      </c>
      <c r="N1937">
        <v>1</v>
      </c>
      <c r="O1937">
        <v>1</v>
      </c>
      <c r="P1937">
        <v>0</v>
      </c>
      <c r="Q1937">
        <v>10</v>
      </c>
      <c r="R1937">
        <v>0</v>
      </c>
      <c r="S1937">
        <v>0</v>
      </c>
      <c r="T1937">
        <v>1</v>
      </c>
      <c r="U1937">
        <v>0</v>
      </c>
      <c r="V1937">
        <v>0</v>
      </c>
      <c r="W1937" t="s">
        <v>52</v>
      </c>
      <c r="X1937">
        <v>2</v>
      </c>
      <c r="Y1937">
        <v>1</v>
      </c>
      <c r="Z1937">
        <f t="shared" si="180"/>
        <v>18</v>
      </c>
      <c r="AA1937">
        <f t="shared" si="181"/>
        <v>0.29629629629629628</v>
      </c>
      <c r="AB1937">
        <f t="shared" si="182"/>
        <v>40</v>
      </c>
      <c r="AC1937" t="str">
        <f t="shared" si="183"/>
        <v>Medium</v>
      </c>
      <c r="AD1937" t="str">
        <f t="shared" si="184"/>
        <v>Nudge core feature adoption</v>
      </c>
      <c r="AE1937">
        <f t="shared" si="185"/>
        <v>82</v>
      </c>
    </row>
    <row r="1938" spans="1:31" x14ac:dyDescent="0.35">
      <c r="A1938" t="s">
        <v>1996</v>
      </c>
      <c r="B1938" s="4">
        <v>45664</v>
      </c>
      <c r="C1938" s="4">
        <v>46143</v>
      </c>
      <c r="D1938" t="s">
        <v>47</v>
      </c>
      <c r="E1938">
        <v>23</v>
      </c>
      <c r="F1938" t="s">
        <v>33</v>
      </c>
      <c r="G1938" t="s">
        <v>85</v>
      </c>
      <c r="H1938" t="s">
        <v>44</v>
      </c>
      <c r="I1938" t="s">
        <v>36</v>
      </c>
      <c r="J1938">
        <v>15</v>
      </c>
      <c r="K1938" s="5">
        <v>0</v>
      </c>
      <c r="L1938" s="5">
        <v>70.59</v>
      </c>
      <c r="M1938">
        <v>17</v>
      </c>
      <c r="N1938">
        <v>9</v>
      </c>
      <c r="O1938">
        <v>3</v>
      </c>
      <c r="P1938">
        <v>1</v>
      </c>
      <c r="Q1938">
        <v>14</v>
      </c>
      <c r="R1938">
        <v>3</v>
      </c>
      <c r="S1938">
        <v>0</v>
      </c>
      <c r="T1938">
        <v>0</v>
      </c>
      <c r="U1938">
        <v>0</v>
      </c>
      <c r="V1938">
        <v>1</v>
      </c>
      <c r="W1938" t="s">
        <v>45</v>
      </c>
      <c r="X1938">
        <v>8</v>
      </c>
      <c r="Y1938">
        <v>1</v>
      </c>
      <c r="Z1938">
        <f t="shared" si="180"/>
        <v>50</v>
      </c>
      <c r="AA1938">
        <f t="shared" si="181"/>
        <v>0.68888888888888888</v>
      </c>
      <c r="AB1938">
        <f t="shared" si="182"/>
        <v>20</v>
      </c>
      <c r="AC1938" t="str">
        <f t="shared" si="183"/>
        <v>Low</v>
      </c>
      <c r="AD1938" t="str">
        <f t="shared" si="184"/>
        <v>Upsell premium bundle</v>
      </c>
      <c r="AE1938">
        <f t="shared" si="185"/>
        <v>50</v>
      </c>
    </row>
    <row r="1939" spans="1:31" x14ac:dyDescent="0.35">
      <c r="A1939" t="s">
        <v>1997</v>
      </c>
      <c r="B1939" s="4">
        <v>46000</v>
      </c>
      <c r="C1939" s="4">
        <v>46143</v>
      </c>
      <c r="D1939" t="s">
        <v>32</v>
      </c>
      <c r="E1939">
        <v>29</v>
      </c>
      <c r="F1939" t="s">
        <v>33</v>
      </c>
      <c r="G1939" t="s">
        <v>34</v>
      </c>
      <c r="H1939" t="s">
        <v>41</v>
      </c>
      <c r="I1939" t="s">
        <v>36</v>
      </c>
      <c r="J1939">
        <v>4</v>
      </c>
      <c r="K1939" s="5">
        <v>189.62</v>
      </c>
      <c r="L1939" s="5">
        <v>231.37</v>
      </c>
      <c r="M1939">
        <v>32</v>
      </c>
      <c r="N1939">
        <v>14</v>
      </c>
      <c r="O1939">
        <v>4</v>
      </c>
      <c r="P1939">
        <v>3</v>
      </c>
      <c r="Q1939">
        <v>14</v>
      </c>
      <c r="R1939">
        <v>2</v>
      </c>
      <c r="S1939">
        <v>0</v>
      </c>
      <c r="T1939">
        <v>1</v>
      </c>
      <c r="U1939">
        <v>1</v>
      </c>
      <c r="V1939">
        <v>1</v>
      </c>
      <c r="W1939" t="s">
        <v>50</v>
      </c>
      <c r="X1939">
        <v>54</v>
      </c>
      <c r="Y1939">
        <v>0</v>
      </c>
      <c r="Z1939">
        <f t="shared" si="180"/>
        <v>82</v>
      </c>
      <c r="AA1939">
        <f t="shared" si="181"/>
        <v>1.3529411764705883</v>
      </c>
      <c r="AB1939">
        <f t="shared" si="182"/>
        <v>0</v>
      </c>
      <c r="AC1939" t="str">
        <f t="shared" si="183"/>
        <v>Low</v>
      </c>
      <c r="AD1939" t="str">
        <f t="shared" si="184"/>
        <v>Upsell premium bundle</v>
      </c>
      <c r="AE1939">
        <f t="shared" si="185"/>
        <v>18</v>
      </c>
    </row>
    <row r="1940" spans="1:31" x14ac:dyDescent="0.35">
      <c r="A1940" t="s">
        <v>1998</v>
      </c>
      <c r="B1940" s="4">
        <v>45133</v>
      </c>
      <c r="C1940" s="4">
        <v>46143</v>
      </c>
      <c r="D1940" t="s">
        <v>66</v>
      </c>
      <c r="E1940">
        <v>49</v>
      </c>
      <c r="F1940" t="s">
        <v>61</v>
      </c>
      <c r="G1940" t="s">
        <v>40</v>
      </c>
      <c r="H1940" t="s">
        <v>58</v>
      </c>
      <c r="I1940" t="s">
        <v>36</v>
      </c>
      <c r="J1940">
        <v>33</v>
      </c>
      <c r="K1940" s="5">
        <v>1977.24</v>
      </c>
      <c r="L1940" s="5">
        <v>1981.56</v>
      </c>
      <c r="M1940">
        <v>20</v>
      </c>
      <c r="N1940">
        <v>6</v>
      </c>
      <c r="O1940">
        <v>4</v>
      </c>
      <c r="P1940">
        <v>3</v>
      </c>
      <c r="Q1940">
        <v>32</v>
      </c>
      <c r="R1940">
        <v>0</v>
      </c>
      <c r="S1940">
        <v>2</v>
      </c>
      <c r="T1940">
        <v>1</v>
      </c>
      <c r="U1940">
        <v>0</v>
      </c>
      <c r="V1940">
        <v>0</v>
      </c>
      <c r="W1940" t="s">
        <v>45</v>
      </c>
      <c r="X1940">
        <v>-42</v>
      </c>
      <c r="Y1940">
        <v>1</v>
      </c>
      <c r="Z1940">
        <f t="shared" si="180"/>
        <v>64</v>
      </c>
      <c r="AA1940">
        <f t="shared" si="181"/>
        <v>0.82539682539682535</v>
      </c>
      <c r="AB1940">
        <f t="shared" si="182"/>
        <v>49</v>
      </c>
      <c r="AC1940" t="str">
        <f t="shared" si="183"/>
        <v>Medium</v>
      </c>
      <c r="AD1940" t="str">
        <f t="shared" si="184"/>
        <v>Nudge core feature adoption</v>
      </c>
      <c r="AE1940">
        <f t="shared" si="185"/>
        <v>36</v>
      </c>
    </row>
    <row r="1941" spans="1:31" x14ac:dyDescent="0.35">
      <c r="A1941" t="s">
        <v>1999</v>
      </c>
      <c r="B1941" s="4">
        <v>45970</v>
      </c>
      <c r="C1941" s="4">
        <v>46143</v>
      </c>
      <c r="D1941" t="s">
        <v>72</v>
      </c>
      <c r="E1941">
        <v>51</v>
      </c>
      <c r="F1941" t="s">
        <v>33</v>
      </c>
      <c r="G1941" t="s">
        <v>34</v>
      </c>
      <c r="H1941" t="s">
        <v>41</v>
      </c>
      <c r="I1941" t="s">
        <v>36</v>
      </c>
      <c r="J1941">
        <v>5</v>
      </c>
      <c r="K1941" s="5">
        <v>347.59</v>
      </c>
      <c r="L1941" s="5">
        <v>19.14</v>
      </c>
      <c r="M1941">
        <v>44</v>
      </c>
      <c r="N1941">
        <v>19</v>
      </c>
      <c r="O1941">
        <v>6</v>
      </c>
      <c r="P1941">
        <v>3</v>
      </c>
      <c r="Q1941">
        <v>18</v>
      </c>
      <c r="R1941">
        <v>0</v>
      </c>
      <c r="S1941">
        <v>0</v>
      </c>
      <c r="T1941">
        <v>1</v>
      </c>
      <c r="U1941">
        <v>0</v>
      </c>
      <c r="V1941">
        <v>0</v>
      </c>
      <c r="W1941" t="s">
        <v>45</v>
      </c>
      <c r="X1941">
        <v>9</v>
      </c>
      <c r="Y1941">
        <v>0</v>
      </c>
      <c r="Z1941">
        <f t="shared" si="180"/>
        <v>89</v>
      </c>
      <c r="AA1941">
        <f t="shared" si="181"/>
        <v>1.7714285714285714</v>
      </c>
      <c r="AB1941">
        <f t="shared" si="182"/>
        <v>18</v>
      </c>
      <c r="AC1941" t="str">
        <f t="shared" si="183"/>
        <v>Low</v>
      </c>
      <c r="AD1941" t="str">
        <f t="shared" si="184"/>
        <v>Upsell premium bundle</v>
      </c>
      <c r="AE1941">
        <f t="shared" si="185"/>
        <v>11</v>
      </c>
    </row>
    <row r="1942" spans="1:31" x14ac:dyDescent="0.35">
      <c r="A1942" t="s">
        <v>2000</v>
      </c>
      <c r="B1942" s="4">
        <v>44948</v>
      </c>
      <c r="C1942" s="4">
        <v>46143</v>
      </c>
      <c r="D1942" t="s">
        <v>39</v>
      </c>
      <c r="E1942">
        <v>71</v>
      </c>
      <c r="F1942" t="s">
        <v>57</v>
      </c>
      <c r="G1942" t="s">
        <v>48</v>
      </c>
      <c r="H1942" t="s">
        <v>41</v>
      </c>
      <c r="I1942" t="s">
        <v>36</v>
      </c>
      <c r="J1942">
        <v>39</v>
      </c>
      <c r="K1942" s="5">
        <v>3123.02</v>
      </c>
      <c r="L1942" s="5">
        <v>870.59</v>
      </c>
      <c r="M1942">
        <v>26</v>
      </c>
      <c r="N1942">
        <v>7</v>
      </c>
      <c r="O1942">
        <v>5</v>
      </c>
      <c r="P1942">
        <v>0</v>
      </c>
      <c r="Q1942">
        <v>20</v>
      </c>
      <c r="R1942">
        <v>4</v>
      </c>
      <c r="S1942">
        <v>0</v>
      </c>
      <c r="T1942">
        <v>1</v>
      </c>
      <c r="U1942">
        <v>0</v>
      </c>
      <c r="V1942">
        <v>1</v>
      </c>
      <c r="W1942" t="s">
        <v>50</v>
      </c>
      <c r="X1942">
        <v>-32</v>
      </c>
      <c r="Y1942">
        <v>1</v>
      </c>
      <c r="Z1942">
        <f t="shared" si="180"/>
        <v>65</v>
      </c>
      <c r="AA1942">
        <f t="shared" si="181"/>
        <v>0.66666666666666663</v>
      </c>
      <c r="AB1942">
        <f t="shared" si="182"/>
        <v>42</v>
      </c>
      <c r="AC1942" t="str">
        <f t="shared" si="183"/>
        <v>Medium</v>
      </c>
      <c r="AD1942" t="str">
        <f t="shared" si="184"/>
        <v>Nudge core feature adoption</v>
      </c>
      <c r="AE1942">
        <f t="shared" si="185"/>
        <v>35</v>
      </c>
    </row>
    <row r="1943" spans="1:31" x14ac:dyDescent="0.35">
      <c r="A1943" t="s">
        <v>2001</v>
      </c>
      <c r="B1943" s="4">
        <v>45184</v>
      </c>
      <c r="C1943" s="4">
        <v>46143</v>
      </c>
      <c r="D1943" t="s">
        <v>32</v>
      </c>
      <c r="E1943">
        <v>34</v>
      </c>
      <c r="F1943" t="s">
        <v>57</v>
      </c>
      <c r="G1943" t="s">
        <v>48</v>
      </c>
      <c r="H1943" t="s">
        <v>41</v>
      </c>
      <c r="I1943" t="s">
        <v>36</v>
      </c>
      <c r="J1943">
        <v>31</v>
      </c>
      <c r="K1943" s="5">
        <v>702.83</v>
      </c>
      <c r="L1943" s="5">
        <v>871.78</v>
      </c>
      <c r="M1943">
        <v>36</v>
      </c>
      <c r="N1943">
        <v>16</v>
      </c>
      <c r="O1943">
        <v>7</v>
      </c>
      <c r="P1943">
        <v>2</v>
      </c>
      <c r="Q1943">
        <v>29</v>
      </c>
      <c r="R1943">
        <v>0</v>
      </c>
      <c r="S1943">
        <v>0</v>
      </c>
      <c r="T1943">
        <v>1</v>
      </c>
      <c r="U1943">
        <v>0</v>
      </c>
      <c r="V1943">
        <v>0</v>
      </c>
      <c r="W1943" t="s">
        <v>50</v>
      </c>
      <c r="X1943">
        <v>2</v>
      </c>
      <c r="Y1943">
        <v>0</v>
      </c>
      <c r="Z1943">
        <f t="shared" si="180"/>
        <v>88</v>
      </c>
      <c r="AA1943">
        <f t="shared" si="181"/>
        <v>1.0655737704918034</v>
      </c>
      <c r="AB1943">
        <f t="shared" si="182"/>
        <v>22</v>
      </c>
      <c r="AC1943" t="str">
        <f t="shared" si="183"/>
        <v>Low</v>
      </c>
      <c r="AD1943" t="str">
        <f t="shared" si="184"/>
        <v>Upsell premium bundle</v>
      </c>
      <c r="AE1943">
        <f t="shared" si="185"/>
        <v>12</v>
      </c>
    </row>
    <row r="1944" spans="1:31" x14ac:dyDescent="0.35">
      <c r="A1944" t="s">
        <v>2002</v>
      </c>
      <c r="B1944" s="4">
        <v>45081</v>
      </c>
      <c r="C1944" s="4">
        <v>46143</v>
      </c>
      <c r="D1944" t="s">
        <v>39</v>
      </c>
      <c r="E1944">
        <v>28</v>
      </c>
      <c r="F1944" t="s">
        <v>33</v>
      </c>
      <c r="G1944" t="s">
        <v>34</v>
      </c>
      <c r="H1944" t="s">
        <v>41</v>
      </c>
      <c r="I1944" t="s">
        <v>36</v>
      </c>
      <c r="J1944">
        <v>35</v>
      </c>
      <c r="K1944" s="5">
        <v>162.97</v>
      </c>
      <c r="L1944" s="5">
        <v>221.11</v>
      </c>
      <c r="M1944">
        <v>18</v>
      </c>
      <c r="N1944">
        <v>9</v>
      </c>
      <c r="O1944">
        <v>1</v>
      </c>
      <c r="P1944">
        <v>3</v>
      </c>
      <c r="Q1944">
        <v>15</v>
      </c>
      <c r="R1944">
        <v>4</v>
      </c>
      <c r="S1944">
        <v>2</v>
      </c>
      <c r="T1944">
        <v>1</v>
      </c>
      <c r="U1944">
        <v>1</v>
      </c>
      <c r="V1944">
        <v>1</v>
      </c>
      <c r="W1944" t="s">
        <v>45</v>
      </c>
      <c r="X1944">
        <v>11</v>
      </c>
      <c r="Y1944">
        <v>1</v>
      </c>
      <c r="Z1944">
        <f t="shared" si="180"/>
        <v>60</v>
      </c>
      <c r="AA1944">
        <f t="shared" si="181"/>
        <v>0.50769230769230766</v>
      </c>
      <c r="AB1944">
        <f t="shared" si="182"/>
        <v>39</v>
      </c>
      <c r="AC1944" t="str">
        <f t="shared" si="183"/>
        <v>Low</v>
      </c>
      <c r="AD1944" t="str">
        <f t="shared" si="184"/>
        <v>Upsell premium bundle</v>
      </c>
      <c r="AE1944">
        <f t="shared" si="185"/>
        <v>40</v>
      </c>
    </row>
    <row r="1945" spans="1:31" x14ac:dyDescent="0.35">
      <c r="A1945" t="s">
        <v>2003</v>
      </c>
      <c r="B1945" s="4">
        <v>45892</v>
      </c>
      <c r="C1945" s="4">
        <v>46143</v>
      </c>
      <c r="D1945" t="s">
        <v>47</v>
      </c>
      <c r="E1945">
        <v>72</v>
      </c>
      <c r="F1945" t="s">
        <v>33</v>
      </c>
      <c r="G1945" t="s">
        <v>67</v>
      </c>
      <c r="H1945" t="s">
        <v>41</v>
      </c>
      <c r="I1945" t="s">
        <v>36</v>
      </c>
      <c r="J1945">
        <v>8</v>
      </c>
      <c r="K1945" s="5">
        <v>211.73</v>
      </c>
      <c r="L1945" s="5">
        <v>301.95999999999998</v>
      </c>
      <c r="M1945">
        <v>17</v>
      </c>
      <c r="N1945">
        <v>5</v>
      </c>
      <c r="O1945">
        <v>3</v>
      </c>
      <c r="P1945">
        <v>1</v>
      </c>
      <c r="Q1945">
        <v>16</v>
      </c>
      <c r="R1945">
        <v>0</v>
      </c>
      <c r="S1945">
        <v>0</v>
      </c>
      <c r="T1945">
        <v>1</v>
      </c>
      <c r="U1945">
        <v>0</v>
      </c>
      <c r="V1945">
        <v>1</v>
      </c>
      <c r="W1945" t="s">
        <v>55</v>
      </c>
      <c r="X1945">
        <v>32</v>
      </c>
      <c r="Y1945">
        <v>0</v>
      </c>
      <c r="Z1945">
        <f t="shared" si="180"/>
        <v>49</v>
      </c>
      <c r="AA1945">
        <f t="shared" si="181"/>
        <v>0.86842105263157898</v>
      </c>
      <c r="AB1945">
        <f t="shared" si="182"/>
        <v>22</v>
      </c>
      <c r="AC1945" t="str">
        <f t="shared" si="183"/>
        <v>Low</v>
      </c>
      <c r="AD1945" t="str">
        <f t="shared" si="184"/>
        <v>Upsell premium bundle</v>
      </c>
      <c r="AE1945">
        <f t="shared" si="185"/>
        <v>51</v>
      </c>
    </row>
    <row r="1946" spans="1:31" x14ac:dyDescent="0.35">
      <c r="A1946" t="s">
        <v>2004</v>
      </c>
      <c r="B1946" s="4">
        <v>45708</v>
      </c>
      <c r="C1946" s="4">
        <v>46143</v>
      </c>
      <c r="D1946" t="s">
        <v>39</v>
      </c>
      <c r="E1946">
        <v>41</v>
      </c>
      <c r="F1946" t="s">
        <v>33</v>
      </c>
      <c r="G1946" t="s">
        <v>40</v>
      </c>
      <c r="H1946" t="s">
        <v>44</v>
      </c>
      <c r="I1946" t="s">
        <v>49</v>
      </c>
      <c r="J1946">
        <v>14</v>
      </c>
      <c r="K1946" s="5">
        <v>578.36</v>
      </c>
      <c r="L1946" s="5">
        <v>155.87</v>
      </c>
      <c r="M1946">
        <v>42</v>
      </c>
      <c r="N1946">
        <v>23</v>
      </c>
      <c r="O1946">
        <v>2</v>
      </c>
      <c r="P1946">
        <v>4</v>
      </c>
      <c r="Q1946">
        <v>25</v>
      </c>
      <c r="R1946">
        <v>3</v>
      </c>
      <c r="S1946">
        <v>1</v>
      </c>
      <c r="T1946">
        <v>0</v>
      </c>
      <c r="U1946">
        <v>1</v>
      </c>
      <c r="V1946">
        <v>1</v>
      </c>
      <c r="W1946" t="s">
        <v>50</v>
      </c>
      <c r="X1946">
        <v>29</v>
      </c>
      <c r="Y1946">
        <v>0</v>
      </c>
      <c r="Z1946">
        <f t="shared" si="180"/>
        <v>100</v>
      </c>
      <c r="AA1946">
        <f t="shared" si="181"/>
        <v>1.5227272727272727</v>
      </c>
      <c r="AB1946">
        <f t="shared" si="182"/>
        <v>13</v>
      </c>
      <c r="AC1946" t="str">
        <f t="shared" si="183"/>
        <v>Low</v>
      </c>
      <c r="AD1946" t="str">
        <f t="shared" si="184"/>
        <v>Upsell premium bundle</v>
      </c>
      <c r="AE1946">
        <f t="shared" si="185"/>
        <v>0</v>
      </c>
    </row>
    <row r="1947" spans="1:31" x14ac:dyDescent="0.35">
      <c r="A1947" t="s">
        <v>2005</v>
      </c>
      <c r="B1947" s="4">
        <v>44896</v>
      </c>
      <c r="C1947" s="4">
        <v>46143</v>
      </c>
      <c r="D1947" t="s">
        <v>39</v>
      </c>
      <c r="E1947">
        <v>64</v>
      </c>
      <c r="F1947" t="s">
        <v>43</v>
      </c>
      <c r="G1947" t="s">
        <v>40</v>
      </c>
      <c r="H1947" t="s">
        <v>58</v>
      </c>
      <c r="I1947" t="s">
        <v>49</v>
      </c>
      <c r="J1947">
        <v>41</v>
      </c>
      <c r="K1947" s="5">
        <v>120.33</v>
      </c>
      <c r="L1947" s="5">
        <v>90.65</v>
      </c>
      <c r="M1947">
        <v>35</v>
      </c>
      <c r="N1947">
        <v>23</v>
      </c>
      <c r="O1947">
        <v>9</v>
      </c>
      <c r="P1947">
        <v>1</v>
      </c>
      <c r="Q1947">
        <v>31</v>
      </c>
      <c r="R1947">
        <v>0</v>
      </c>
      <c r="S1947">
        <v>0</v>
      </c>
      <c r="T1947">
        <v>1</v>
      </c>
      <c r="U1947">
        <v>1</v>
      </c>
      <c r="V1947">
        <v>1</v>
      </c>
      <c r="W1947" t="s">
        <v>50</v>
      </c>
      <c r="X1947">
        <v>60</v>
      </c>
      <c r="Y1947">
        <v>0</v>
      </c>
      <c r="Z1947">
        <f t="shared" si="180"/>
        <v>100</v>
      </c>
      <c r="AA1947">
        <f t="shared" si="181"/>
        <v>0.92957746478873238</v>
      </c>
      <c r="AB1947">
        <f t="shared" si="182"/>
        <v>0</v>
      </c>
      <c r="AC1947" t="str">
        <f t="shared" si="183"/>
        <v>Low</v>
      </c>
      <c r="AD1947" t="str">
        <f t="shared" si="184"/>
        <v>Upsell premium bundle</v>
      </c>
      <c r="AE1947">
        <f t="shared" si="185"/>
        <v>0</v>
      </c>
    </row>
    <row r="1948" spans="1:31" x14ac:dyDescent="0.35">
      <c r="A1948" t="s">
        <v>2006</v>
      </c>
      <c r="B1948" s="4">
        <v>44728</v>
      </c>
      <c r="C1948" s="4">
        <v>46143</v>
      </c>
      <c r="D1948" t="s">
        <v>66</v>
      </c>
      <c r="E1948">
        <v>69</v>
      </c>
      <c r="F1948" t="s">
        <v>33</v>
      </c>
      <c r="G1948" t="s">
        <v>40</v>
      </c>
      <c r="H1948" t="s">
        <v>41</v>
      </c>
      <c r="I1948" t="s">
        <v>36</v>
      </c>
      <c r="J1948">
        <v>47</v>
      </c>
      <c r="K1948" s="5">
        <v>534.61</v>
      </c>
      <c r="L1948" s="5">
        <v>61.47</v>
      </c>
      <c r="M1948">
        <v>32</v>
      </c>
      <c r="N1948">
        <v>18</v>
      </c>
      <c r="O1948">
        <v>6</v>
      </c>
      <c r="P1948">
        <v>0</v>
      </c>
      <c r="Q1948">
        <v>12</v>
      </c>
      <c r="R1948">
        <v>2</v>
      </c>
      <c r="S1948">
        <v>3</v>
      </c>
      <c r="T1948">
        <v>0</v>
      </c>
      <c r="U1948">
        <v>0</v>
      </c>
      <c r="V1948">
        <v>0</v>
      </c>
      <c r="W1948" t="s">
        <v>37</v>
      </c>
      <c r="X1948">
        <v>10</v>
      </c>
      <c r="Y1948">
        <v>1</v>
      </c>
      <c r="Z1948">
        <f t="shared" si="180"/>
        <v>66</v>
      </c>
      <c r="AA1948">
        <f t="shared" si="181"/>
        <v>0.5714285714285714</v>
      </c>
      <c r="AB1948">
        <f t="shared" si="182"/>
        <v>48</v>
      </c>
      <c r="AC1948" t="str">
        <f t="shared" si="183"/>
        <v>Medium</v>
      </c>
      <c r="AD1948" t="str">
        <f t="shared" si="184"/>
        <v>Nudge core feature adoption</v>
      </c>
      <c r="AE1948">
        <f t="shared" si="185"/>
        <v>34</v>
      </c>
    </row>
    <row r="1949" spans="1:31" x14ac:dyDescent="0.35">
      <c r="A1949" t="s">
        <v>2007</v>
      </c>
      <c r="B1949" s="4">
        <v>45240</v>
      </c>
      <c r="C1949" s="4">
        <v>46143</v>
      </c>
      <c r="D1949" t="s">
        <v>66</v>
      </c>
      <c r="E1949">
        <v>21</v>
      </c>
      <c r="F1949" t="s">
        <v>57</v>
      </c>
      <c r="G1949" t="s">
        <v>85</v>
      </c>
      <c r="H1949" t="s">
        <v>58</v>
      </c>
      <c r="I1949" t="s">
        <v>36</v>
      </c>
      <c r="J1949">
        <v>30</v>
      </c>
      <c r="K1949" s="5">
        <v>2806.16</v>
      </c>
      <c r="L1949" s="5">
        <v>1524.6</v>
      </c>
      <c r="M1949">
        <v>31</v>
      </c>
      <c r="N1949">
        <v>14</v>
      </c>
      <c r="O1949">
        <v>3</v>
      </c>
      <c r="P1949">
        <v>0</v>
      </c>
      <c r="Q1949">
        <v>17</v>
      </c>
      <c r="R1949">
        <v>2</v>
      </c>
      <c r="S1949">
        <v>0</v>
      </c>
      <c r="T1949">
        <v>1</v>
      </c>
      <c r="U1949">
        <v>0</v>
      </c>
      <c r="V1949">
        <v>1</v>
      </c>
      <c r="W1949" t="s">
        <v>50</v>
      </c>
      <c r="X1949">
        <v>-5</v>
      </c>
      <c r="Y1949">
        <v>0</v>
      </c>
      <c r="Z1949">
        <f t="shared" si="180"/>
        <v>70</v>
      </c>
      <c r="AA1949">
        <f t="shared" si="181"/>
        <v>0.8</v>
      </c>
      <c r="AB1949">
        <f t="shared" si="182"/>
        <v>10</v>
      </c>
      <c r="AC1949" t="str">
        <f t="shared" si="183"/>
        <v>Low</v>
      </c>
      <c r="AD1949" t="str">
        <f t="shared" si="184"/>
        <v>Upsell premium bundle</v>
      </c>
      <c r="AE1949">
        <f t="shared" si="185"/>
        <v>30</v>
      </c>
    </row>
    <row r="1950" spans="1:31" x14ac:dyDescent="0.35">
      <c r="A1950" t="s">
        <v>2008</v>
      </c>
      <c r="B1950" s="4">
        <v>45607</v>
      </c>
      <c r="C1950" s="4">
        <v>46143</v>
      </c>
      <c r="D1950" t="s">
        <v>47</v>
      </c>
      <c r="E1950">
        <v>37</v>
      </c>
      <c r="F1950" t="s">
        <v>57</v>
      </c>
      <c r="G1950" t="s">
        <v>85</v>
      </c>
      <c r="H1950" t="s">
        <v>58</v>
      </c>
      <c r="I1950" t="s">
        <v>36</v>
      </c>
      <c r="J1950">
        <v>17</v>
      </c>
      <c r="K1950" s="5">
        <v>624.26</v>
      </c>
      <c r="L1950" s="5">
        <v>245.78</v>
      </c>
      <c r="M1950">
        <v>37</v>
      </c>
      <c r="N1950">
        <v>20</v>
      </c>
      <c r="O1950">
        <v>8</v>
      </c>
      <c r="P1950">
        <v>6</v>
      </c>
      <c r="Q1950">
        <v>30</v>
      </c>
      <c r="R1950">
        <v>0</v>
      </c>
      <c r="S1950">
        <v>0</v>
      </c>
      <c r="T1950">
        <v>1</v>
      </c>
      <c r="U1950">
        <v>0</v>
      </c>
      <c r="V1950">
        <v>0</v>
      </c>
      <c r="W1950" t="s">
        <v>50</v>
      </c>
      <c r="X1950">
        <v>43</v>
      </c>
      <c r="Y1950">
        <v>0</v>
      </c>
      <c r="Z1950">
        <f t="shared" si="180"/>
        <v>100</v>
      </c>
      <c r="AA1950">
        <f t="shared" si="181"/>
        <v>1.425531914893617</v>
      </c>
      <c r="AB1950">
        <f t="shared" si="182"/>
        <v>0</v>
      </c>
      <c r="AC1950" t="str">
        <f t="shared" si="183"/>
        <v>Low</v>
      </c>
      <c r="AD1950" t="str">
        <f t="shared" si="184"/>
        <v>Upsell premium bundle</v>
      </c>
      <c r="AE1950">
        <f t="shared" si="185"/>
        <v>0</v>
      </c>
    </row>
    <row r="1951" spans="1:31" x14ac:dyDescent="0.35">
      <c r="A1951" t="s">
        <v>2009</v>
      </c>
      <c r="B1951" s="4">
        <v>44793</v>
      </c>
      <c r="C1951" s="4">
        <v>46143</v>
      </c>
      <c r="D1951" t="s">
        <v>47</v>
      </c>
      <c r="E1951">
        <v>53</v>
      </c>
      <c r="F1951" t="s">
        <v>43</v>
      </c>
      <c r="G1951" t="s">
        <v>40</v>
      </c>
      <c r="H1951" t="s">
        <v>41</v>
      </c>
      <c r="I1951" t="s">
        <v>36</v>
      </c>
      <c r="J1951">
        <v>45</v>
      </c>
      <c r="K1951" s="5">
        <v>0</v>
      </c>
      <c r="L1951" s="5">
        <v>64.540000000000006</v>
      </c>
      <c r="M1951">
        <v>9</v>
      </c>
      <c r="N1951">
        <v>5</v>
      </c>
      <c r="O1951">
        <v>1</v>
      </c>
      <c r="P1951">
        <v>0</v>
      </c>
      <c r="Q1951">
        <v>11</v>
      </c>
      <c r="R1951">
        <v>0</v>
      </c>
      <c r="S1951">
        <v>0</v>
      </c>
      <c r="T1951">
        <v>0</v>
      </c>
      <c r="U1951">
        <v>1</v>
      </c>
      <c r="V1951">
        <v>1</v>
      </c>
      <c r="W1951" t="s">
        <v>37</v>
      </c>
      <c r="X1951">
        <v>-20</v>
      </c>
      <c r="Y1951">
        <v>1</v>
      </c>
      <c r="Z1951">
        <f t="shared" si="180"/>
        <v>40</v>
      </c>
      <c r="AA1951">
        <f t="shared" si="181"/>
        <v>0.26666666666666666</v>
      </c>
      <c r="AB1951">
        <f t="shared" si="182"/>
        <v>52</v>
      </c>
      <c r="AC1951" t="str">
        <f t="shared" si="183"/>
        <v>Medium</v>
      </c>
      <c r="AD1951" t="str">
        <f t="shared" si="184"/>
        <v>Nudge core feature adoption</v>
      </c>
      <c r="AE1951">
        <f t="shared" si="185"/>
        <v>60</v>
      </c>
    </row>
    <row r="1952" spans="1:31" x14ac:dyDescent="0.35">
      <c r="A1952" t="s">
        <v>2010</v>
      </c>
      <c r="B1952" s="4">
        <v>46006</v>
      </c>
      <c r="C1952" s="4">
        <v>46143</v>
      </c>
      <c r="D1952" t="s">
        <v>72</v>
      </c>
      <c r="E1952">
        <v>55</v>
      </c>
      <c r="F1952" t="s">
        <v>43</v>
      </c>
      <c r="G1952" t="s">
        <v>40</v>
      </c>
      <c r="H1952" t="s">
        <v>44</v>
      </c>
      <c r="I1952" t="s">
        <v>36</v>
      </c>
      <c r="J1952">
        <v>4</v>
      </c>
      <c r="K1952" s="5">
        <v>42.21</v>
      </c>
      <c r="L1952" s="5">
        <v>25.42</v>
      </c>
      <c r="M1952">
        <v>32</v>
      </c>
      <c r="N1952">
        <v>22</v>
      </c>
      <c r="O1952">
        <v>2</v>
      </c>
      <c r="P1952">
        <v>1</v>
      </c>
      <c r="Q1952">
        <v>20</v>
      </c>
      <c r="R1952">
        <v>0</v>
      </c>
      <c r="S1952">
        <v>1</v>
      </c>
      <c r="T1952">
        <v>1</v>
      </c>
      <c r="U1952">
        <v>0</v>
      </c>
      <c r="V1952">
        <v>1</v>
      </c>
      <c r="W1952" t="s">
        <v>52</v>
      </c>
      <c r="X1952">
        <v>-22</v>
      </c>
      <c r="Y1952">
        <v>0</v>
      </c>
      <c r="Z1952">
        <f t="shared" si="180"/>
        <v>79</v>
      </c>
      <c r="AA1952">
        <f t="shared" si="181"/>
        <v>1.5294117647058822</v>
      </c>
      <c r="AB1952">
        <f t="shared" si="182"/>
        <v>35</v>
      </c>
      <c r="AC1952" t="str">
        <f t="shared" si="183"/>
        <v>Low</v>
      </c>
      <c r="AD1952" t="str">
        <f t="shared" si="184"/>
        <v>Upsell premium bundle</v>
      </c>
      <c r="AE1952">
        <f t="shared" si="185"/>
        <v>21</v>
      </c>
    </row>
    <row r="1953" spans="1:31" x14ac:dyDescent="0.35">
      <c r="A1953" t="s">
        <v>2011</v>
      </c>
      <c r="B1953" s="4">
        <v>45012</v>
      </c>
      <c r="C1953" s="4">
        <v>46143</v>
      </c>
      <c r="D1953" t="s">
        <v>60</v>
      </c>
      <c r="E1953">
        <v>50</v>
      </c>
      <c r="F1953" t="s">
        <v>57</v>
      </c>
      <c r="G1953" t="s">
        <v>40</v>
      </c>
      <c r="H1953" t="s">
        <v>41</v>
      </c>
      <c r="I1953" t="s">
        <v>36</v>
      </c>
      <c r="J1953">
        <v>37</v>
      </c>
      <c r="K1953" s="5">
        <v>1315.2</v>
      </c>
      <c r="L1953" s="5">
        <v>590.80999999999995</v>
      </c>
      <c r="M1953">
        <v>38</v>
      </c>
      <c r="N1953">
        <v>20</v>
      </c>
      <c r="O1953">
        <v>9</v>
      </c>
      <c r="P1953">
        <v>5</v>
      </c>
      <c r="Q1953">
        <v>21</v>
      </c>
      <c r="R1953">
        <v>0</v>
      </c>
      <c r="S1953">
        <v>2</v>
      </c>
      <c r="T1953">
        <v>1</v>
      </c>
      <c r="U1953">
        <v>0</v>
      </c>
      <c r="V1953">
        <v>0</v>
      </c>
      <c r="W1953" t="s">
        <v>50</v>
      </c>
      <c r="X1953">
        <v>52</v>
      </c>
      <c r="Y1953">
        <v>0</v>
      </c>
      <c r="Z1953">
        <f t="shared" si="180"/>
        <v>93</v>
      </c>
      <c r="AA1953">
        <f t="shared" si="181"/>
        <v>0.88059701492537312</v>
      </c>
      <c r="AB1953">
        <f t="shared" si="182"/>
        <v>11</v>
      </c>
      <c r="AC1953" t="str">
        <f t="shared" si="183"/>
        <v>Low</v>
      </c>
      <c r="AD1953" t="str">
        <f t="shared" si="184"/>
        <v>Upsell premium bundle</v>
      </c>
      <c r="AE1953">
        <f t="shared" si="185"/>
        <v>7</v>
      </c>
    </row>
    <row r="1954" spans="1:31" x14ac:dyDescent="0.35">
      <c r="A1954" t="s">
        <v>2012</v>
      </c>
      <c r="B1954" s="4">
        <v>45901</v>
      </c>
      <c r="C1954" s="4">
        <v>46143</v>
      </c>
      <c r="D1954" t="s">
        <v>39</v>
      </c>
      <c r="E1954">
        <v>46</v>
      </c>
      <c r="F1954" t="s">
        <v>57</v>
      </c>
      <c r="G1954" t="s">
        <v>34</v>
      </c>
      <c r="H1954" t="s">
        <v>44</v>
      </c>
      <c r="I1954" t="s">
        <v>49</v>
      </c>
      <c r="J1954">
        <v>8</v>
      </c>
      <c r="K1954" s="5">
        <v>2402.04</v>
      </c>
      <c r="L1954" s="5">
        <v>818.58</v>
      </c>
      <c r="M1954">
        <v>40</v>
      </c>
      <c r="N1954">
        <v>21</v>
      </c>
      <c r="O1954">
        <v>2</v>
      </c>
      <c r="P1954">
        <v>8</v>
      </c>
      <c r="Q1954">
        <v>19</v>
      </c>
      <c r="R1954">
        <v>0</v>
      </c>
      <c r="S1954">
        <v>0</v>
      </c>
      <c r="T1954">
        <v>0</v>
      </c>
      <c r="U1954">
        <v>1</v>
      </c>
      <c r="V1954">
        <v>0</v>
      </c>
      <c r="W1954" t="s">
        <v>37</v>
      </c>
      <c r="X1954">
        <v>83</v>
      </c>
      <c r="Y1954">
        <v>0</v>
      </c>
      <c r="Z1954">
        <f t="shared" si="180"/>
        <v>97</v>
      </c>
      <c r="AA1954">
        <f t="shared" si="181"/>
        <v>1.5526315789473684</v>
      </c>
      <c r="AB1954">
        <f t="shared" si="182"/>
        <v>0</v>
      </c>
      <c r="AC1954" t="str">
        <f t="shared" si="183"/>
        <v>Low</v>
      </c>
      <c r="AD1954" t="str">
        <f t="shared" si="184"/>
        <v>Upsell premium bundle</v>
      </c>
      <c r="AE1954">
        <f t="shared" si="185"/>
        <v>3</v>
      </c>
    </row>
    <row r="1955" spans="1:31" x14ac:dyDescent="0.35">
      <c r="A1955" t="s">
        <v>2013</v>
      </c>
      <c r="B1955" s="4">
        <v>45571</v>
      </c>
      <c r="C1955" s="4">
        <v>46143</v>
      </c>
      <c r="D1955" t="s">
        <v>32</v>
      </c>
      <c r="E1955">
        <v>50</v>
      </c>
      <c r="F1955" t="s">
        <v>57</v>
      </c>
      <c r="G1955" t="s">
        <v>63</v>
      </c>
      <c r="H1955" t="s">
        <v>41</v>
      </c>
      <c r="I1955" t="s">
        <v>36</v>
      </c>
      <c r="J1955">
        <v>19</v>
      </c>
      <c r="K1955" s="5">
        <v>125.41</v>
      </c>
      <c r="L1955" s="5">
        <v>999.04</v>
      </c>
      <c r="M1955">
        <v>15</v>
      </c>
      <c r="N1955">
        <v>10</v>
      </c>
      <c r="O1955">
        <v>1</v>
      </c>
      <c r="P1955">
        <v>3</v>
      </c>
      <c r="Q1955">
        <v>9</v>
      </c>
      <c r="R1955">
        <v>0</v>
      </c>
      <c r="S1955">
        <v>0</v>
      </c>
      <c r="T1955">
        <v>1</v>
      </c>
      <c r="U1955">
        <v>1</v>
      </c>
      <c r="V1955">
        <v>0</v>
      </c>
      <c r="W1955" t="s">
        <v>37</v>
      </c>
      <c r="X1955">
        <v>20</v>
      </c>
      <c r="Y1955">
        <v>0</v>
      </c>
      <c r="Z1955">
        <f t="shared" si="180"/>
        <v>45</v>
      </c>
      <c r="AA1955">
        <f t="shared" si="181"/>
        <v>0.48979591836734693</v>
      </c>
      <c r="AB1955">
        <f t="shared" si="182"/>
        <v>30</v>
      </c>
      <c r="AC1955" t="str">
        <f t="shared" si="183"/>
        <v>Low</v>
      </c>
      <c r="AD1955" t="str">
        <f t="shared" si="184"/>
        <v>Upsell premium bundle</v>
      </c>
      <c r="AE1955">
        <f t="shared" si="185"/>
        <v>55</v>
      </c>
    </row>
    <row r="1956" spans="1:31" x14ac:dyDescent="0.35">
      <c r="A1956" t="s">
        <v>2014</v>
      </c>
      <c r="B1956" s="4">
        <v>45260</v>
      </c>
      <c r="C1956" s="4">
        <v>46143</v>
      </c>
      <c r="D1956" t="s">
        <v>47</v>
      </c>
      <c r="E1956">
        <v>22</v>
      </c>
      <c r="F1956" t="s">
        <v>33</v>
      </c>
      <c r="G1956" t="s">
        <v>67</v>
      </c>
      <c r="H1956" t="s">
        <v>41</v>
      </c>
      <c r="I1956" t="s">
        <v>49</v>
      </c>
      <c r="J1956">
        <v>29</v>
      </c>
      <c r="K1956" s="5">
        <v>233.23</v>
      </c>
      <c r="L1956" s="5">
        <v>384.47</v>
      </c>
      <c r="M1956">
        <v>27</v>
      </c>
      <c r="N1956">
        <v>17</v>
      </c>
      <c r="O1956">
        <v>6</v>
      </c>
      <c r="P1956">
        <v>0</v>
      </c>
      <c r="Q1956">
        <v>12</v>
      </c>
      <c r="R1956">
        <v>2</v>
      </c>
      <c r="S1956">
        <v>0</v>
      </c>
      <c r="T1956">
        <v>0</v>
      </c>
      <c r="U1956">
        <v>1</v>
      </c>
      <c r="V1956">
        <v>1</v>
      </c>
      <c r="W1956" t="s">
        <v>45</v>
      </c>
      <c r="X1956">
        <v>2</v>
      </c>
      <c r="Y1956">
        <v>0</v>
      </c>
      <c r="Z1956">
        <f t="shared" si="180"/>
        <v>75</v>
      </c>
      <c r="AA1956">
        <f t="shared" si="181"/>
        <v>0.66101694915254239</v>
      </c>
      <c r="AB1956">
        <f t="shared" si="182"/>
        <v>40</v>
      </c>
      <c r="AC1956" t="str">
        <f t="shared" si="183"/>
        <v>Medium</v>
      </c>
      <c r="AD1956" t="str">
        <f t="shared" si="184"/>
        <v>Nudge core feature adoption</v>
      </c>
      <c r="AE1956">
        <f t="shared" si="185"/>
        <v>25</v>
      </c>
    </row>
    <row r="1957" spans="1:31" x14ac:dyDescent="0.35">
      <c r="A1957" t="s">
        <v>2015</v>
      </c>
      <c r="B1957" s="4">
        <v>45947</v>
      </c>
      <c r="C1957" s="4">
        <v>46143</v>
      </c>
      <c r="D1957" t="s">
        <v>72</v>
      </c>
      <c r="E1957">
        <v>32</v>
      </c>
      <c r="F1957" t="s">
        <v>61</v>
      </c>
      <c r="G1957" t="s">
        <v>63</v>
      </c>
      <c r="H1957" t="s">
        <v>41</v>
      </c>
      <c r="I1957" t="s">
        <v>36</v>
      </c>
      <c r="J1957">
        <v>6</v>
      </c>
      <c r="K1957" s="5">
        <v>4339.13</v>
      </c>
      <c r="L1957" s="5">
        <v>1622.53</v>
      </c>
      <c r="M1957">
        <v>27</v>
      </c>
      <c r="N1957">
        <v>13</v>
      </c>
      <c r="O1957">
        <v>2</v>
      </c>
      <c r="P1957">
        <v>4</v>
      </c>
      <c r="Q1957">
        <v>17</v>
      </c>
      <c r="R1957">
        <v>0</v>
      </c>
      <c r="S1957">
        <v>0</v>
      </c>
      <c r="T1957">
        <v>1</v>
      </c>
      <c r="U1957">
        <v>0</v>
      </c>
      <c r="V1957">
        <v>0</v>
      </c>
      <c r="W1957" t="s">
        <v>37</v>
      </c>
      <c r="X1957">
        <v>43</v>
      </c>
      <c r="Y1957">
        <v>0</v>
      </c>
      <c r="Z1957">
        <f t="shared" si="180"/>
        <v>62</v>
      </c>
      <c r="AA1957">
        <f t="shared" si="181"/>
        <v>1.2222222222222223</v>
      </c>
      <c r="AB1957">
        <f t="shared" si="182"/>
        <v>2</v>
      </c>
      <c r="AC1957" t="str">
        <f t="shared" si="183"/>
        <v>Low</v>
      </c>
      <c r="AD1957" t="str">
        <f t="shared" si="184"/>
        <v>Upsell premium bundle</v>
      </c>
      <c r="AE1957">
        <f t="shared" si="185"/>
        <v>38</v>
      </c>
    </row>
    <row r="1958" spans="1:31" x14ac:dyDescent="0.35">
      <c r="A1958" t="s">
        <v>2016</v>
      </c>
      <c r="B1958" s="4">
        <v>45373</v>
      </c>
      <c r="C1958" s="4">
        <v>46143</v>
      </c>
      <c r="D1958" t="s">
        <v>72</v>
      </c>
      <c r="E1958">
        <v>25</v>
      </c>
      <c r="F1958" t="s">
        <v>61</v>
      </c>
      <c r="G1958" t="s">
        <v>40</v>
      </c>
      <c r="H1958" t="s">
        <v>41</v>
      </c>
      <c r="I1958" t="s">
        <v>49</v>
      </c>
      <c r="J1958">
        <v>25</v>
      </c>
      <c r="K1958" s="5">
        <v>6071.36</v>
      </c>
      <c r="L1958" s="5">
        <v>488</v>
      </c>
      <c r="M1958">
        <v>29</v>
      </c>
      <c r="N1958">
        <v>19</v>
      </c>
      <c r="O1958">
        <v>7</v>
      </c>
      <c r="P1958">
        <v>3</v>
      </c>
      <c r="Q1958">
        <v>25</v>
      </c>
      <c r="R1958">
        <v>3</v>
      </c>
      <c r="S1958">
        <v>1</v>
      </c>
      <c r="T1958">
        <v>1</v>
      </c>
      <c r="U1958">
        <v>0</v>
      </c>
      <c r="V1958">
        <v>0</v>
      </c>
      <c r="W1958" t="s">
        <v>50</v>
      </c>
      <c r="X1958">
        <v>46</v>
      </c>
      <c r="Y1958">
        <v>1</v>
      </c>
      <c r="Z1958">
        <f t="shared" si="180"/>
        <v>80</v>
      </c>
      <c r="AA1958">
        <f t="shared" si="181"/>
        <v>0.98181818181818181</v>
      </c>
      <c r="AB1958">
        <f t="shared" si="182"/>
        <v>23</v>
      </c>
      <c r="AC1958" t="str">
        <f t="shared" si="183"/>
        <v>Low</v>
      </c>
      <c r="AD1958" t="str">
        <f t="shared" si="184"/>
        <v>Upsell premium bundle</v>
      </c>
      <c r="AE1958">
        <f t="shared" si="185"/>
        <v>20</v>
      </c>
    </row>
    <row r="1959" spans="1:31" x14ac:dyDescent="0.35">
      <c r="A1959" t="s">
        <v>2017</v>
      </c>
      <c r="B1959" s="4">
        <v>45751</v>
      </c>
      <c r="C1959" s="4">
        <v>46143</v>
      </c>
      <c r="D1959" t="s">
        <v>47</v>
      </c>
      <c r="E1959">
        <v>57</v>
      </c>
      <c r="F1959" t="s">
        <v>77</v>
      </c>
      <c r="G1959" t="s">
        <v>63</v>
      </c>
      <c r="H1959" t="s">
        <v>41</v>
      </c>
      <c r="I1959" t="s">
        <v>49</v>
      </c>
      <c r="J1959">
        <v>13</v>
      </c>
      <c r="K1959" s="5">
        <v>4245.8</v>
      </c>
      <c r="L1959" s="5">
        <v>2388.34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1</v>
      </c>
      <c r="W1959" t="s">
        <v>37</v>
      </c>
      <c r="X1959">
        <v>25</v>
      </c>
      <c r="Y1959">
        <v>0</v>
      </c>
      <c r="Z1959">
        <f t="shared" si="180"/>
        <v>8</v>
      </c>
      <c r="AA1959">
        <f t="shared" si="181"/>
        <v>2.3255813953488372E-2</v>
      </c>
      <c r="AB1959">
        <f t="shared" si="182"/>
        <v>48</v>
      </c>
      <c r="AC1959" t="str">
        <f t="shared" si="183"/>
        <v>Medium</v>
      </c>
      <c r="AD1959" t="str">
        <f t="shared" si="184"/>
        <v>Nudge core feature adoption</v>
      </c>
      <c r="AE1959">
        <f t="shared" si="185"/>
        <v>92</v>
      </c>
    </row>
    <row r="1960" spans="1:31" x14ac:dyDescent="0.35">
      <c r="A1960" t="s">
        <v>2018</v>
      </c>
      <c r="B1960" s="4">
        <v>44884</v>
      </c>
      <c r="C1960" s="4">
        <v>46143</v>
      </c>
      <c r="D1960" t="s">
        <v>32</v>
      </c>
      <c r="E1960">
        <v>52</v>
      </c>
      <c r="F1960" t="s">
        <v>43</v>
      </c>
      <c r="G1960" t="s">
        <v>34</v>
      </c>
      <c r="H1960" t="s">
        <v>41</v>
      </c>
      <c r="I1960" t="s">
        <v>36</v>
      </c>
      <c r="J1960">
        <v>41</v>
      </c>
      <c r="K1960" s="5">
        <v>112.95</v>
      </c>
      <c r="L1960" s="5">
        <v>9.06</v>
      </c>
      <c r="M1960">
        <v>21</v>
      </c>
      <c r="N1960">
        <v>5</v>
      </c>
      <c r="O1960">
        <v>4</v>
      </c>
      <c r="P1960">
        <v>1</v>
      </c>
      <c r="Q1960">
        <v>36</v>
      </c>
      <c r="R1960">
        <v>0</v>
      </c>
      <c r="S1960">
        <v>1</v>
      </c>
      <c r="T1960">
        <v>0</v>
      </c>
      <c r="U1960">
        <v>0</v>
      </c>
      <c r="V1960">
        <v>1</v>
      </c>
      <c r="W1960" t="s">
        <v>55</v>
      </c>
      <c r="X1960">
        <v>65</v>
      </c>
      <c r="Y1960">
        <v>0</v>
      </c>
      <c r="Z1960">
        <f t="shared" si="180"/>
        <v>72</v>
      </c>
      <c r="AA1960">
        <f t="shared" si="181"/>
        <v>0.80281690140845074</v>
      </c>
      <c r="AB1960">
        <f t="shared" si="182"/>
        <v>5</v>
      </c>
      <c r="AC1960" t="str">
        <f t="shared" si="183"/>
        <v>Low</v>
      </c>
      <c r="AD1960" t="str">
        <f t="shared" si="184"/>
        <v>Upsell premium bundle</v>
      </c>
      <c r="AE1960">
        <f t="shared" si="185"/>
        <v>28</v>
      </c>
    </row>
    <row r="1961" spans="1:31" x14ac:dyDescent="0.35">
      <c r="A1961" t="s">
        <v>2019</v>
      </c>
      <c r="B1961" s="4">
        <v>44717</v>
      </c>
      <c r="C1961" s="4">
        <v>46143</v>
      </c>
      <c r="D1961" t="s">
        <v>72</v>
      </c>
      <c r="E1961">
        <v>51</v>
      </c>
      <c r="F1961" t="s">
        <v>33</v>
      </c>
      <c r="G1961" t="s">
        <v>48</v>
      </c>
      <c r="H1961" t="s">
        <v>41</v>
      </c>
      <c r="I1961" t="s">
        <v>36</v>
      </c>
      <c r="J1961">
        <v>47</v>
      </c>
      <c r="K1961" s="5">
        <v>353.17</v>
      </c>
      <c r="L1961" s="5">
        <v>505.48</v>
      </c>
      <c r="M1961">
        <v>10</v>
      </c>
      <c r="N1961">
        <v>4</v>
      </c>
      <c r="O1961">
        <v>0</v>
      </c>
      <c r="P1961">
        <v>0</v>
      </c>
      <c r="Q1961">
        <v>6</v>
      </c>
      <c r="R1961">
        <v>1</v>
      </c>
      <c r="S1961">
        <v>2</v>
      </c>
      <c r="T1961">
        <v>1</v>
      </c>
      <c r="U1961">
        <v>0</v>
      </c>
      <c r="V1961">
        <v>1</v>
      </c>
      <c r="W1961" t="s">
        <v>45</v>
      </c>
      <c r="X1961">
        <v>27</v>
      </c>
      <c r="Y1961">
        <v>1</v>
      </c>
      <c r="Z1961">
        <f t="shared" si="180"/>
        <v>26</v>
      </c>
      <c r="AA1961">
        <f t="shared" si="181"/>
        <v>0.20779220779220781</v>
      </c>
      <c r="AB1961">
        <f t="shared" si="182"/>
        <v>49</v>
      </c>
      <c r="AC1961" t="str">
        <f t="shared" si="183"/>
        <v>Medium</v>
      </c>
      <c r="AD1961" t="str">
        <f t="shared" si="184"/>
        <v>Nudge core feature adoption</v>
      </c>
      <c r="AE1961">
        <f t="shared" si="185"/>
        <v>74</v>
      </c>
    </row>
    <row r="1962" spans="1:31" x14ac:dyDescent="0.35">
      <c r="A1962" t="s">
        <v>2020</v>
      </c>
      <c r="B1962" s="4">
        <v>44705</v>
      </c>
      <c r="C1962" s="4">
        <v>46143</v>
      </c>
      <c r="D1962" t="s">
        <v>72</v>
      </c>
      <c r="E1962">
        <v>71</v>
      </c>
      <c r="F1962" t="s">
        <v>43</v>
      </c>
      <c r="G1962" t="s">
        <v>67</v>
      </c>
      <c r="H1962" t="s">
        <v>41</v>
      </c>
      <c r="I1962" t="s">
        <v>36</v>
      </c>
      <c r="J1962">
        <v>47</v>
      </c>
      <c r="K1962" s="5">
        <v>135.94</v>
      </c>
      <c r="L1962" s="5">
        <v>0</v>
      </c>
      <c r="M1962">
        <v>21</v>
      </c>
      <c r="N1962">
        <v>6</v>
      </c>
      <c r="O1962">
        <v>2</v>
      </c>
      <c r="P1962">
        <v>0</v>
      </c>
      <c r="Q1962">
        <v>15</v>
      </c>
      <c r="R1962">
        <v>1</v>
      </c>
      <c r="S1962">
        <v>2</v>
      </c>
      <c r="T1962">
        <v>1</v>
      </c>
      <c r="U1962">
        <v>0</v>
      </c>
      <c r="V1962">
        <v>0</v>
      </c>
      <c r="W1962" t="s">
        <v>50</v>
      </c>
      <c r="X1962">
        <v>0</v>
      </c>
      <c r="Y1962">
        <v>1</v>
      </c>
      <c r="Z1962">
        <f t="shared" si="180"/>
        <v>43</v>
      </c>
      <c r="AA1962">
        <f t="shared" si="181"/>
        <v>0.46753246753246752</v>
      </c>
      <c r="AB1962">
        <f t="shared" si="182"/>
        <v>55</v>
      </c>
      <c r="AC1962" t="str">
        <f t="shared" si="183"/>
        <v>Medium</v>
      </c>
      <c r="AD1962" t="str">
        <f t="shared" si="184"/>
        <v>Nudge core feature adoption</v>
      </c>
      <c r="AE1962">
        <f t="shared" si="185"/>
        <v>57</v>
      </c>
    </row>
    <row r="1963" spans="1:31" x14ac:dyDescent="0.35">
      <c r="A1963" t="s">
        <v>2021</v>
      </c>
      <c r="B1963" s="4">
        <v>45232</v>
      </c>
      <c r="C1963" s="4">
        <v>46143</v>
      </c>
      <c r="D1963" t="s">
        <v>66</v>
      </c>
      <c r="E1963">
        <v>44</v>
      </c>
      <c r="F1963" t="s">
        <v>57</v>
      </c>
      <c r="G1963" t="s">
        <v>40</v>
      </c>
      <c r="H1963" t="s">
        <v>41</v>
      </c>
      <c r="I1963" t="s">
        <v>36</v>
      </c>
      <c r="J1963">
        <v>30</v>
      </c>
      <c r="K1963" s="5">
        <v>2920.96</v>
      </c>
      <c r="L1963" s="5">
        <v>0</v>
      </c>
      <c r="M1963">
        <v>9</v>
      </c>
      <c r="N1963">
        <v>3</v>
      </c>
      <c r="O1963">
        <v>2</v>
      </c>
      <c r="P1963">
        <v>0</v>
      </c>
      <c r="Q1963">
        <v>12</v>
      </c>
      <c r="R1963">
        <v>2</v>
      </c>
      <c r="S1963">
        <v>0</v>
      </c>
      <c r="T1963">
        <v>0</v>
      </c>
      <c r="U1963">
        <v>0</v>
      </c>
      <c r="V1963">
        <v>1</v>
      </c>
      <c r="W1963" t="s">
        <v>45</v>
      </c>
      <c r="X1963">
        <v>26</v>
      </c>
      <c r="Y1963">
        <v>1</v>
      </c>
      <c r="Z1963">
        <f t="shared" si="180"/>
        <v>32</v>
      </c>
      <c r="AA1963">
        <f t="shared" si="181"/>
        <v>0.35</v>
      </c>
      <c r="AB1963">
        <f t="shared" si="182"/>
        <v>29</v>
      </c>
      <c r="AC1963" t="str">
        <f t="shared" si="183"/>
        <v>Low</v>
      </c>
      <c r="AD1963" t="str">
        <f t="shared" si="184"/>
        <v>Upsell premium bundle</v>
      </c>
      <c r="AE1963">
        <f t="shared" si="185"/>
        <v>68</v>
      </c>
    </row>
    <row r="1964" spans="1:31" x14ac:dyDescent="0.35">
      <c r="A1964" t="s">
        <v>2022</v>
      </c>
      <c r="B1964" s="4">
        <v>45717</v>
      </c>
      <c r="C1964" s="4">
        <v>46143</v>
      </c>
      <c r="D1964" t="s">
        <v>32</v>
      </c>
      <c r="E1964">
        <v>45</v>
      </c>
      <c r="F1964" t="s">
        <v>57</v>
      </c>
      <c r="G1964" t="s">
        <v>63</v>
      </c>
      <c r="H1964" t="s">
        <v>41</v>
      </c>
      <c r="I1964" t="s">
        <v>36</v>
      </c>
      <c r="J1964">
        <v>14</v>
      </c>
      <c r="K1964" s="5">
        <v>1767.92</v>
      </c>
      <c r="L1964" s="5">
        <v>1304.0999999999999</v>
      </c>
      <c r="M1964">
        <v>11</v>
      </c>
      <c r="N1964">
        <v>7</v>
      </c>
      <c r="O1964">
        <v>1</v>
      </c>
      <c r="P1964">
        <v>0</v>
      </c>
      <c r="Q1964">
        <v>2</v>
      </c>
      <c r="R1964">
        <v>1</v>
      </c>
      <c r="S1964">
        <v>1</v>
      </c>
      <c r="T1964">
        <v>0</v>
      </c>
      <c r="U1964">
        <v>0</v>
      </c>
      <c r="V1964">
        <v>1</v>
      </c>
      <c r="W1964" t="s">
        <v>45</v>
      </c>
      <c r="X1964">
        <v>-33</v>
      </c>
      <c r="Y1964">
        <v>1</v>
      </c>
      <c r="Z1964">
        <f t="shared" si="180"/>
        <v>27</v>
      </c>
      <c r="AA1964">
        <f t="shared" si="181"/>
        <v>0.29545454545454547</v>
      </c>
      <c r="AB1964">
        <f t="shared" si="182"/>
        <v>70</v>
      </c>
      <c r="AC1964" t="str">
        <f t="shared" si="183"/>
        <v>High</v>
      </c>
      <c r="AD1964" t="str">
        <f t="shared" si="184"/>
        <v>Re-engage with app usage offer</v>
      </c>
      <c r="AE1964">
        <f t="shared" si="185"/>
        <v>73</v>
      </c>
    </row>
    <row r="1965" spans="1:31" x14ac:dyDescent="0.35">
      <c r="A1965" t="s">
        <v>2023</v>
      </c>
      <c r="B1965" s="4">
        <v>45453</v>
      </c>
      <c r="C1965" s="4">
        <v>46143</v>
      </c>
      <c r="D1965" t="s">
        <v>66</v>
      </c>
      <c r="E1965">
        <v>52</v>
      </c>
      <c r="F1965" t="s">
        <v>77</v>
      </c>
      <c r="G1965" t="s">
        <v>48</v>
      </c>
      <c r="H1965" t="s">
        <v>41</v>
      </c>
      <c r="I1965" t="s">
        <v>36</v>
      </c>
      <c r="J1965">
        <v>23</v>
      </c>
      <c r="K1965" s="5">
        <v>10227.040000000001</v>
      </c>
      <c r="L1965" s="5">
        <v>4433.9799999999996</v>
      </c>
      <c r="M1965">
        <v>34</v>
      </c>
      <c r="N1965">
        <v>18</v>
      </c>
      <c r="O1965">
        <v>7</v>
      </c>
      <c r="P1965">
        <v>0</v>
      </c>
      <c r="Q1965">
        <v>2</v>
      </c>
      <c r="R1965">
        <v>1</v>
      </c>
      <c r="S1965">
        <v>1</v>
      </c>
      <c r="T1965">
        <v>0</v>
      </c>
      <c r="U1965">
        <v>0</v>
      </c>
      <c r="V1965">
        <v>1</v>
      </c>
      <c r="W1965" t="s">
        <v>50</v>
      </c>
      <c r="X1965">
        <v>0</v>
      </c>
      <c r="Y1965">
        <v>0</v>
      </c>
      <c r="Z1965">
        <f t="shared" si="180"/>
        <v>67</v>
      </c>
      <c r="AA1965">
        <f t="shared" si="181"/>
        <v>0.67924528301886788</v>
      </c>
      <c r="AB1965">
        <f t="shared" si="182"/>
        <v>28</v>
      </c>
      <c r="AC1965" t="str">
        <f t="shared" si="183"/>
        <v>Low</v>
      </c>
      <c r="AD1965" t="str">
        <f t="shared" si="184"/>
        <v>Upsell premium bundle</v>
      </c>
      <c r="AE1965">
        <f t="shared" si="185"/>
        <v>33</v>
      </c>
    </row>
    <row r="1966" spans="1:31" x14ac:dyDescent="0.35">
      <c r="A1966" t="s">
        <v>2024</v>
      </c>
      <c r="B1966" s="4">
        <v>45692</v>
      </c>
      <c r="C1966" s="4">
        <v>46143</v>
      </c>
      <c r="D1966" t="s">
        <v>60</v>
      </c>
      <c r="E1966">
        <v>52</v>
      </c>
      <c r="F1966" t="s">
        <v>33</v>
      </c>
      <c r="G1966" t="s">
        <v>85</v>
      </c>
      <c r="H1966" t="s">
        <v>41</v>
      </c>
      <c r="I1966" t="s">
        <v>36</v>
      </c>
      <c r="J1966">
        <v>15</v>
      </c>
      <c r="K1966" s="5">
        <v>149.08000000000001</v>
      </c>
      <c r="L1966" s="5">
        <v>0</v>
      </c>
      <c r="M1966">
        <v>19</v>
      </c>
      <c r="N1966">
        <v>6</v>
      </c>
      <c r="O1966">
        <v>1</v>
      </c>
      <c r="P1966">
        <v>3</v>
      </c>
      <c r="Q1966">
        <v>8</v>
      </c>
      <c r="R1966">
        <v>2</v>
      </c>
      <c r="S1966">
        <v>0</v>
      </c>
      <c r="T1966">
        <v>0</v>
      </c>
      <c r="U1966">
        <v>0</v>
      </c>
      <c r="V1966">
        <v>1</v>
      </c>
      <c r="W1966" t="s">
        <v>55</v>
      </c>
      <c r="X1966">
        <v>25</v>
      </c>
      <c r="Y1966">
        <v>0</v>
      </c>
      <c r="Z1966">
        <f t="shared" si="180"/>
        <v>45</v>
      </c>
      <c r="AA1966">
        <f t="shared" si="181"/>
        <v>0.6</v>
      </c>
      <c r="AB1966">
        <f t="shared" si="182"/>
        <v>25</v>
      </c>
      <c r="AC1966" t="str">
        <f t="shared" si="183"/>
        <v>Low</v>
      </c>
      <c r="AD1966" t="str">
        <f t="shared" si="184"/>
        <v>Upsell premium bundle</v>
      </c>
      <c r="AE1966">
        <f t="shared" si="185"/>
        <v>55</v>
      </c>
    </row>
    <row r="1967" spans="1:31" x14ac:dyDescent="0.35">
      <c r="A1967" t="s">
        <v>2025</v>
      </c>
      <c r="B1967" s="4">
        <v>45873</v>
      </c>
      <c r="C1967" s="4">
        <v>46143</v>
      </c>
      <c r="D1967" t="s">
        <v>32</v>
      </c>
      <c r="E1967">
        <v>27</v>
      </c>
      <c r="F1967" t="s">
        <v>77</v>
      </c>
      <c r="G1967" t="s">
        <v>34</v>
      </c>
      <c r="H1967" t="s">
        <v>35</v>
      </c>
      <c r="I1967" t="s">
        <v>36</v>
      </c>
      <c r="J1967">
        <v>9</v>
      </c>
      <c r="K1967" s="5">
        <v>9278.6</v>
      </c>
      <c r="L1967" s="5">
        <v>4687.57</v>
      </c>
      <c r="M1967">
        <v>30</v>
      </c>
      <c r="N1967">
        <v>16</v>
      </c>
      <c r="O1967">
        <v>6</v>
      </c>
      <c r="P1967">
        <v>3</v>
      </c>
      <c r="Q1967">
        <v>3</v>
      </c>
      <c r="R1967">
        <v>1</v>
      </c>
      <c r="S1967">
        <v>1</v>
      </c>
      <c r="T1967">
        <v>0</v>
      </c>
      <c r="U1967">
        <v>0</v>
      </c>
      <c r="V1967">
        <v>1</v>
      </c>
      <c r="W1967" t="s">
        <v>37</v>
      </c>
      <c r="X1967">
        <v>33</v>
      </c>
      <c r="Y1967">
        <v>0</v>
      </c>
      <c r="Z1967">
        <f t="shared" si="180"/>
        <v>65</v>
      </c>
      <c r="AA1967">
        <f t="shared" si="181"/>
        <v>0.84615384615384615</v>
      </c>
      <c r="AB1967">
        <f t="shared" si="182"/>
        <v>2</v>
      </c>
      <c r="AC1967" t="str">
        <f t="shared" si="183"/>
        <v>Low</v>
      </c>
      <c r="AD1967" t="str">
        <f t="shared" si="184"/>
        <v>Upsell premium bundle</v>
      </c>
      <c r="AE1967">
        <f t="shared" si="185"/>
        <v>35</v>
      </c>
    </row>
    <row r="1968" spans="1:31" x14ac:dyDescent="0.35">
      <c r="A1968" t="s">
        <v>2026</v>
      </c>
      <c r="B1968" s="4">
        <v>45997</v>
      </c>
      <c r="C1968" s="4">
        <v>46143</v>
      </c>
      <c r="D1968" t="s">
        <v>32</v>
      </c>
      <c r="E1968">
        <v>63</v>
      </c>
      <c r="F1968" t="s">
        <v>33</v>
      </c>
      <c r="G1968" t="s">
        <v>85</v>
      </c>
      <c r="H1968" t="s">
        <v>41</v>
      </c>
      <c r="I1968" t="s">
        <v>36</v>
      </c>
      <c r="J1968">
        <v>4</v>
      </c>
      <c r="K1968" s="5">
        <v>524.71</v>
      </c>
      <c r="L1968" s="5">
        <v>215.72</v>
      </c>
      <c r="M1968">
        <v>24</v>
      </c>
      <c r="N1968">
        <v>14</v>
      </c>
      <c r="O1968">
        <v>3</v>
      </c>
      <c r="P1968">
        <v>0</v>
      </c>
      <c r="Q1968">
        <v>27</v>
      </c>
      <c r="R1968">
        <v>1</v>
      </c>
      <c r="S1968">
        <v>1</v>
      </c>
      <c r="T1968">
        <v>0</v>
      </c>
      <c r="U1968">
        <v>1</v>
      </c>
      <c r="V1968">
        <v>1</v>
      </c>
      <c r="W1968" t="s">
        <v>45</v>
      </c>
      <c r="X1968">
        <v>92</v>
      </c>
      <c r="Y1968">
        <v>0</v>
      </c>
      <c r="Z1968">
        <f t="shared" si="180"/>
        <v>79</v>
      </c>
      <c r="AA1968">
        <f t="shared" si="181"/>
        <v>1.5</v>
      </c>
      <c r="AB1968">
        <f t="shared" si="182"/>
        <v>0</v>
      </c>
      <c r="AC1968" t="str">
        <f t="shared" si="183"/>
        <v>Low</v>
      </c>
      <c r="AD1968" t="str">
        <f t="shared" si="184"/>
        <v>Upsell premium bundle</v>
      </c>
      <c r="AE1968">
        <f t="shared" si="185"/>
        <v>21</v>
      </c>
    </row>
    <row r="1969" spans="1:31" x14ac:dyDescent="0.35">
      <c r="A1969" t="s">
        <v>2027</v>
      </c>
      <c r="B1969" s="4">
        <v>46064</v>
      </c>
      <c r="C1969" s="4">
        <v>46143</v>
      </c>
      <c r="D1969" t="s">
        <v>39</v>
      </c>
      <c r="E1969">
        <v>32</v>
      </c>
      <c r="F1969" t="s">
        <v>57</v>
      </c>
      <c r="G1969" t="s">
        <v>67</v>
      </c>
      <c r="H1969" t="s">
        <v>58</v>
      </c>
      <c r="I1969" t="s">
        <v>36</v>
      </c>
      <c r="J1969">
        <v>2</v>
      </c>
      <c r="K1969" s="5">
        <v>0</v>
      </c>
      <c r="L1969" s="5">
        <v>43.9</v>
      </c>
      <c r="M1969">
        <v>9</v>
      </c>
      <c r="N1969">
        <v>4</v>
      </c>
      <c r="O1969">
        <v>1</v>
      </c>
      <c r="P1969">
        <v>0</v>
      </c>
      <c r="Q1969">
        <v>15</v>
      </c>
      <c r="R1969">
        <v>1</v>
      </c>
      <c r="S1969">
        <v>3</v>
      </c>
      <c r="T1969">
        <v>0</v>
      </c>
      <c r="U1969">
        <v>0</v>
      </c>
      <c r="V1969">
        <v>0</v>
      </c>
      <c r="W1969" t="s">
        <v>45</v>
      </c>
      <c r="X1969">
        <v>29</v>
      </c>
      <c r="Y1969">
        <v>1</v>
      </c>
      <c r="Z1969">
        <f t="shared" si="180"/>
        <v>27</v>
      </c>
      <c r="AA1969">
        <f t="shared" si="181"/>
        <v>0.75</v>
      </c>
      <c r="AB1969">
        <f t="shared" si="182"/>
        <v>45</v>
      </c>
      <c r="AC1969" t="str">
        <f t="shared" si="183"/>
        <v>Medium</v>
      </c>
      <c r="AD1969" t="str">
        <f t="shared" si="184"/>
        <v>Nudge core feature adoption</v>
      </c>
      <c r="AE1969">
        <f t="shared" si="185"/>
        <v>73</v>
      </c>
    </row>
    <row r="1970" spans="1:31" x14ac:dyDescent="0.35">
      <c r="A1970" t="s">
        <v>2028</v>
      </c>
      <c r="B1970" s="4">
        <v>44950</v>
      </c>
      <c r="C1970" s="4">
        <v>46143</v>
      </c>
      <c r="D1970" t="s">
        <v>72</v>
      </c>
      <c r="E1970">
        <v>30</v>
      </c>
      <c r="F1970" t="s">
        <v>57</v>
      </c>
      <c r="G1970" t="s">
        <v>40</v>
      </c>
      <c r="H1970" t="s">
        <v>58</v>
      </c>
      <c r="I1970" t="s">
        <v>36</v>
      </c>
      <c r="J1970">
        <v>39</v>
      </c>
      <c r="K1970" s="5">
        <v>741.78</v>
      </c>
      <c r="L1970" s="5">
        <v>1065.99</v>
      </c>
      <c r="M1970">
        <v>47</v>
      </c>
      <c r="N1970">
        <v>12</v>
      </c>
      <c r="O1970">
        <v>3</v>
      </c>
      <c r="P1970">
        <v>8</v>
      </c>
      <c r="Q1970">
        <v>32</v>
      </c>
      <c r="R1970">
        <v>1</v>
      </c>
      <c r="S1970">
        <v>0</v>
      </c>
      <c r="T1970">
        <v>0</v>
      </c>
      <c r="U1970">
        <v>0</v>
      </c>
      <c r="V1970">
        <v>0</v>
      </c>
      <c r="W1970" t="s">
        <v>52</v>
      </c>
      <c r="X1970">
        <v>0</v>
      </c>
      <c r="Y1970">
        <v>0</v>
      </c>
      <c r="Z1970">
        <f t="shared" si="180"/>
        <v>100</v>
      </c>
      <c r="AA1970">
        <f t="shared" si="181"/>
        <v>1.144927536231884</v>
      </c>
      <c r="AB1970">
        <f t="shared" si="182"/>
        <v>7</v>
      </c>
      <c r="AC1970" t="str">
        <f t="shared" si="183"/>
        <v>Low</v>
      </c>
      <c r="AD1970" t="str">
        <f t="shared" si="184"/>
        <v>Upsell premium bundle</v>
      </c>
      <c r="AE1970">
        <f t="shared" si="185"/>
        <v>0</v>
      </c>
    </row>
    <row r="1971" spans="1:31" x14ac:dyDescent="0.35">
      <c r="A1971" t="s">
        <v>2029</v>
      </c>
      <c r="B1971" s="4">
        <v>46098</v>
      </c>
      <c r="C1971" s="4">
        <v>46143</v>
      </c>
      <c r="D1971" t="s">
        <v>32</v>
      </c>
      <c r="E1971">
        <v>34</v>
      </c>
      <c r="F1971" t="s">
        <v>77</v>
      </c>
      <c r="G1971" t="s">
        <v>48</v>
      </c>
      <c r="H1971" t="s">
        <v>58</v>
      </c>
      <c r="I1971" t="s">
        <v>36</v>
      </c>
      <c r="J1971">
        <v>1</v>
      </c>
      <c r="K1971" s="5">
        <v>8034.75</v>
      </c>
      <c r="L1971" s="5">
        <v>4157.43</v>
      </c>
      <c r="M1971">
        <v>36</v>
      </c>
      <c r="N1971">
        <v>24</v>
      </c>
      <c r="O1971">
        <v>4</v>
      </c>
      <c r="P1971">
        <v>1</v>
      </c>
      <c r="Q1971">
        <v>35</v>
      </c>
      <c r="R1971">
        <v>1</v>
      </c>
      <c r="S1971">
        <v>1</v>
      </c>
      <c r="T1971">
        <v>0</v>
      </c>
      <c r="U1971">
        <v>0</v>
      </c>
      <c r="V1971">
        <v>0</v>
      </c>
      <c r="W1971" t="s">
        <v>37</v>
      </c>
      <c r="X1971">
        <v>21</v>
      </c>
      <c r="Y1971">
        <v>0</v>
      </c>
      <c r="Z1971">
        <f t="shared" si="180"/>
        <v>94</v>
      </c>
      <c r="AA1971">
        <f t="shared" si="181"/>
        <v>2.2903225806451615</v>
      </c>
      <c r="AB1971">
        <f t="shared" si="182"/>
        <v>0</v>
      </c>
      <c r="AC1971" t="str">
        <f t="shared" si="183"/>
        <v>Low</v>
      </c>
      <c r="AD1971" t="str">
        <f t="shared" si="184"/>
        <v>Upsell premium bundle</v>
      </c>
      <c r="AE1971">
        <f t="shared" si="185"/>
        <v>6</v>
      </c>
    </row>
    <row r="1972" spans="1:31" x14ac:dyDescent="0.35">
      <c r="A1972" t="s">
        <v>2030</v>
      </c>
      <c r="B1972" s="4">
        <v>45046</v>
      </c>
      <c r="C1972" s="4">
        <v>46143</v>
      </c>
      <c r="D1972" t="s">
        <v>32</v>
      </c>
      <c r="E1972">
        <v>46</v>
      </c>
      <c r="F1972" t="s">
        <v>33</v>
      </c>
      <c r="G1972" t="s">
        <v>48</v>
      </c>
      <c r="H1972" t="s">
        <v>41</v>
      </c>
      <c r="I1972" t="s">
        <v>49</v>
      </c>
      <c r="J1972">
        <v>36</v>
      </c>
      <c r="K1972" s="5">
        <v>0</v>
      </c>
      <c r="L1972" s="5">
        <v>178.97</v>
      </c>
      <c r="M1972">
        <v>24</v>
      </c>
      <c r="N1972">
        <v>9</v>
      </c>
      <c r="O1972">
        <v>1</v>
      </c>
      <c r="P1972">
        <v>4</v>
      </c>
      <c r="Q1972">
        <v>25</v>
      </c>
      <c r="R1972">
        <v>0</v>
      </c>
      <c r="S1972">
        <v>0</v>
      </c>
      <c r="T1972">
        <v>1</v>
      </c>
      <c r="U1972">
        <v>0</v>
      </c>
      <c r="V1972">
        <v>0</v>
      </c>
      <c r="W1972" t="s">
        <v>37</v>
      </c>
      <c r="X1972">
        <v>49</v>
      </c>
      <c r="Y1972">
        <v>1</v>
      </c>
      <c r="Z1972">
        <f t="shared" si="180"/>
        <v>62</v>
      </c>
      <c r="AA1972">
        <f t="shared" si="181"/>
        <v>0.74242424242424243</v>
      </c>
      <c r="AB1972">
        <f t="shared" si="182"/>
        <v>25</v>
      </c>
      <c r="AC1972" t="str">
        <f t="shared" si="183"/>
        <v>Low</v>
      </c>
      <c r="AD1972" t="str">
        <f t="shared" si="184"/>
        <v>Upsell premium bundle</v>
      </c>
      <c r="AE1972">
        <f t="shared" si="185"/>
        <v>38</v>
      </c>
    </row>
    <row r="1973" spans="1:31" x14ac:dyDescent="0.35">
      <c r="A1973" t="s">
        <v>2031</v>
      </c>
      <c r="B1973" s="4">
        <v>45587</v>
      </c>
      <c r="C1973" s="4">
        <v>46143</v>
      </c>
      <c r="D1973" t="s">
        <v>66</v>
      </c>
      <c r="E1973">
        <v>29</v>
      </c>
      <c r="F1973" t="s">
        <v>43</v>
      </c>
      <c r="G1973" t="s">
        <v>40</v>
      </c>
      <c r="H1973" t="s">
        <v>41</v>
      </c>
      <c r="I1973" t="s">
        <v>36</v>
      </c>
      <c r="J1973">
        <v>18</v>
      </c>
      <c r="K1973" s="5">
        <v>100.07</v>
      </c>
      <c r="L1973" s="5">
        <v>31.91</v>
      </c>
      <c r="M1973">
        <v>19</v>
      </c>
      <c r="N1973">
        <v>11</v>
      </c>
      <c r="O1973">
        <v>5</v>
      </c>
      <c r="P1973">
        <v>1</v>
      </c>
      <c r="Q1973">
        <v>9</v>
      </c>
      <c r="R1973">
        <v>0</v>
      </c>
      <c r="S1973">
        <v>0</v>
      </c>
      <c r="T1973">
        <v>1</v>
      </c>
      <c r="U1973">
        <v>0</v>
      </c>
      <c r="V1973">
        <v>0</v>
      </c>
      <c r="W1973" t="s">
        <v>55</v>
      </c>
      <c r="X1973">
        <v>52</v>
      </c>
      <c r="Y1973">
        <v>0</v>
      </c>
      <c r="Z1973">
        <f t="shared" si="180"/>
        <v>44</v>
      </c>
      <c r="AA1973">
        <f t="shared" si="181"/>
        <v>0.58333333333333337</v>
      </c>
      <c r="AB1973">
        <f t="shared" si="182"/>
        <v>14</v>
      </c>
      <c r="AC1973" t="str">
        <f t="shared" si="183"/>
        <v>Low</v>
      </c>
      <c r="AD1973" t="str">
        <f t="shared" si="184"/>
        <v>Upsell premium bundle</v>
      </c>
      <c r="AE1973">
        <f t="shared" si="185"/>
        <v>56</v>
      </c>
    </row>
    <row r="1974" spans="1:31" x14ac:dyDescent="0.35">
      <c r="A1974" t="s">
        <v>2032</v>
      </c>
      <c r="B1974" s="4">
        <v>45187</v>
      </c>
      <c r="C1974" s="4">
        <v>46143</v>
      </c>
      <c r="D1974" t="s">
        <v>72</v>
      </c>
      <c r="E1974">
        <v>50</v>
      </c>
      <c r="F1974" t="s">
        <v>33</v>
      </c>
      <c r="G1974" t="s">
        <v>67</v>
      </c>
      <c r="H1974" t="s">
        <v>41</v>
      </c>
      <c r="I1974" t="s">
        <v>36</v>
      </c>
      <c r="J1974">
        <v>31</v>
      </c>
      <c r="K1974" s="5">
        <v>420.38</v>
      </c>
      <c r="L1974" s="5">
        <v>5.88</v>
      </c>
      <c r="M1974">
        <v>34</v>
      </c>
      <c r="N1974">
        <v>16</v>
      </c>
      <c r="O1974">
        <v>8</v>
      </c>
      <c r="P1974">
        <v>1</v>
      </c>
      <c r="Q1974">
        <v>8</v>
      </c>
      <c r="R1974">
        <v>4</v>
      </c>
      <c r="S1974">
        <v>1</v>
      </c>
      <c r="T1974">
        <v>1</v>
      </c>
      <c r="U1974">
        <v>0</v>
      </c>
      <c r="V1974">
        <v>0</v>
      </c>
      <c r="W1974" t="s">
        <v>55</v>
      </c>
      <c r="X1974">
        <v>-25</v>
      </c>
      <c r="Y1974">
        <v>1</v>
      </c>
      <c r="Z1974">
        <f t="shared" si="180"/>
        <v>67</v>
      </c>
      <c r="AA1974">
        <f t="shared" si="181"/>
        <v>0.68852459016393441</v>
      </c>
      <c r="AB1974">
        <f t="shared" si="182"/>
        <v>46</v>
      </c>
      <c r="AC1974" t="str">
        <f t="shared" si="183"/>
        <v>Medium</v>
      </c>
      <c r="AD1974" t="str">
        <f t="shared" si="184"/>
        <v>Nudge core feature adoption</v>
      </c>
      <c r="AE1974">
        <f t="shared" si="185"/>
        <v>33</v>
      </c>
    </row>
    <row r="1975" spans="1:31" x14ac:dyDescent="0.35">
      <c r="A1975" t="s">
        <v>2033</v>
      </c>
      <c r="B1975" s="4">
        <v>44762</v>
      </c>
      <c r="C1975" s="4">
        <v>46143</v>
      </c>
      <c r="D1975" t="s">
        <v>66</v>
      </c>
      <c r="E1975">
        <v>72</v>
      </c>
      <c r="F1975" t="s">
        <v>33</v>
      </c>
      <c r="G1975" t="s">
        <v>63</v>
      </c>
      <c r="H1975" t="s">
        <v>41</v>
      </c>
      <c r="I1975" t="s">
        <v>36</v>
      </c>
      <c r="J1975">
        <v>46</v>
      </c>
      <c r="K1975" s="5">
        <v>126.81</v>
      </c>
      <c r="L1975" s="5">
        <v>163.92</v>
      </c>
      <c r="M1975">
        <v>49</v>
      </c>
      <c r="N1975">
        <v>29</v>
      </c>
      <c r="O1975">
        <v>14</v>
      </c>
      <c r="P1975">
        <v>6</v>
      </c>
      <c r="Q1975">
        <v>34</v>
      </c>
      <c r="R1975">
        <v>0</v>
      </c>
      <c r="S1975">
        <v>1</v>
      </c>
      <c r="T1975">
        <v>0</v>
      </c>
      <c r="U1975">
        <v>0</v>
      </c>
      <c r="V1975">
        <v>0</v>
      </c>
      <c r="W1975" t="s">
        <v>52</v>
      </c>
      <c r="X1975">
        <v>1</v>
      </c>
      <c r="Y1975">
        <v>0</v>
      </c>
      <c r="Z1975">
        <f t="shared" si="180"/>
        <v>100</v>
      </c>
      <c r="AA1975">
        <f t="shared" si="181"/>
        <v>1.0921052631578947</v>
      </c>
      <c r="AB1975">
        <f t="shared" si="182"/>
        <v>26</v>
      </c>
      <c r="AC1975" t="str">
        <f t="shared" si="183"/>
        <v>Low</v>
      </c>
      <c r="AD1975" t="str">
        <f t="shared" si="184"/>
        <v>Upsell premium bundle</v>
      </c>
      <c r="AE1975">
        <f t="shared" si="185"/>
        <v>0</v>
      </c>
    </row>
    <row r="1976" spans="1:31" x14ac:dyDescent="0.35">
      <c r="A1976" t="s">
        <v>2034</v>
      </c>
      <c r="B1976" s="4">
        <v>44754</v>
      </c>
      <c r="C1976" s="4">
        <v>46143</v>
      </c>
      <c r="D1976" t="s">
        <v>32</v>
      </c>
      <c r="E1976">
        <v>18</v>
      </c>
      <c r="F1976" t="s">
        <v>57</v>
      </c>
      <c r="G1976" t="s">
        <v>34</v>
      </c>
      <c r="H1976" t="s">
        <v>41</v>
      </c>
      <c r="I1976" t="s">
        <v>36</v>
      </c>
      <c r="J1976">
        <v>46</v>
      </c>
      <c r="K1976" s="5">
        <v>1137.8900000000001</v>
      </c>
      <c r="L1976" s="5">
        <v>1221.52</v>
      </c>
      <c r="M1976">
        <v>25</v>
      </c>
      <c r="N1976">
        <v>9</v>
      </c>
      <c r="O1976">
        <v>1</v>
      </c>
      <c r="P1976">
        <v>1</v>
      </c>
      <c r="Q1976">
        <v>15</v>
      </c>
      <c r="R1976">
        <v>0</v>
      </c>
      <c r="S1976">
        <v>0</v>
      </c>
      <c r="T1976">
        <v>1</v>
      </c>
      <c r="U1976">
        <v>0</v>
      </c>
      <c r="V1976">
        <v>0</v>
      </c>
      <c r="W1976" t="s">
        <v>52</v>
      </c>
      <c r="X1976">
        <v>44</v>
      </c>
      <c r="Y1976">
        <v>0</v>
      </c>
      <c r="Z1976">
        <f t="shared" si="180"/>
        <v>50</v>
      </c>
      <c r="AA1976">
        <f t="shared" si="181"/>
        <v>0.52631578947368418</v>
      </c>
      <c r="AB1976">
        <f t="shared" si="182"/>
        <v>16</v>
      </c>
      <c r="AC1976" t="str">
        <f t="shared" si="183"/>
        <v>Low</v>
      </c>
      <c r="AD1976" t="str">
        <f t="shared" si="184"/>
        <v>Upsell premium bundle</v>
      </c>
      <c r="AE1976">
        <f t="shared" si="185"/>
        <v>50</v>
      </c>
    </row>
    <row r="1977" spans="1:31" x14ac:dyDescent="0.35">
      <c r="A1977" t="s">
        <v>2035</v>
      </c>
      <c r="B1977" s="4">
        <v>44985</v>
      </c>
      <c r="C1977" s="4">
        <v>46143</v>
      </c>
      <c r="D1977" t="s">
        <v>32</v>
      </c>
      <c r="E1977">
        <v>61</v>
      </c>
      <c r="F1977" t="s">
        <v>33</v>
      </c>
      <c r="G1977" t="s">
        <v>63</v>
      </c>
      <c r="H1977" t="s">
        <v>58</v>
      </c>
      <c r="I1977" t="s">
        <v>36</v>
      </c>
      <c r="J1977">
        <v>38</v>
      </c>
      <c r="K1977" s="5">
        <v>469.8</v>
      </c>
      <c r="L1977" s="5">
        <v>334.33</v>
      </c>
      <c r="M1977">
        <v>26</v>
      </c>
      <c r="N1977">
        <v>7</v>
      </c>
      <c r="O1977">
        <v>1</v>
      </c>
      <c r="P1977">
        <v>1</v>
      </c>
      <c r="Q1977">
        <v>21</v>
      </c>
      <c r="R1977">
        <v>0</v>
      </c>
      <c r="S1977">
        <v>1</v>
      </c>
      <c r="T1977">
        <v>0</v>
      </c>
      <c r="U1977">
        <v>0</v>
      </c>
      <c r="V1977">
        <v>0</v>
      </c>
      <c r="W1977" t="s">
        <v>45</v>
      </c>
      <c r="X1977">
        <v>-16</v>
      </c>
      <c r="Y1977">
        <v>1</v>
      </c>
      <c r="Z1977">
        <f t="shared" si="180"/>
        <v>55</v>
      </c>
      <c r="AA1977">
        <f t="shared" si="181"/>
        <v>0.69117647058823528</v>
      </c>
      <c r="AB1977">
        <f t="shared" si="182"/>
        <v>42</v>
      </c>
      <c r="AC1977" t="str">
        <f t="shared" si="183"/>
        <v>Medium</v>
      </c>
      <c r="AD1977" t="str">
        <f t="shared" si="184"/>
        <v>Nudge core feature adoption</v>
      </c>
      <c r="AE1977">
        <f t="shared" si="185"/>
        <v>45</v>
      </c>
    </row>
    <row r="1978" spans="1:31" x14ac:dyDescent="0.35">
      <c r="A1978" t="s">
        <v>2036</v>
      </c>
      <c r="B1978" s="4">
        <v>45052</v>
      </c>
      <c r="C1978" s="4">
        <v>46143</v>
      </c>
      <c r="D1978" t="s">
        <v>39</v>
      </c>
      <c r="E1978">
        <v>58</v>
      </c>
      <c r="F1978" t="s">
        <v>57</v>
      </c>
      <c r="G1978" t="s">
        <v>40</v>
      </c>
      <c r="H1978" t="s">
        <v>58</v>
      </c>
      <c r="I1978" t="s">
        <v>36</v>
      </c>
      <c r="J1978">
        <v>36</v>
      </c>
      <c r="K1978" s="5">
        <v>1025.45</v>
      </c>
      <c r="L1978" s="5">
        <v>759.1</v>
      </c>
      <c r="M1978">
        <v>16</v>
      </c>
      <c r="N1978">
        <v>5</v>
      </c>
      <c r="O1978">
        <v>1</v>
      </c>
      <c r="P1978">
        <v>0</v>
      </c>
      <c r="Q1978">
        <v>9</v>
      </c>
      <c r="R1978">
        <v>2</v>
      </c>
      <c r="S1978">
        <v>2</v>
      </c>
      <c r="T1978">
        <v>1</v>
      </c>
      <c r="U1978">
        <v>0</v>
      </c>
      <c r="V1978">
        <v>1</v>
      </c>
      <c r="W1978" t="s">
        <v>37</v>
      </c>
      <c r="X1978">
        <v>-17</v>
      </c>
      <c r="Y1978">
        <v>1</v>
      </c>
      <c r="Z1978">
        <f t="shared" si="180"/>
        <v>37</v>
      </c>
      <c r="AA1978">
        <f t="shared" si="181"/>
        <v>0.37878787878787878</v>
      </c>
      <c r="AB1978">
        <f t="shared" si="182"/>
        <v>55</v>
      </c>
      <c r="AC1978" t="str">
        <f t="shared" si="183"/>
        <v>Medium</v>
      </c>
      <c r="AD1978" t="str">
        <f t="shared" si="184"/>
        <v>Nudge core feature adoption</v>
      </c>
      <c r="AE1978">
        <f t="shared" si="185"/>
        <v>63</v>
      </c>
    </row>
    <row r="1979" spans="1:31" x14ac:dyDescent="0.35">
      <c r="A1979" t="s">
        <v>2037</v>
      </c>
      <c r="B1979" s="4">
        <v>45005</v>
      </c>
      <c r="C1979" s="4">
        <v>46143</v>
      </c>
      <c r="D1979" t="s">
        <v>72</v>
      </c>
      <c r="E1979">
        <v>59</v>
      </c>
      <c r="F1979" t="s">
        <v>33</v>
      </c>
      <c r="G1979" t="s">
        <v>48</v>
      </c>
      <c r="H1979" t="s">
        <v>41</v>
      </c>
      <c r="I1979" t="s">
        <v>36</v>
      </c>
      <c r="J1979">
        <v>37</v>
      </c>
      <c r="K1979" s="5">
        <v>486.32</v>
      </c>
      <c r="L1979" s="5">
        <v>142.24</v>
      </c>
      <c r="M1979">
        <v>28</v>
      </c>
      <c r="N1979">
        <v>18</v>
      </c>
      <c r="O1979">
        <v>4</v>
      </c>
      <c r="P1979">
        <v>0</v>
      </c>
      <c r="Q1979">
        <v>18</v>
      </c>
      <c r="R1979">
        <v>4</v>
      </c>
      <c r="S1979">
        <v>1</v>
      </c>
      <c r="T1979">
        <v>1</v>
      </c>
      <c r="U1979">
        <v>0</v>
      </c>
      <c r="V1979">
        <v>0</v>
      </c>
      <c r="W1979" t="s">
        <v>55</v>
      </c>
      <c r="X1979">
        <v>34</v>
      </c>
      <c r="Y1979">
        <v>1</v>
      </c>
      <c r="Z1979">
        <f t="shared" si="180"/>
        <v>64</v>
      </c>
      <c r="AA1979">
        <f t="shared" si="181"/>
        <v>0.68656716417910446</v>
      </c>
      <c r="AB1979">
        <f t="shared" si="182"/>
        <v>17</v>
      </c>
      <c r="AC1979" t="str">
        <f t="shared" si="183"/>
        <v>Low</v>
      </c>
      <c r="AD1979" t="str">
        <f t="shared" si="184"/>
        <v>Upsell premium bundle</v>
      </c>
      <c r="AE1979">
        <f t="shared" si="185"/>
        <v>36</v>
      </c>
    </row>
    <row r="1980" spans="1:31" x14ac:dyDescent="0.35">
      <c r="A1980" t="s">
        <v>2038</v>
      </c>
      <c r="B1980" s="4">
        <v>45773</v>
      </c>
      <c r="C1980" s="4">
        <v>46143</v>
      </c>
      <c r="D1980" t="s">
        <v>60</v>
      </c>
      <c r="E1980">
        <v>34</v>
      </c>
      <c r="F1980" t="s">
        <v>33</v>
      </c>
      <c r="G1980" t="s">
        <v>67</v>
      </c>
      <c r="H1980" t="s">
        <v>58</v>
      </c>
      <c r="I1980" t="s">
        <v>36</v>
      </c>
      <c r="J1980">
        <v>12</v>
      </c>
      <c r="K1980" s="5">
        <v>501.18</v>
      </c>
      <c r="L1980" s="5">
        <v>589.09</v>
      </c>
      <c r="M1980">
        <v>18</v>
      </c>
      <c r="N1980">
        <v>10</v>
      </c>
      <c r="O1980">
        <v>2</v>
      </c>
      <c r="P1980">
        <v>3</v>
      </c>
      <c r="Q1980">
        <v>17</v>
      </c>
      <c r="R1980">
        <v>0</v>
      </c>
      <c r="S1980">
        <v>0</v>
      </c>
      <c r="T1980">
        <v>1</v>
      </c>
      <c r="U1980">
        <v>0</v>
      </c>
      <c r="V1980">
        <v>0</v>
      </c>
      <c r="W1980" t="s">
        <v>37</v>
      </c>
      <c r="X1980">
        <v>30</v>
      </c>
      <c r="Y1980">
        <v>0</v>
      </c>
      <c r="Z1980">
        <f t="shared" si="180"/>
        <v>49</v>
      </c>
      <c r="AA1980">
        <f t="shared" si="181"/>
        <v>0.83333333333333337</v>
      </c>
      <c r="AB1980">
        <f t="shared" si="182"/>
        <v>13</v>
      </c>
      <c r="AC1980" t="str">
        <f t="shared" si="183"/>
        <v>Low</v>
      </c>
      <c r="AD1980" t="str">
        <f t="shared" si="184"/>
        <v>Upsell premium bundle</v>
      </c>
      <c r="AE1980">
        <f t="shared" si="185"/>
        <v>51</v>
      </c>
    </row>
    <row r="1981" spans="1:31" x14ac:dyDescent="0.35">
      <c r="A1981" t="s">
        <v>2039</v>
      </c>
      <c r="B1981" s="4">
        <v>45736</v>
      </c>
      <c r="C1981" s="4">
        <v>46143</v>
      </c>
      <c r="D1981" t="s">
        <v>47</v>
      </c>
      <c r="E1981">
        <v>69</v>
      </c>
      <c r="F1981" t="s">
        <v>57</v>
      </c>
      <c r="G1981" t="s">
        <v>40</v>
      </c>
      <c r="H1981" t="s">
        <v>44</v>
      </c>
      <c r="I1981" t="s">
        <v>36</v>
      </c>
      <c r="J1981">
        <v>13</v>
      </c>
      <c r="K1981" s="5">
        <v>1386.15</v>
      </c>
      <c r="L1981" s="5">
        <v>228.28</v>
      </c>
      <c r="M1981">
        <v>53</v>
      </c>
      <c r="N1981">
        <v>23</v>
      </c>
      <c r="O1981">
        <v>5</v>
      </c>
      <c r="P1981">
        <v>3</v>
      </c>
      <c r="Q1981">
        <v>32</v>
      </c>
      <c r="R1981">
        <v>0</v>
      </c>
      <c r="S1981">
        <v>0</v>
      </c>
      <c r="T1981">
        <v>0</v>
      </c>
      <c r="U1981">
        <v>0</v>
      </c>
      <c r="V1981">
        <v>1</v>
      </c>
      <c r="W1981" t="s">
        <v>45</v>
      </c>
      <c r="X1981">
        <v>25</v>
      </c>
      <c r="Y1981">
        <v>0</v>
      </c>
      <c r="Z1981">
        <f t="shared" si="180"/>
        <v>100</v>
      </c>
      <c r="AA1981">
        <f t="shared" si="181"/>
        <v>1.9767441860465116</v>
      </c>
      <c r="AB1981">
        <f t="shared" si="182"/>
        <v>0</v>
      </c>
      <c r="AC1981" t="str">
        <f t="shared" si="183"/>
        <v>Low</v>
      </c>
      <c r="AD1981" t="str">
        <f t="shared" si="184"/>
        <v>Upsell premium bundle</v>
      </c>
      <c r="AE1981">
        <f t="shared" si="185"/>
        <v>0</v>
      </c>
    </row>
    <row r="1982" spans="1:31" x14ac:dyDescent="0.35">
      <c r="A1982" t="s">
        <v>2040</v>
      </c>
      <c r="B1982" s="4">
        <v>46071</v>
      </c>
      <c r="C1982" s="4">
        <v>46143</v>
      </c>
      <c r="D1982" t="s">
        <v>72</v>
      </c>
      <c r="E1982">
        <v>50</v>
      </c>
      <c r="F1982" t="s">
        <v>57</v>
      </c>
      <c r="G1982" t="s">
        <v>63</v>
      </c>
      <c r="H1982" t="s">
        <v>41</v>
      </c>
      <c r="I1982" t="s">
        <v>36</v>
      </c>
      <c r="J1982">
        <v>2</v>
      </c>
      <c r="K1982" s="5">
        <v>521.19000000000005</v>
      </c>
      <c r="L1982" s="5">
        <v>891.97</v>
      </c>
      <c r="M1982">
        <v>29</v>
      </c>
      <c r="N1982">
        <v>18</v>
      </c>
      <c r="O1982">
        <v>4</v>
      </c>
      <c r="P1982">
        <v>5</v>
      </c>
      <c r="Q1982">
        <v>16</v>
      </c>
      <c r="R1982">
        <v>0</v>
      </c>
      <c r="S1982">
        <v>0</v>
      </c>
      <c r="T1982">
        <v>1</v>
      </c>
      <c r="U1982">
        <v>1</v>
      </c>
      <c r="V1982">
        <v>1</v>
      </c>
      <c r="W1982" t="s">
        <v>52</v>
      </c>
      <c r="X1982">
        <v>43</v>
      </c>
      <c r="Y1982">
        <v>0</v>
      </c>
      <c r="Z1982">
        <f t="shared" si="180"/>
        <v>86</v>
      </c>
      <c r="AA1982">
        <f t="shared" si="181"/>
        <v>1.40625</v>
      </c>
      <c r="AB1982">
        <f t="shared" si="182"/>
        <v>2</v>
      </c>
      <c r="AC1982" t="str">
        <f t="shared" si="183"/>
        <v>Low</v>
      </c>
      <c r="AD1982" t="str">
        <f t="shared" si="184"/>
        <v>Upsell premium bundle</v>
      </c>
      <c r="AE1982">
        <f t="shared" si="185"/>
        <v>14</v>
      </c>
    </row>
    <row r="1983" spans="1:31" x14ac:dyDescent="0.35">
      <c r="A1983" t="s">
        <v>2041</v>
      </c>
      <c r="B1983" s="4">
        <v>45570</v>
      </c>
      <c r="C1983" s="4">
        <v>46143</v>
      </c>
      <c r="D1983" t="s">
        <v>60</v>
      </c>
      <c r="E1983">
        <v>53</v>
      </c>
      <c r="F1983" t="s">
        <v>77</v>
      </c>
      <c r="G1983" t="s">
        <v>63</v>
      </c>
      <c r="H1983" t="s">
        <v>44</v>
      </c>
      <c r="I1983" t="s">
        <v>36</v>
      </c>
      <c r="J1983">
        <v>19</v>
      </c>
      <c r="K1983" s="5">
        <v>13752.9</v>
      </c>
      <c r="L1983" s="5">
        <v>11017.97</v>
      </c>
      <c r="M1983">
        <v>21</v>
      </c>
      <c r="N1983">
        <v>15</v>
      </c>
      <c r="O1983">
        <v>3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1</v>
      </c>
      <c r="V1983">
        <v>0</v>
      </c>
      <c r="W1983" t="s">
        <v>37</v>
      </c>
      <c r="X1983">
        <v>71</v>
      </c>
      <c r="Y1983">
        <v>0</v>
      </c>
      <c r="Z1983">
        <f t="shared" si="180"/>
        <v>47</v>
      </c>
      <c r="AA1983">
        <f t="shared" si="181"/>
        <v>0.42857142857142855</v>
      </c>
      <c r="AB1983">
        <f t="shared" si="182"/>
        <v>0</v>
      </c>
      <c r="AC1983" t="str">
        <f t="shared" si="183"/>
        <v>Low</v>
      </c>
      <c r="AD1983" t="str">
        <f t="shared" si="184"/>
        <v>Upsell premium bundle</v>
      </c>
      <c r="AE1983">
        <f t="shared" si="185"/>
        <v>53</v>
      </c>
    </row>
    <row r="1984" spans="1:31" x14ac:dyDescent="0.35">
      <c r="A1984" t="s">
        <v>2042</v>
      </c>
      <c r="B1984" s="4">
        <v>44755</v>
      </c>
      <c r="C1984" s="4">
        <v>46143</v>
      </c>
      <c r="D1984" t="s">
        <v>32</v>
      </c>
      <c r="E1984">
        <v>31</v>
      </c>
      <c r="F1984" t="s">
        <v>77</v>
      </c>
      <c r="G1984" t="s">
        <v>85</v>
      </c>
      <c r="H1984" t="s">
        <v>44</v>
      </c>
      <c r="I1984" t="s">
        <v>36</v>
      </c>
      <c r="J1984">
        <v>46</v>
      </c>
      <c r="K1984" s="5">
        <v>20217.39</v>
      </c>
      <c r="L1984" s="5">
        <v>7342.1</v>
      </c>
      <c r="M1984">
        <v>44</v>
      </c>
      <c r="N1984">
        <v>16</v>
      </c>
      <c r="O1984">
        <v>5</v>
      </c>
      <c r="P1984">
        <v>9</v>
      </c>
      <c r="Q1984">
        <v>37</v>
      </c>
      <c r="R1984">
        <v>0</v>
      </c>
      <c r="S1984">
        <v>0</v>
      </c>
      <c r="T1984">
        <v>0</v>
      </c>
      <c r="U1984">
        <v>0</v>
      </c>
      <c r="V1984">
        <v>1</v>
      </c>
      <c r="W1984" t="s">
        <v>45</v>
      </c>
      <c r="X1984">
        <v>14</v>
      </c>
      <c r="Y1984">
        <v>0</v>
      </c>
      <c r="Z1984">
        <f t="shared" si="180"/>
        <v>100</v>
      </c>
      <c r="AA1984">
        <f t="shared" si="181"/>
        <v>1.0657894736842106</v>
      </c>
      <c r="AB1984">
        <f t="shared" si="182"/>
        <v>0</v>
      </c>
      <c r="AC1984" t="str">
        <f t="shared" si="183"/>
        <v>Low</v>
      </c>
      <c r="AD1984" t="str">
        <f t="shared" si="184"/>
        <v>Upsell premium bundle</v>
      </c>
      <c r="AE1984">
        <f t="shared" si="185"/>
        <v>0</v>
      </c>
    </row>
    <row r="1985" spans="1:31" x14ac:dyDescent="0.35">
      <c r="A1985" t="s">
        <v>2043</v>
      </c>
      <c r="B1985" s="4">
        <v>46078</v>
      </c>
      <c r="C1985" s="4">
        <v>46143</v>
      </c>
      <c r="D1985" t="s">
        <v>39</v>
      </c>
      <c r="E1985">
        <v>62</v>
      </c>
      <c r="F1985" t="s">
        <v>43</v>
      </c>
      <c r="G1985" t="s">
        <v>40</v>
      </c>
      <c r="H1985" t="s">
        <v>41</v>
      </c>
      <c r="I1985" t="s">
        <v>36</v>
      </c>
      <c r="J1985">
        <v>2</v>
      </c>
      <c r="K1985" s="5">
        <v>63.63</v>
      </c>
      <c r="L1985" s="5">
        <v>93.86</v>
      </c>
      <c r="M1985">
        <v>25</v>
      </c>
      <c r="N1985">
        <v>13</v>
      </c>
      <c r="O1985">
        <v>2</v>
      </c>
      <c r="P1985">
        <v>0</v>
      </c>
      <c r="Q1985">
        <v>13</v>
      </c>
      <c r="R1985">
        <v>1</v>
      </c>
      <c r="S1985">
        <v>0</v>
      </c>
      <c r="T1985">
        <v>0</v>
      </c>
      <c r="U1985">
        <v>0</v>
      </c>
      <c r="V1985">
        <v>1</v>
      </c>
      <c r="W1985" t="s">
        <v>37</v>
      </c>
      <c r="X1985">
        <v>-14</v>
      </c>
      <c r="Y1985">
        <v>1</v>
      </c>
      <c r="Z1985">
        <f t="shared" si="180"/>
        <v>58</v>
      </c>
      <c r="AA1985">
        <f t="shared" si="181"/>
        <v>1.1875</v>
      </c>
      <c r="AB1985">
        <f t="shared" si="182"/>
        <v>40</v>
      </c>
      <c r="AC1985" t="str">
        <f t="shared" si="183"/>
        <v>Medium</v>
      </c>
      <c r="AD1985" t="str">
        <f t="shared" si="184"/>
        <v>Nudge core feature adoption</v>
      </c>
      <c r="AE1985">
        <f t="shared" si="185"/>
        <v>42</v>
      </c>
    </row>
    <row r="1986" spans="1:31" x14ac:dyDescent="0.35">
      <c r="A1986" t="s">
        <v>2044</v>
      </c>
      <c r="B1986" s="4">
        <v>45810</v>
      </c>
      <c r="C1986" s="4">
        <v>46143</v>
      </c>
      <c r="D1986" t="s">
        <v>72</v>
      </c>
      <c r="E1986">
        <v>67</v>
      </c>
      <c r="F1986" t="s">
        <v>33</v>
      </c>
      <c r="G1986" t="s">
        <v>63</v>
      </c>
      <c r="H1986" t="s">
        <v>58</v>
      </c>
      <c r="I1986" t="s">
        <v>36</v>
      </c>
      <c r="J1986">
        <v>11</v>
      </c>
      <c r="K1986" s="5">
        <v>413.7</v>
      </c>
      <c r="L1986" s="5">
        <v>126.79</v>
      </c>
      <c r="M1986">
        <v>35</v>
      </c>
      <c r="N1986">
        <v>24</v>
      </c>
      <c r="O1986">
        <v>5</v>
      </c>
      <c r="P1986">
        <v>2</v>
      </c>
      <c r="Q1986">
        <v>23</v>
      </c>
      <c r="R1986">
        <v>1</v>
      </c>
      <c r="S1986">
        <v>2</v>
      </c>
      <c r="T1986">
        <v>0</v>
      </c>
      <c r="U1986">
        <v>1</v>
      </c>
      <c r="V1986">
        <v>0</v>
      </c>
      <c r="W1986" t="s">
        <v>37</v>
      </c>
      <c r="X1986">
        <v>21</v>
      </c>
      <c r="Y1986">
        <v>0</v>
      </c>
      <c r="Z1986">
        <f t="shared" ref="Z1986:Z2051" si="186">MIN(100,ROUND((M1986*1.1+N1986*0.7+O1986*1.2+P1986*1.4+Q1986*0.9+U1986*8+V1986*7),0))</f>
        <v>93</v>
      </c>
      <c r="AA1986">
        <f t="shared" ref="AA1986:AA2051" si="187">IFERROR((M1986+Q1986)/(30+J1986),0)</f>
        <v>1.4146341463414633</v>
      </c>
      <c r="AB1986">
        <f t="shared" ref="AB1986:AB2051" si="188">ROUND(MIN(100,MAX(0,60-Z1986*0.4-R1986*1.5+S1986*8-IF(L1986&gt;1500,10,0)-X1986*0.5+IF(I1986="Completed",-8,8)+IF(H1986="Free",6,-4))),0)</f>
        <v>15</v>
      </c>
      <c r="AC1986" t="str">
        <f t="shared" ref="AC1986:AC2049" si="189">IF(AB1986&gt;=70,"High",IF(AB1986&gt;=40,"Medium","Low"))</f>
        <v>Low</v>
      </c>
      <c r="AD1986" t="str">
        <f t="shared" ref="AD1986:AD2049" si="190">IF(AC1986="High",IF(Q1986&lt;5,"Re-engage with app usage offer",IF(K1986&lt;100,"Deposit incentive","Retention call")),IF(AC1986="Medium","Nudge core feature adoption","Upsell premium bundle"))</f>
        <v>Upsell premium bundle</v>
      </c>
      <c r="AE1986">
        <f t="shared" ref="AE1986:AE2051" si="191">100-Z1986</f>
        <v>7</v>
      </c>
    </row>
    <row r="1987" spans="1:31" x14ac:dyDescent="0.35">
      <c r="A1987" t="s">
        <v>2045</v>
      </c>
      <c r="B1987" s="4">
        <v>45098</v>
      </c>
      <c r="C1987" s="4">
        <v>46143</v>
      </c>
      <c r="D1987" t="s">
        <v>66</v>
      </c>
      <c r="E1987">
        <v>50</v>
      </c>
      <c r="F1987" t="s">
        <v>43</v>
      </c>
      <c r="G1987" t="s">
        <v>34</v>
      </c>
      <c r="H1987" t="s">
        <v>41</v>
      </c>
      <c r="I1987" t="s">
        <v>36</v>
      </c>
      <c r="J1987">
        <v>34</v>
      </c>
      <c r="K1987" s="5">
        <v>180.09</v>
      </c>
      <c r="L1987" s="5">
        <v>105.79</v>
      </c>
      <c r="M1987">
        <v>47</v>
      </c>
      <c r="N1987">
        <v>33</v>
      </c>
      <c r="O1987">
        <v>13</v>
      </c>
      <c r="P1987">
        <v>1</v>
      </c>
      <c r="Q1987">
        <v>23</v>
      </c>
      <c r="R1987">
        <v>4</v>
      </c>
      <c r="S1987">
        <v>2</v>
      </c>
      <c r="T1987">
        <v>1</v>
      </c>
      <c r="U1987">
        <v>0</v>
      </c>
      <c r="V1987">
        <v>0</v>
      </c>
      <c r="W1987" t="s">
        <v>52</v>
      </c>
      <c r="X1987">
        <v>-16</v>
      </c>
      <c r="Y1987">
        <v>0</v>
      </c>
      <c r="Z1987">
        <f t="shared" si="186"/>
        <v>100</v>
      </c>
      <c r="AA1987">
        <f t="shared" si="187"/>
        <v>1.09375</v>
      </c>
      <c r="AB1987">
        <f t="shared" si="188"/>
        <v>36</v>
      </c>
      <c r="AC1987" t="str">
        <f t="shared" si="189"/>
        <v>Low</v>
      </c>
      <c r="AD1987" t="str">
        <f t="shared" si="190"/>
        <v>Upsell premium bundle</v>
      </c>
      <c r="AE1987">
        <f t="shared" si="191"/>
        <v>0</v>
      </c>
    </row>
    <row r="1988" spans="1:31" x14ac:dyDescent="0.35">
      <c r="A1988" t="s">
        <v>2046</v>
      </c>
      <c r="B1988" s="4">
        <v>45081</v>
      </c>
      <c r="C1988" s="4">
        <v>46143</v>
      </c>
      <c r="D1988" t="s">
        <v>72</v>
      </c>
      <c r="E1988">
        <v>27</v>
      </c>
      <c r="F1988" t="s">
        <v>33</v>
      </c>
      <c r="G1988" t="s">
        <v>34</v>
      </c>
      <c r="H1988" t="s">
        <v>41</v>
      </c>
      <c r="I1988" t="s">
        <v>36</v>
      </c>
      <c r="J1988">
        <v>35</v>
      </c>
      <c r="K1988" s="5">
        <v>405.53</v>
      </c>
      <c r="L1988" s="5">
        <v>222.63</v>
      </c>
      <c r="M1988">
        <v>30</v>
      </c>
      <c r="N1988">
        <v>14</v>
      </c>
      <c r="O1988">
        <v>4</v>
      </c>
      <c r="P1988">
        <v>1</v>
      </c>
      <c r="Q1988">
        <v>25</v>
      </c>
      <c r="R1988">
        <v>2</v>
      </c>
      <c r="S1988">
        <v>0</v>
      </c>
      <c r="T1988">
        <v>1</v>
      </c>
      <c r="U1988">
        <v>1</v>
      </c>
      <c r="V1988">
        <v>1</v>
      </c>
      <c r="W1988" t="s">
        <v>55</v>
      </c>
      <c r="X1988">
        <v>50</v>
      </c>
      <c r="Y1988">
        <v>0</v>
      </c>
      <c r="Z1988">
        <f t="shared" si="186"/>
        <v>87</v>
      </c>
      <c r="AA1988">
        <f t="shared" si="187"/>
        <v>0.84615384615384615</v>
      </c>
      <c r="AB1988">
        <f t="shared" si="188"/>
        <v>0</v>
      </c>
      <c r="AC1988" t="str">
        <f t="shared" si="189"/>
        <v>Low</v>
      </c>
      <c r="AD1988" t="str">
        <f t="shared" si="190"/>
        <v>Upsell premium bundle</v>
      </c>
      <c r="AE1988">
        <f t="shared" si="191"/>
        <v>13</v>
      </c>
    </row>
    <row r="1989" spans="1:31" x14ac:dyDescent="0.35">
      <c r="A1989" t="s">
        <v>2047</v>
      </c>
      <c r="B1989" s="4">
        <v>45000</v>
      </c>
      <c r="C1989" s="4">
        <v>46143</v>
      </c>
      <c r="D1989" t="s">
        <v>60</v>
      </c>
      <c r="E1989">
        <v>24</v>
      </c>
      <c r="F1989" t="s">
        <v>33</v>
      </c>
      <c r="G1989" t="s">
        <v>48</v>
      </c>
      <c r="H1989" t="s">
        <v>44</v>
      </c>
      <c r="I1989" t="s">
        <v>36</v>
      </c>
      <c r="J1989">
        <v>38</v>
      </c>
      <c r="K1989" s="5">
        <v>639.58000000000004</v>
      </c>
      <c r="L1989" s="5">
        <v>490.89</v>
      </c>
      <c r="M1989">
        <v>47</v>
      </c>
      <c r="N1989">
        <v>28</v>
      </c>
      <c r="O1989">
        <v>8</v>
      </c>
      <c r="P1989">
        <v>10</v>
      </c>
      <c r="Q1989">
        <v>37</v>
      </c>
      <c r="R1989">
        <v>4</v>
      </c>
      <c r="S1989">
        <v>0</v>
      </c>
      <c r="T1989">
        <v>0</v>
      </c>
      <c r="U1989">
        <v>1</v>
      </c>
      <c r="V1989">
        <v>1</v>
      </c>
      <c r="W1989" t="s">
        <v>55</v>
      </c>
      <c r="X1989">
        <v>42</v>
      </c>
      <c r="Y1989">
        <v>0</v>
      </c>
      <c r="Z1989">
        <f t="shared" si="186"/>
        <v>100</v>
      </c>
      <c r="AA1989">
        <f t="shared" si="187"/>
        <v>1.2352941176470589</v>
      </c>
      <c r="AB1989">
        <f t="shared" si="188"/>
        <v>0</v>
      </c>
      <c r="AC1989" t="str">
        <f t="shared" si="189"/>
        <v>Low</v>
      </c>
      <c r="AD1989" t="str">
        <f t="shared" si="190"/>
        <v>Upsell premium bundle</v>
      </c>
      <c r="AE1989">
        <f t="shared" si="191"/>
        <v>0</v>
      </c>
    </row>
    <row r="1990" spans="1:31" x14ac:dyDescent="0.35">
      <c r="A1990" t="s">
        <v>2048</v>
      </c>
      <c r="B1990" s="4">
        <v>45428</v>
      </c>
      <c r="C1990" s="4">
        <v>46143</v>
      </c>
      <c r="D1990" t="s">
        <v>47</v>
      </c>
      <c r="E1990">
        <v>32</v>
      </c>
      <c r="F1990" t="s">
        <v>43</v>
      </c>
      <c r="G1990" t="s">
        <v>48</v>
      </c>
      <c r="H1990" t="s">
        <v>41</v>
      </c>
      <c r="I1990" t="s">
        <v>49</v>
      </c>
      <c r="J1990">
        <v>23</v>
      </c>
      <c r="K1990" s="5">
        <v>63.21</v>
      </c>
      <c r="L1990" s="5">
        <v>70.41</v>
      </c>
      <c r="M1990">
        <v>39</v>
      </c>
      <c r="N1990">
        <v>27</v>
      </c>
      <c r="O1990">
        <v>8</v>
      </c>
      <c r="P1990">
        <v>4</v>
      </c>
      <c r="Q1990">
        <v>22</v>
      </c>
      <c r="R1990">
        <v>1</v>
      </c>
      <c r="S1990">
        <v>0</v>
      </c>
      <c r="T1990">
        <v>1</v>
      </c>
      <c r="U1990">
        <v>0</v>
      </c>
      <c r="V1990">
        <v>0</v>
      </c>
      <c r="W1990" t="s">
        <v>37</v>
      </c>
      <c r="X1990">
        <v>13</v>
      </c>
      <c r="Y1990">
        <v>0</v>
      </c>
      <c r="Z1990">
        <f t="shared" si="186"/>
        <v>97</v>
      </c>
      <c r="AA1990">
        <f t="shared" si="187"/>
        <v>1.1509433962264151</v>
      </c>
      <c r="AB1990">
        <f t="shared" si="188"/>
        <v>27</v>
      </c>
      <c r="AC1990" t="str">
        <f t="shared" si="189"/>
        <v>Low</v>
      </c>
      <c r="AD1990" t="str">
        <f t="shared" si="190"/>
        <v>Upsell premium bundle</v>
      </c>
      <c r="AE1990">
        <f t="shared" si="191"/>
        <v>3</v>
      </c>
    </row>
    <row r="1991" spans="1:31" x14ac:dyDescent="0.35">
      <c r="A1991" t="s">
        <v>2049</v>
      </c>
      <c r="B1991" s="4">
        <v>45363</v>
      </c>
      <c r="C1991" s="4">
        <v>46143</v>
      </c>
      <c r="D1991" t="s">
        <v>72</v>
      </c>
      <c r="E1991">
        <v>19</v>
      </c>
      <c r="F1991" t="s">
        <v>33</v>
      </c>
      <c r="G1991" t="s">
        <v>85</v>
      </c>
      <c r="H1991" t="s">
        <v>41</v>
      </c>
      <c r="I1991" t="s">
        <v>54</v>
      </c>
      <c r="J1991">
        <v>26</v>
      </c>
      <c r="K1991" s="5">
        <v>0</v>
      </c>
      <c r="L1991" s="5">
        <v>140.41</v>
      </c>
      <c r="M1991">
        <v>16</v>
      </c>
      <c r="N1991">
        <v>6</v>
      </c>
      <c r="O1991">
        <v>1</v>
      </c>
      <c r="P1991">
        <v>0</v>
      </c>
      <c r="Q1991">
        <v>23</v>
      </c>
      <c r="R1991">
        <v>0</v>
      </c>
      <c r="S1991">
        <v>2</v>
      </c>
      <c r="T1991">
        <v>1</v>
      </c>
      <c r="U1991">
        <v>1</v>
      </c>
      <c r="V1991">
        <v>1</v>
      </c>
      <c r="W1991" t="s">
        <v>52</v>
      </c>
      <c r="X1991">
        <v>42</v>
      </c>
      <c r="Y1991">
        <v>1</v>
      </c>
      <c r="Z1991">
        <f t="shared" si="186"/>
        <v>59</v>
      </c>
      <c r="AA1991">
        <f t="shared" si="187"/>
        <v>0.6964285714285714</v>
      </c>
      <c r="AB1991">
        <f t="shared" si="188"/>
        <v>45</v>
      </c>
      <c r="AC1991" t="str">
        <f t="shared" si="189"/>
        <v>Medium</v>
      </c>
      <c r="AD1991" t="str">
        <f t="shared" si="190"/>
        <v>Nudge core feature adoption</v>
      </c>
      <c r="AE1991">
        <f t="shared" si="191"/>
        <v>41</v>
      </c>
    </row>
    <row r="1992" spans="1:31" x14ac:dyDescent="0.35">
      <c r="A1992" t="s">
        <v>2050</v>
      </c>
      <c r="B1992" s="4">
        <v>44708</v>
      </c>
      <c r="C1992" s="4">
        <v>46143</v>
      </c>
      <c r="D1992" t="s">
        <v>60</v>
      </c>
      <c r="E1992">
        <v>37</v>
      </c>
      <c r="F1992" t="s">
        <v>61</v>
      </c>
      <c r="G1992" t="s">
        <v>34</v>
      </c>
      <c r="H1992" t="s">
        <v>41</v>
      </c>
      <c r="I1992" t="s">
        <v>49</v>
      </c>
      <c r="J1992">
        <v>47</v>
      </c>
      <c r="K1992" s="5">
        <v>3546.65</v>
      </c>
      <c r="L1992" s="5">
        <v>845.21</v>
      </c>
      <c r="M1992">
        <v>36</v>
      </c>
      <c r="N1992">
        <v>26</v>
      </c>
      <c r="O1992">
        <v>10</v>
      </c>
      <c r="P1992">
        <v>5</v>
      </c>
      <c r="Q1992">
        <v>22</v>
      </c>
      <c r="R1992">
        <v>3</v>
      </c>
      <c r="S1992">
        <v>2</v>
      </c>
      <c r="T1992">
        <v>1</v>
      </c>
      <c r="U1992">
        <v>1</v>
      </c>
      <c r="V1992">
        <v>1</v>
      </c>
      <c r="W1992" t="s">
        <v>45</v>
      </c>
      <c r="X1992">
        <v>12</v>
      </c>
      <c r="Y1992">
        <v>0</v>
      </c>
      <c r="Z1992">
        <f t="shared" si="186"/>
        <v>100</v>
      </c>
      <c r="AA1992">
        <f t="shared" si="187"/>
        <v>0.75324675324675328</v>
      </c>
      <c r="AB1992">
        <f t="shared" si="188"/>
        <v>40</v>
      </c>
      <c r="AC1992" t="str">
        <f t="shared" si="189"/>
        <v>Medium</v>
      </c>
      <c r="AD1992" t="str">
        <f t="shared" si="190"/>
        <v>Nudge core feature adoption</v>
      </c>
      <c r="AE1992">
        <f t="shared" si="191"/>
        <v>0</v>
      </c>
    </row>
    <row r="1993" spans="1:31" x14ac:dyDescent="0.35">
      <c r="A1993" t="s">
        <v>2051</v>
      </c>
      <c r="B1993" s="4">
        <v>45661</v>
      </c>
      <c r="C1993" s="4">
        <v>46143</v>
      </c>
      <c r="D1993" t="s">
        <v>32</v>
      </c>
      <c r="E1993">
        <v>45</v>
      </c>
      <c r="F1993" t="s">
        <v>43</v>
      </c>
      <c r="G1993" t="s">
        <v>34</v>
      </c>
      <c r="H1993" t="s">
        <v>41</v>
      </c>
      <c r="I1993" t="s">
        <v>36</v>
      </c>
      <c r="J1993">
        <v>16</v>
      </c>
      <c r="K1993" s="5">
        <v>126.97</v>
      </c>
      <c r="L1993" s="5">
        <v>88.33</v>
      </c>
      <c r="M1993">
        <v>21</v>
      </c>
      <c r="N1993">
        <v>10</v>
      </c>
      <c r="O1993">
        <v>1</v>
      </c>
      <c r="P1993">
        <v>4</v>
      </c>
      <c r="Q1993">
        <v>31</v>
      </c>
      <c r="R1993">
        <v>4</v>
      </c>
      <c r="S1993">
        <v>1</v>
      </c>
      <c r="T1993">
        <v>1</v>
      </c>
      <c r="U1993">
        <v>0</v>
      </c>
      <c r="V1993">
        <v>1</v>
      </c>
      <c r="W1993" t="s">
        <v>37</v>
      </c>
      <c r="X1993">
        <v>27</v>
      </c>
      <c r="Y1993">
        <v>1</v>
      </c>
      <c r="Z1993">
        <f t="shared" si="186"/>
        <v>72</v>
      </c>
      <c r="AA1993">
        <f t="shared" si="187"/>
        <v>1.1304347826086956</v>
      </c>
      <c r="AB1993">
        <f t="shared" si="188"/>
        <v>18</v>
      </c>
      <c r="AC1993" t="str">
        <f t="shared" si="189"/>
        <v>Low</v>
      </c>
      <c r="AD1993" t="str">
        <f t="shared" si="190"/>
        <v>Upsell premium bundle</v>
      </c>
      <c r="AE1993">
        <f t="shared" si="191"/>
        <v>28</v>
      </c>
    </row>
    <row r="1994" spans="1:31" x14ac:dyDescent="0.35">
      <c r="A1994" t="s">
        <v>2052</v>
      </c>
      <c r="B1994" s="4">
        <v>45159</v>
      </c>
      <c r="C1994" s="4">
        <v>46143</v>
      </c>
      <c r="D1994" t="s">
        <v>66</v>
      </c>
      <c r="E1994">
        <v>23</v>
      </c>
      <c r="F1994" t="s">
        <v>57</v>
      </c>
      <c r="G1994" t="s">
        <v>40</v>
      </c>
      <c r="H1994" t="s">
        <v>41</v>
      </c>
      <c r="I1994" t="s">
        <v>36</v>
      </c>
      <c r="J1994">
        <v>32</v>
      </c>
      <c r="K1994" s="5">
        <v>0</v>
      </c>
      <c r="L1994" s="5">
        <v>1639.21</v>
      </c>
      <c r="M1994">
        <v>8</v>
      </c>
      <c r="N1994">
        <v>5</v>
      </c>
      <c r="O1994">
        <v>1</v>
      </c>
      <c r="P1994">
        <v>0</v>
      </c>
      <c r="Q1994">
        <v>5</v>
      </c>
      <c r="R1994">
        <v>1</v>
      </c>
      <c r="S1994">
        <v>1</v>
      </c>
      <c r="T1994">
        <v>1</v>
      </c>
      <c r="U1994">
        <v>0</v>
      </c>
      <c r="V1994">
        <v>1</v>
      </c>
      <c r="W1994" t="s">
        <v>37</v>
      </c>
      <c r="X1994">
        <v>-47</v>
      </c>
      <c r="Y1994">
        <v>1</v>
      </c>
      <c r="Z1994">
        <f t="shared" si="186"/>
        <v>25</v>
      </c>
      <c r="AA1994">
        <f t="shared" si="187"/>
        <v>0.20967741935483872</v>
      </c>
      <c r="AB1994">
        <f t="shared" si="188"/>
        <v>68</v>
      </c>
      <c r="AC1994" t="str">
        <f t="shared" si="189"/>
        <v>Medium</v>
      </c>
      <c r="AD1994" t="str">
        <f t="shared" si="190"/>
        <v>Nudge core feature adoption</v>
      </c>
      <c r="AE1994">
        <f t="shared" si="191"/>
        <v>75</v>
      </c>
    </row>
    <row r="1995" spans="1:31" x14ac:dyDescent="0.35">
      <c r="A1995" t="s">
        <v>2053</v>
      </c>
      <c r="B1995" s="4">
        <v>45341</v>
      </c>
      <c r="C1995" s="4">
        <v>46143</v>
      </c>
      <c r="D1995" t="s">
        <v>47</v>
      </c>
      <c r="E1995">
        <v>58</v>
      </c>
      <c r="F1995" t="s">
        <v>57</v>
      </c>
      <c r="G1995" t="s">
        <v>34</v>
      </c>
      <c r="H1995" t="s">
        <v>58</v>
      </c>
      <c r="I1995" t="s">
        <v>49</v>
      </c>
      <c r="J1995">
        <v>26</v>
      </c>
      <c r="K1995" s="5">
        <v>629.41</v>
      </c>
      <c r="L1995" s="5">
        <v>637.96</v>
      </c>
      <c r="M1995">
        <v>29</v>
      </c>
      <c r="N1995">
        <v>11</v>
      </c>
      <c r="O1995">
        <v>1</v>
      </c>
      <c r="P1995">
        <v>3</v>
      </c>
      <c r="Q1995">
        <v>18</v>
      </c>
      <c r="R1995">
        <v>0</v>
      </c>
      <c r="S1995">
        <v>0</v>
      </c>
      <c r="T1995">
        <v>1</v>
      </c>
      <c r="U1995">
        <v>0</v>
      </c>
      <c r="V1995">
        <v>1</v>
      </c>
      <c r="W1995" t="s">
        <v>45</v>
      </c>
      <c r="X1995">
        <v>22</v>
      </c>
      <c r="Y1995">
        <v>0</v>
      </c>
      <c r="Z1995">
        <f t="shared" si="186"/>
        <v>68</v>
      </c>
      <c r="AA1995">
        <f t="shared" si="187"/>
        <v>0.8392857142857143</v>
      </c>
      <c r="AB1995">
        <f t="shared" si="188"/>
        <v>26</v>
      </c>
      <c r="AC1995" t="str">
        <f t="shared" si="189"/>
        <v>Low</v>
      </c>
      <c r="AD1995" t="str">
        <f t="shared" si="190"/>
        <v>Upsell premium bundle</v>
      </c>
      <c r="AE1995">
        <f t="shared" si="191"/>
        <v>32</v>
      </c>
    </row>
    <row r="1996" spans="1:31" x14ac:dyDescent="0.35">
      <c r="A1996" t="s">
        <v>2054</v>
      </c>
      <c r="B1996" s="4">
        <v>45938</v>
      </c>
      <c r="C1996" s="4">
        <v>46143</v>
      </c>
      <c r="D1996" t="s">
        <v>60</v>
      </c>
      <c r="E1996">
        <v>36</v>
      </c>
      <c r="F1996" t="s">
        <v>33</v>
      </c>
      <c r="G1996" t="s">
        <v>63</v>
      </c>
      <c r="H1996" t="s">
        <v>41</v>
      </c>
      <c r="I1996" t="s">
        <v>36</v>
      </c>
      <c r="J1996">
        <v>6</v>
      </c>
      <c r="K1996" s="5">
        <v>311.91000000000003</v>
      </c>
      <c r="L1996" s="5">
        <v>71.209999999999994</v>
      </c>
      <c r="M1996">
        <v>36</v>
      </c>
      <c r="N1996">
        <v>22</v>
      </c>
      <c r="O1996">
        <v>8</v>
      </c>
      <c r="P1996">
        <v>7</v>
      </c>
      <c r="Q1996">
        <v>19</v>
      </c>
      <c r="R1996">
        <v>1</v>
      </c>
      <c r="S1996">
        <v>0</v>
      </c>
      <c r="T1996">
        <v>1</v>
      </c>
      <c r="U1996">
        <v>0</v>
      </c>
      <c r="V1996">
        <v>1</v>
      </c>
      <c r="W1996" t="s">
        <v>37</v>
      </c>
      <c r="X1996">
        <v>75</v>
      </c>
      <c r="Y1996">
        <v>0</v>
      </c>
      <c r="Z1996">
        <f t="shared" si="186"/>
        <v>99</v>
      </c>
      <c r="AA1996">
        <f t="shared" si="187"/>
        <v>1.5277777777777777</v>
      </c>
      <c r="AB1996">
        <f t="shared" si="188"/>
        <v>0</v>
      </c>
      <c r="AC1996" t="str">
        <f t="shared" si="189"/>
        <v>Low</v>
      </c>
      <c r="AD1996" t="str">
        <f t="shared" si="190"/>
        <v>Upsell premium bundle</v>
      </c>
      <c r="AE1996">
        <f t="shared" si="191"/>
        <v>1</v>
      </c>
    </row>
    <row r="1997" spans="1:31" x14ac:dyDescent="0.35">
      <c r="A1997" t="s">
        <v>2055</v>
      </c>
      <c r="B1997" s="4">
        <v>45781</v>
      </c>
      <c r="C1997" s="4">
        <v>46143</v>
      </c>
      <c r="D1997" t="s">
        <v>60</v>
      </c>
      <c r="E1997">
        <v>43</v>
      </c>
      <c r="F1997" t="s">
        <v>33</v>
      </c>
      <c r="G1997" t="s">
        <v>63</v>
      </c>
      <c r="H1997" t="s">
        <v>41</v>
      </c>
      <c r="I1997" t="s">
        <v>36</v>
      </c>
      <c r="J1997">
        <v>12</v>
      </c>
      <c r="K1997" s="5">
        <v>0</v>
      </c>
      <c r="L1997" s="5">
        <v>67.09</v>
      </c>
      <c r="M1997">
        <v>34</v>
      </c>
      <c r="N1997">
        <v>17</v>
      </c>
      <c r="O1997">
        <v>2</v>
      </c>
      <c r="P1997">
        <v>1</v>
      </c>
      <c r="Q1997">
        <v>29</v>
      </c>
      <c r="R1997">
        <v>0</v>
      </c>
      <c r="S1997">
        <v>0</v>
      </c>
      <c r="T1997">
        <v>1</v>
      </c>
      <c r="U1997">
        <v>1</v>
      </c>
      <c r="V1997">
        <v>1</v>
      </c>
      <c r="W1997" t="s">
        <v>50</v>
      </c>
      <c r="X1997">
        <v>4</v>
      </c>
      <c r="Y1997">
        <v>0</v>
      </c>
      <c r="Z1997">
        <f t="shared" si="186"/>
        <v>94</v>
      </c>
      <c r="AA1997">
        <f t="shared" si="187"/>
        <v>1.5</v>
      </c>
      <c r="AB1997">
        <f t="shared" si="188"/>
        <v>18</v>
      </c>
      <c r="AC1997" t="str">
        <f t="shared" si="189"/>
        <v>Low</v>
      </c>
      <c r="AD1997" t="str">
        <f t="shared" si="190"/>
        <v>Upsell premium bundle</v>
      </c>
      <c r="AE1997">
        <f t="shared" si="191"/>
        <v>6</v>
      </c>
    </row>
    <row r="1998" spans="1:31" x14ac:dyDescent="0.35">
      <c r="A1998" t="s">
        <v>2056</v>
      </c>
      <c r="B1998" s="4">
        <v>45717</v>
      </c>
      <c r="C1998" s="4">
        <v>46143</v>
      </c>
      <c r="D1998" t="s">
        <v>60</v>
      </c>
      <c r="E1998">
        <v>71</v>
      </c>
      <c r="F1998" t="s">
        <v>43</v>
      </c>
      <c r="G1998" t="s">
        <v>67</v>
      </c>
      <c r="H1998" t="s">
        <v>41</v>
      </c>
      <c r="I1998" t="s">
        <v>49</v>
      </c>
      <c r="J1998">
        <v>14</v>
      </c>
      <c r="K1998" s="5">
        <v>122.82</v>
      </c>
      <c r="L1998" s="5">
        <v>64.53</v>
      </c>
      <c r="M1998">
        <v>11</v>
      </c>
      <c r="N1998">
        <v>7</v>
      </c>
      <c r="O1998">
        <v>1</v>
      </c>
      <c r="P1998">
        <v>0</v>
      </c>
      <c r="Q1998">
        <v>10</v>
      </c>
      <c r="R1998">
        <v>0</v>
      </c>
      <c r="S1998">
        <v>0</v>
      </c>
      <c r="T1998">
        <v>1</v>
      </c>
      <c r="U1998">
        <v>0</v>
      </c>
      <c r="V1998">
        <v>0</v>
      </c>
      <c r="W1998" t="s">
        <v>52</v>
      </c>
      <c r="X1998">
        <v>49</v>
      </c>
      <c r="Y1998">
        <v>1</v>
      </c>
      <c r="Z1998">
        <f t="shared" si="186"/>
        <v>27</v>
      </c>
      <c r="AA1998">
        <f t="shared" si="187"/>
        <v>0.47727272727272729</v>
      </c>
      <c r="AB1998">
        <f t="shared" si="188"/>
        <v>39</v>
      </c>
      <c r="AC1998" t="str">
        <f t="shared" si="189"/>
        <v>Low</v>
      </c>
      <c r="AD1998" t="str">
        <f t="shared" si="190"/>
        <v>Upsell premium bundle</v>
      </c>
      <c r="AE1998">
        <f t="shared" si="191"/>
        <v>73</v>
      </c>
    </row>
    <row r="1999" spans="1:31" x14ac:dyDescent="0.35">
      <c r="A1999" t="s">
        <v>2057</v>
      </c>
      <c r="B1999" s="4">
        <v>45136</v>
      </c>
      <c r="C1999" s="4">
        <v>46143</v>
      </c>
      <c r="D1999" t="s">
        <v>72</v>
      </c>
      <c r="E1999">
        <v>47</v>
      </c>
      <c r="F1999" t="s">
        <v>43</v>
      </c>
      <c r="G1999" t="s">
        <v>67</v>
      </c>
      <c r="H1999" t="s">
        <v>41</v>
      </c>
      <c r="I1999" t="s">
        <v>36</v>
      </c>
      <c r="J1999">
        <v>33</v>
      </c>
      <c r="K1999" s="5">
        <v>149.22</v>
      </c>
      <c r="L1999" s="5">
        <v>43.94</v>
      </c>
      <c r="M1999">
        <v>20</v>
      </c>
      <c r="N1999">
        <v>10</v>
      </c>
      <c r="O1999">
        <v>5</v>
      </c>
      <c r="P1999">
        <v>0</v>
      </c>
      <c r="Q1999">
        <v>17</v>
      </c>
      <c r="R1999">
        <v>3</v>
      </c>
      <c r="S1999">
        <v>1</v>
      </c>
      <c r="T1999">
        <v>1</v>
      </c>
      <c r="U1999">
        <v>0</v>
      </c>
      <c r="V1999">
        <v>1</v>
      </c>
      <c r="W1999" t="s">
        <v>45</v>
      </c>
      <c r="X1999">
        <v>61</v>
      </c>
      <c r="Y1999">
        <v>1</v>
      </c>
      <c r="Z1999">
        <f t="shared" si="186"/>
        <v>57</v>
      </c>
      <c r="AA1999">
        <f t="shared" si="187"/>
        <v>0.58730158730158732</v>
      </c>
      <c r="AB1999">
        <f t="shared" si="188"/>
        <v>8</v>
      </c>
      <c r="AC1999" t="str">
        <f t="shared" si="189"/>
        <v>Low</v>
      </c>
      <c r="AD1999" t="str">
        <f t="shared" si="190"/>
        <v>Upsell premium bundle</v>
      </c>
      <c r="AE1999">
        <f t="shared" si="191"/>
        <v>43</v>
      </c>
    </row>
    <row r="2000" spans="1:31" x14ac:dyDescent="0.35">
      <c r="A2000" t="s">
        <v>2058</v>
      </c>
      <c r="B2000" s="4">
        <v>44842</v>
      </c>
      <c r="C2000" s="4">
        <v>46143</v>
      </c>
      <c r="D2000" t="s">
        <v>39</v>
      </c>
      <c r="E2000">
        <v>43</v>
      </c>
      <c r="F2000" t="s">
        <v>33</v>
      </c>
      <c r="G2000" t="s">
        <v>48</v>
      </c>
      <c r="H2000" t="s">
        <v>58</v>
      </c>
      <c r="I2000" t="s">
        <v>49</v>
      </c>
      <c r="J2000">
        <v>43</v>
      </c>
      <c r="K2000" s="5">
        <v>459.57</v>
      </c>
      <c r="L2000" s="5">
        <v>206.03</v>
      </c>
      <c r="M2000">
        <v>39</v>
      </c>
      <c r="N2000">
        <v>20</v>
      </c>
      <c r="O2000">
        <v>6</v>
      </c>
      <c r="P2000">
        <v>2</v>
      </c>
      <c r="Q2000">
        <v>27</v>
      </c>
      <c r="R2000">
        <v>1</v>
      </c>
      <c r="S2000">
        <v>1</v>
      </c>
      <c r="T2000">
        <v>0</v>
      </c>
      <c r="U2000">
        <v>0</v>
      </c>
      <c r="V2000">
        <v>1</v>
      </c>
      <c r="W2000" t="s">
        <v>52</v>
      </c>
      <c r="X2000">
        <v>-12</v>
      </c>
      <c r="Y2000">
        <v>0</v>
      </c>
      <c r="Z2000">
        <f t="shared" si="186"/>
        <v>98</v>
      </c>
      <c r="AA2000">
        <f t="shared" si="187"/>
        <v>0.90410958904109584</v>
      </c>
      <c r="AB2000">
        <f t="shared" si="188"/>
        <v>37</v>
      </c>
      <c r="AC2000" t="str">
        <f t="shared" si="189"/>
        <v>Low</v>
      </c>
      <c r="AD2000" t="str">
        <f t="shared" si="190"/>
        <v>Upsell premium bundle</v>
      </c>
      <c r="AE2000">
        <f t="shared" si="191"/>
        <v>2</v>
      </c>
    </row>
    <row r="2001" spans="1:31" x14ac:dyDescent="0.35">
      <c r="A2001" t="s">
        <v>2059</v>
      </c>
      <c r="B2001" s="4">
        <v>45151</v>
      </c>
      <c r="C2001" s="4">
        <v>46143</v>
      </c>
      <c r="D2001" t="s">
        <v>66</v>
      </c>
      <c r="E2001">
        <v>61</v>
      </c>
      <c r="F2001" t="s">
        <v>57</v>
      </c>
      <c r="G2001" t="s">
        <v>85</v>
      </c>
      <c r="H2001" t="s">
        <v>44</v>
      </c>
      <c r="I2001" t="s">
        <v>36</v>
      </c>
      <c r="J2001">
        <v>33</v>
      </c>
      <c r="K2001" s="5">
        <v>2231.44</v>
      </c>
      <c r="L2001" s="5">
        <v>528.95000000000005</v>
      </c>
      <c r="M2001">
        <v>42</v>
      </c>
      <c r="N2001">
        <v>27</v>
      </c>
      <c r="O2001">
        <v>8</v>
      </c>
      <c r="P2001">
        <v>5</v>
      </c>
      <c r="Q2001">
        <v>36</v>
      </c>
      <c r="R2001">
        <v>3</v>
      </c>
      <c r="S2001">
        <v>0</v>
      </c>
      <c r="T2001">
        <v>1</v>
      </c>
      <c r="U2001">
        <v>1</v>
      </c>
      <c r="V2001">
        <v>1</v>
      </c>
      <c r="W2001" t="s">
        <v>52</v>
      </c>
      <c r="X2001">
        <v>40</v>
      </c>
      <c r="Y2001">
        <v>0</v>
      </c>
      <c r="Z2001">
        <f t="shared" si="186"/>
        <v>100</v>
      </c>
      <c r="AA2001">
        <f t="shared" si="187"/>
        <v>1.2380952380952381</v>
      </c>
      <c r="AB2001">
        <f t="shared" si="188"/>
        <v>0</v>
      </c>
      <c r="AC2001" t="str">
        <f t="shared" si="189"/>
        <v>Low</v>
      </c>
      <c r="AD2001" t="str">
        <f t="shared" si="190"/>
        <v>Upsell premium bundle</v>
      </c>
      <c r="AE2001">
        <f t="shared" si="191"/>
        <v>0</v>
      </c>
    </row>
    <row r="2002" spans="1:31" x14ac:dyDescent="0.35">
      <c r="A2002" t="s">
        <v>2060</v>
      </c>
      <c r="B2002" s="4">
        <v>45136</v>
      </c>
      <c r="C2002" s="4">
        <v>46143</v>
      </c>
      <c r="D2002" t="s">
        <v>72</v>
      </c>
      <c r="E2002">
        <v>21</v>
      </c>
      <c r="F2002" t="s">
        <v>33</v>
      </c>
      <c r="G2002" t="s">
        <v>85</v>
      </c>
      <c r="H2002" t="s">
        <v>58</v>
      </c>
      <c r="I2002" t="s">
        <v>36</v>
      </c>
      <c r="J2002">
        <v>33</v>
      </c>
      <c r="K2002" s="5">
        <v>457.66</v>
      </c>
      <c r="L2002" s="5">
        <v>203.94</v>
      </c>
      <c r="M2002">
        <v>29</v>
      </c>
      <c r="N2002">
        <v>15</v>
      </c>
      <c r="O2002">
        <v>4</v>
      </c>
      <c r="P2002">
        <v>0</v>
      </c>
      <c r="Q2002">
        <v>27</v>
      </c>
      <c r="R2002">
        <v>2</v>
      </c>
      <c r="S2002">
        <v>0</v>
      </c>
      <c r="T2002">
        <v>1</v>
      </c>
      <c r="U2002">
        <v>0</v>
      </c>
      <c r="V2002">
        <v>0</v>
      </c>
      <c r="W2002" t="s">
        <v>50</v>
      </c>
      <c r="X2002">
        <v>77</v>
      </c>
      <c r="Y2002">
        <v>0</v>
      </c>
      <c r="Z2002">
        <f t="shared" si="186"/>
        <v>72</v>
      </c>
      <c r="AA2002">
        <f t="shared" si="187"/>
        <v>0.88888888888888884</v>
      </c>
      <c r="AB2002">
        <f t="shared" si="188"/>
        <v>0</v>
      </c>
      <c r="AC2002" t="str">
        <f t="shared" si="189"/>
        <v>Low</v>
      </c>
      <c r="AD2002" t="str">
        <f t="shared" si="190"/>
        <v>Upsell premium bundle</v>
      </c>
      <c r="AE2002">
        <f t="shared" si="191"/>
        <v>28</v>
      </c>
    </row>
    <row r="2003" spans="1:31" x14ac:dyDescent="0.35">
      <c r="A2003" t="s">
        <v>2061</v>
      </c>
      <c r="B2003" s="4">
        <v>45806</v>
      </c>
      <c r="C2003" s="4">
        <v>46143</v>
      </c>
      <c r="D2003" t="s">
        <v>47</v>
      </c>
      <c r="E2003">
        <v>23</v>
      </c>
      <c r="F2003" t="s">
        <v>57</v>
      </c>
      <c r="G2003" t="s">
        <v>67</v>
      </c>
      <c r="H2003" t="s">
        <v>44</v>
      </c>
      <c r="I2003" t="s">
        <v>36</v>
      </c>
      <c r="J2003">
        <v>11</v>
      </c>
      <c r="K2003" s="5">
        <v>485</v>
      </c>
      <c r="L2003" s="5">
        <v>365.51</v>
      </c>
      <c r="M2003">
        <v>27</v>
      </c>
      <c r="N2003">
        <v>7</v>
      </c>
      <c r="O2003">
        <v>6</v>
      </c>
      <c r="P2003">
        <v>0</v>
      </c>
      <c r="Q2003">
        <v>27</v>
      </c>
      <c r="R2003">
        <v>2</v>
      </c>
      <c r="S2003">
        <v>2</v>
      </c>
      <c r="T2003">
        <v>0</v>
      </c>
      <c r="U2003">
        <v>0</v>
      </c>
      <c r="V2003">
        <v>1</v>
      </c>
      <c r="W2003" t="s">
        <v>45</v>
      </c>
      <c r="X2003">
        <v>17</v>
      </c>
      <c r="Y2003">
        <v>1</v>
      </c>
      <c r="Z2003">
        <f t="shared" si="186"/>
        <v>73</v>
      </c>
      <c r="AA2003">
        <f t="shared" si="187"/>
        <v>1.3170731707317074</v>
      </c>
      <c r="AB2003">
        <f t="shared" si="188"/>
        <v>23</v>
      </c>
      <c r="AC2003" t="str">
        <f t="shared" si="189"/>
        <v>Low</v>
      </c>
      <c r="AD2003" t="str">
        <f t="shared" si="190"/>
        <v>Upsell premium bundle</v>
      </c>
      <c r="AE2003">
        <f t="shared" si="191"/>
        <v>27</v>
      </c>
    </row>
    <row r="2004" spans="1:31" x14ac:dyDescent="0.35">
      <c r="A2004" t="s">
        <v>2062</v>
      </c>
      <c r="B2004" s="4">
        <v>45209</v>
      </c>
      <c r="C2004" s="4">
        <v>46143</v>
      </c>
      <c r="D2004" t="s">
        <v>47</v>
      </c>
      <c r="E2004">
        <v>20</v>
      </c>
      <c r="F2004" t="s">
        <v>43</v>
      </c>
      <c r="G2004" t="s">
        <v>40</v>
      </c>
      <c r="H2004" t="s">
        <v>44</v>
      </c>
      <c r="I2004" t="s">
        <v>49</v>
      </c>
      <c r="J2004">
        <v>31</v>
      </c>
      <c r="K2004" s="5">
        <v>184.46</v>
      </c>
      <c r="L2004" s="5">
        <v>66</v>
      </c>
      <c r="M2004">
        <v>41</v>
      </c>
      <c r="N2004">
        <v>15</v>
      </c>
      <c r="O2004">
        <v>10</v>
      </c>
      <c r="P2004">
        <v>3</v>
      </c>
      <c r="Q2004">
        <v>21</v>
      </c>
      <c r="R2004">
        <v>3</v>
      </c>
      <c r="S2004">
        <v>2</v>
      </c>
      <c r="T2004">
        <v>1</v>
      </c>
      <c r="U2004">
        <v>1</v>
      </c>
      <c r="V2004">
        <v>1</v>
      </c>
      <c r="W2004" t="s">
        <v>52</v>
      </c>
      <c r="X2004">
        <v>-40</v>
      </c>
      <c r="Y2004">
        <v>1</v>
      </c>
      <c r="Z2004">
        <f t="shared" si="186"/>
        <v>100</v>
      </c>
      <c r="AA2004">
        <f t="shared" si="187"/>
        <v>1.0163934426229508</v>
      </c>
      <c r="AB2004">
        <f t="shared" si="188"/>
        <v>56</v>
      </c>
      <c r="AC2004" t="str">
        <f t="shared" si="189"/>
        <v>Medium</v>
      </c>
      <c r="AD2004" t="str">
        <f t="shared" si="190"/>
        <v>Nudge core feature adoption</v>
      </c>
      <c r="AE2004">
        <f t="shared" si="191"/>
        <v>0</v>
      </c>
    </row>
    <row r="2005" spans="1:31" x14ac:dyDescent="0.35">
      <c r="A2005" t="s">
        <v>2063</v>
      </c>
      <c r="B2005" s="4">
        <v>45267</v>
      </c>
      <c r="C2005" s="4">
        <v>46143</v>
      </c>
      <c r="D2005" t="s">
        <v>47</v>
      </c>
      <c r="E2005">
        <v>28</v>
      </c>
      <c r="F2005" t="s">
        <v>43</v>
      </c>
      <c r="G2005" t="s">
        <v>63</v>
      </c>
      <c r="H2005" t="s">
        <v>58</v>
      </c>
      <c r="I2005" t="s">
        <v>36</v>
      </c>
      <c r="J2005">
        <v>29</v>
      </c>
      <c r="K2005" s="5">
        <v>0</v>
      </c>
      <c r="L2005" s="5">
        <v>52.27</v>
      </c>
      <c r="M2005">
        <v>38</v>
      </c>
      <c r="N2005">
        <v>22</v>
      </c>
      <c r="O2005">
        <v>2</v>
      </c>
      <c r="P2005">
        <v>0</v>
      </c>
      <c r="Q2005">
        <v>40</v>
      </c>
      <c r="R2005">
        <v>0</v>
      </c>
      <c r="S2005">
        <v>1</v>
      </c>
      <c r="T2005">
        <v>1</v>
      </c>
      <c r="U2005">
        <v>0</v>
      </c>
      <c r="V2005">
        <v>1</v>
      </c>
      <c r="W2005" t="s">
        <v>37</v>
      </c>
      <c r="X2005">
        <v>80</v>
      </c>
      <c r="Y2005">
        <v>0</v>
      </c>
      <c r="Z2005">
        <f t="shared" si="186"/>
        <v>100</v>
      </c>
      <c r="AA2005">
        <f t="shared" si="187"/>
        <v>1.3220338983050848</v>
      </c>
      <c r="AB2005">
        <f t="shared" si="188"/>
        <v>0</v>
      </c>
      <c r="AC2005" t="str">
        <f t="shared" si="189"/>
        <v>Low</v>
      </c>
      <c r="AD2005" t="str">
        <f t="shared" si="190"/>
        <v>Upsell premium bundle</v>
      </c>
      <c r="AE2005">
        <f t="shared" si="191"/>
        <v>0</v>
      </c>
    </row>
    <row r="2006" spans="1:31" x14ac:dyDescent="0.35">
      <c r="A2006" t="s">
        <v>2064</v>
      </c>
      <c r="B2006" s="4">
        <v>45454</v>
      </c>
      <c r="C2006" s="4">
        <v>46143</v>
      </c>
      <c r="D2006" t="s">
        <v>39</v>
      </c>
      <c r="E2006">
        <v>32</v>
      </c>
      <c r="F2006" t="s">
        <v>43</v>
      </c>
      <c r="G2006" t="s">
        <v>48</v>
      </c>
      <c r="H2006" t="s">
        <v>58</v>
      </c>
      <c r="I2006" t="s">
        <v>36</v>
      </c>
      <c r="J2006">
        <v>22</v>
      </c>
      <c r="K2006" s="5">
        <v>0</v>
      </c>
      <c r="L2006" s="5">
        <v>86.42</v>
      </c>
      <c r="M2006">
        <v>27</v>
      </c>
      <c r="N2006">
        <v>9</v>
      </c>
      <c r="O2006">
        <v>2</v>
      </c>
      <c r="P2006">
        <v>1</v>
      </c>
      <c r="Q2006">
        <v>20</v>
      </c>
      <c r="R2006">
        <v>2</v>
      </c>
      <c r="S2006">
        <v>1</v>
      </c>
      <c r="T2006">
        <v>0</v>
      </c>
      <c r="U2006">
        <v>0</v>
      </c>
      <c r="V2006">
        <v>1</v>
      </c>
      <c r="W2006" t="s">
        <v>55</v>
      </c>
      <c r="X2006">
        <v>0</v>
      </c>
      <c r="Y2006">
        <v>0</v>
      </c>
      <c r="Z2006">
        <f t="shared" si="186"/>
        <v>65</v>
      </c>
      <c r="AA2006">
        <f t="shared" si="187"/>
        <v>0.90384615384615385</v>
      </c>
      <c r="AB2006">
        <f t="shared" si="188"/>
        <v>27</v>
      </c>
      <c r="AC2006" t="str">
        <f t="shared" si="189"/>
        <v>Low</v>
      </c>
      <c r="AD2006" t="str">
        <f t="shared" si="190"/>
        <v>Upsell premium bundle</v>
      </c>
      <c r="AE2006">
        <f t="shared" si="191"/>
        <v>35</v>
      </c>
    </row>
    <row r="2007" spans="1:31" x14ac:dyDescent="0.35">
      <c r="A2007" t="s">
        <v>2065</v>
      </c>
      <c r="B2007" s="4">
        <v>45180</v>
      </c>
      <c r="C2007" s="4">
        <v>46143</v>
      </c>
      <c r="D2007" t="s">
        <v>47</v>
      </c>
      <c r="E2007">
        <v>43</v>
      </c>
      <c r="F2007" t="s">
        <v>57</v>
      </c>
      <c r="G2007" t="s">
        <v>63</v>
      </c>
      <c r="H2007" t="s">
        <v>35</v>
      </c>
      <c r="I2007" t="s">
        <v>36</v>
      </c>
      <c r="J2007">
        <v>32</v>
      </c>
      <c r="K2007" s="5">
        <v>1479.57</v>
      </c>
      <c r="L2007" s="5">
        <v>597.79999999999995</v>
      </c>
      <c r="M2007">
        <v>30</v>
      </c>
      <c r="N2007">
        <v>14</v>
      </c>
      <c r="O2007">
        <v>4</v>
      </c>
      <c r="P2007">
        <v>4</v>
      </c>
      <c r="Q2007">
        <v>13</v>
      </c>
      <c r="R2007">
        <v>2</v>
      </c>
      <c r="S2007">
        <v>0</v>
      </c>
      <c r="T2007">
        <v>0</v>
      </c>
      <c r="U2007">
        <v>0</v>
      </c>
      <c r="V2007">
        <v>1</v>
      </c>
      <c r="W2007" t="s">
        <v>50</v>
      </c>
      <c r="X2007">
        <v>37</v>
      </c>
      <c r="Y2007">
        <v>0</v>
      </c>
      <c r="Z2007">
        <f t="shared" si="186"/>
        <v>72</v>
      </c>
      <c r="AA2007">
        <f t="shared" si="187"/>
        <v>0.69354838709677424</v>
      </c>
      <c r="AB2007">
        <f t="shared" si="188"/>
        <v>0</v>
      </c>
      <c r="AC2007" t="str">
        <f t="shared" si="189"/>
        <v>Low</v>
      </c>
      <c r="AD2007" t="str">
        <f t="shared" si="190"/>
        <v>Upsell premium bundle</v>
      </c>
      <c r="AE2007">
        <f t="shared" si="191"/>
        <v>28</v>
      </c>
    </row>
    <row r="2008" spans="1:31" x14ac:dyDescent="0.35">
      <c r="A2008" t="s">
        <v>2066</v>
      </c>
      <c r="B2008" s="4">
        <v>45375</v>
      </c>
      <c r="C2008" s="4">
        <v>46143</v>
      </c>
      <c r="D2008" t="s">
        <v>60</v>
      </c>
      <c r="E2008">
        <v>27</v>
      </c>
      <c r="F2008" t="s">
        <v>77</v>
      </c>
      <c r="G2008" t="s">
        <v>48</v>
      </c>
      <c r="H2008" t="s">
        <v>58</v>
      </c>
      <c r="I2008" t="s">
        <v>36</v>
      </c>
      <c r="J2008">
        <v>25</v>
      </c>
      <c r="K2008" s="5">
        <v>7255.84</v>
      </c>
      <c r="L2008" s="5">
        <v>15.26</v>
      </c>
      <c r="M2008">
        <v>25</v>
      </c>
      <c r="N2008">
        <v>13</v>
      </c>
      <c r="O2008">
        <v>1</v>
      </c>
      <c r="P2008">
        <v>2</v>
      </c>
      <c r="Q2008">
        <v>26</v>
      </c>
      <c r="R2008">
        <v>1</v>
      </c>
      <c r="S2008">
        <v>0</v>
      </c>
      <c r="T2008">
        <v>1</v>
      </c>
      <c r="U2008">
        <v>0</v>
      </c>
      <c r="V2008">
        <v>1</v>
      </c>
      <c r="W2008" t="s">
        <v>37</v>
      </c>
      <c r="X2008">
        <v>34</v>
      </c>
      <c r="Y2008">
        <v>0</v>
      </c>
      <c r="Z2008">
        <f t="shared" si="186"/>
        <v>71</v>
      </c>
      <c r="AA2008">
        <f t="shared" si="187"/>
        <v>0.92727272727272725</v>
      </c>
      <c r="AB2008">
        <f t="shared" si="188"/>
        <v>1</v>
      </c>
      <c r="AC2008" t="str">
        <f t="shared" si="189"/>
        <v>Low</v>
      </c>
      <c r="AD2008" t="str">
        <f t="shared" si="190"/>
        <v>Upsell premium bundle</v>
      </c>
      <c r="AE2008">
        <f t="shared" si="191"/>
        <v>29</v>
      </c>
    </row>
    <row r="2009" spans="1:31" x14ac:dyDescent="0.35">
      <c r="A2009" t="s">
        <v>2067</v>
      </c>
      <c r="B2009" s="4">
        <v>44708</v>
      </c>
      <c r="C2009" s="4">
        <v>46143</v>
      </c>
      <c r="D2009" t="s">
        <v>32</v>
      </c>
      <c r="E2009">
        <v>45</v>
      </c>
      <c r="F2009" t="s">
        <v>61</v>
      </c>
      <c r="G2009" t="s">
        <v>63</v>
      </c>
      <c r="H2009" t="s">
        <v>41</v>
      </c>
      <c r="I2009" t="s">
        <v>36</v>
      </c>
      <c r="J2009">
        <v>47</v>
      </c>
      <c r="K2009" s="5">
        <v>4153</v>
      </c>
      <c r="L2009" s="5">
        <v>2395.4299999999998</v>
      </c>
      <c r="M2009">
        <v>26</v>
      </c>
      <c r="N2009">
        <v>11</v>
      </c>
      <c r="O2009">
        <v>5</v>
      </c>
      <c r="P2009">
        <v>5</v>
      </c>
      <c r="Q2009">
        <v>11</v>
      </c>
      <c r="R2009">
        <v>2</v>
      </c>
      <c r="S2009">
        <v>0</v>
      </c>
      <c r="T2009">
        <v>1</v>
      </c>
      <c r="U2009">
        <v>1</v>
      </c>
      <c r="V2009">
        <v>1</v>
      </c>
      <c r="W2009" t="s">
        <v>37</v>
      </c>
      <c r="X2009">
        <v>100</v>
      </c>
      <c r="Y2009">
        <v>0</v>
      </c>
      <c r="Z2009">
        <f t="shared" si="186"/>
        <v>74</v>
      </c>
      <c r="AA2009">
        <f t="shared" si="187"/>
        <v>0.48051948051948051</v>
      </c>
      <c r="AB2009">
        <f t="shared" si="188"/>
        <v>0</v>
      </c>
      <c r="AC2009" t="str">
        <f t="shared" si="189"/>
        <v>Low</v>
      </c>
      <c r="AD2009" t="str">
        <f t="shared" si="190"/>
        <v>Upsell premium bundle</v>
      </c>
      <c r="AE2009">
        <f t="shared" si="191"/>
        <v>26</v>
      </c>
    </row>
    <row r="2010" spans="1:31" x14ac:dyDescent="0.35">
      <c r="A2010" t="s">
        <v>2068</v>
      </c>
      <c r="B2010" s="4">
        <v>45632</v>
      </c>
      <c r="C2010" s="4">
        <v>46143</v>
      </c>
      <c r="D2010" t="s">
        <v>66</v>
      </c>
      <c r="E2010">
        <v>20</v>
      </c>
      <c r="F2010" t="s">
        <v>57</v>
      </c>
      <c r="G2010" t="s">
        <v>85</v>
      </c>
      <c r="H2010" t="s">
        <v>58</v>
      </c>
      <c r="I2010" t="s">
        <v>36</v>
      </c>
      <c r="J2010">
        <v>17</v>
      </c>
      <c r="K2010" s="5">
        <v>0</v>
      </c>
      <c r="L2010" s="5">
        <v>897.27</v>
      </c>
      <c r="M2010">
        <v>12</v>
      </c>
      <c r="N2010">
        <v>7</v>
      </c>
      <c r="O2010">
        <v>0</v>
      </c>
      <c r="P2010">
        <v>1</v>
      </c>
      <c r="Q2010">
        <v>18</v>
      </c>
      <c r="R2010">
        <v>0</v>
      </c>
      <c r="S2010">
        <v>0</v>
      </c>
      <c r="T2010">
        <v>0</v>
      </c>
      <c r="U2010">
        <v>0</v>
      </c>
      <c r="V2010">
        <v>0</v>
      </c>
      <c r="W2010" t="s">
        <v>37</v>
      </c>
      <c r="X2010">
        <v>15</v>
      </c>
      <c r="Y2010">
        <v>0</v>
      </c>
      <c r="Z2010">
        <f t="shared" si="186"/>
        <v>36</v>
      </c>
      <c r="AA2010">
        <f t="shared" si="187"/>
        <v>0.63829787234042556</v>
      </c>
      <c r="AB2010">
        <f t="shared" si="188"/>
        <v>26</v>
      </c>
      <c r="AC2010" t="str">
        <f t="shared" si="189"/>
        <v>Low</v>
      </c>
      <c r="AD2010" t="str">
        <f t="shared" si="190"/>
        <v>Upsell premium bundle</v>
      </c>
      <c r="AE2010">
        <f t="shared" si="191"/>
        <v>64</v>
      </c>
    </row>
    <row r="2011" spans="1:31" x14ac:dyDescent="0.35">
      <c r="A2011" t="s">
        <v>2069</v>
      </c>
      <c r="B2011" s="4">
        <v>45133</v>
      </c>
      <c r="C2011" s="4">
        <v>46143</v>
      </c>
      <c r="D2011" t="s">
        <v>47</v>
      </c>
      <c r="E2011">
        <v>63</v>
      </c>
      <c r="F2011" t="s">
        <v>57</v>
      </c>
      <c r="G2011" t="s">
        <v>67</v>
      </c>
      <c r="H2011" t="s">
        <v>41</v>
      </c>
      <c r="I2011" t="s">
        <v>36</v>
      </c>
      <c r="J2011">
        <v>33</v>
      </c>
      <c r="K2011" s="5">
        <v>1205.5899999999999</v>
      </c>
      <c r="L2011" s="5">
        <v>1572.84</v>
      </c>
      <c r="M2011">
        <v>13</v>
      </c>
      <c r="N2011">
        <v>7</v>
      </c>
      <c r="O2011">
        <v>2</v>
      </c>
      <c r="P2011">
        <v>0</v>
      </c>
      <c r="Q2011">
        <v>17</v>
      </c>
      <c r="R2011">
        <v>0</v>
      </c>
      <c r="S2011">
        <v>0</v>
      </c>
      <c r="T2011">
        <v>0</v>
      </c>
      <c r="U2011">
        <v>0</v>
      </c>
      <c r="V2011">
        <v>0</v>
      </c>
      <c r="W2011" t="s">
        <v>52</v>
      </c>
      <c r="X2011">
        <v>30</v>
      </c>
      <c r="Y2011">
        <v>0</v>
      </c>
      <c r="Z2011">
        <f t="shared" si="186"/>
        <v>37</v>
      </c>
      <c r="AA2011">
        <f t="shared" si="187"/>
        <v>0.47619047619047616</v>
      </c>
      <c r="AB2011">
        <f t="shared" si="188"/>
        <v>18</v>
      </c>
      <c r="AC2011" t="str">
        <f t="shared" si="189"/>
        <v>Low</v>
      </c>
      <c r="AD2011" t="str">
        <f t="shared" si="190"/>
        <v>Upsell premium bundle</v>
      </c>
      <c r="AE2011">
        <f t="shared" si="191"/>
        <v>63</v>
      </c>
    </row>
    <row r="2012" spans="1:31" x14ac:dyDescent="0.35">
      <c r="A2012" t="s">
        <v>2070</v>
      </c>
      <c r="B2012" s="4">
        <v>45430</v>
      </c>
      <c r="C2012" s="4">
        <v>46143</v>
      </c>
      <c r="D2012" t="s">
        <v>60</v>
      </c>
      <c r="E2012">
        <v>63</v>
      </c>
      <c r="F2012" t="s">
        <v>43</v>
      </c>
      <c r="G2012" t="s">
        <v>85</v>
      </c>
      <c r="H2012" t="s">
        <v>58</v>
      </c>
      <c r="I2012" t="s">
        <v>36</v>
      </c>
      <c r="J2012">
        <v>23</v>
      </c>
      <c r="K2012" s="5">
        <v>114.15</v>
      </c>
      <c r="L2012" s="5">
        <v>63.77</v>
      </c>
      <c r="M2012">
        <v>7</v>
      </c>
      <c r="N2012">
        <v>2</v>
      </c>
      <c r="O2012">
        <v>0</v>
      </c>
      <c r="P2012">
        <v>1</v>
      </c>
      <c r="Q2012">
        <v>6</v>
      </c>
      <c r="R2012">
        <v>1</v>
      </c>
      <c r="S2012">
        <v>0</v>
      </c>
      <c r="T2012">
        <v>0</v>
      </c>
      <c r="U2012">
        <v>0</v>
      </c>
      <c r="V2012">
        <v>0</v>
      </c>
      <c r="W2012" t="s">
        <v>37</v>
      </c>
      <c r="X2012">
        <v>0</v>
      </c>
      <c r="Y2012">
        <v>0</v>
      </c>
      <c r="Z2012">
        <f t="shared" si="186"/>
        <v>16</v>
      </c>
      <c r="AA2012">
        <f t="shared" si="187"/>
        <v>0.24528301886792453</v>
      </c>
      <c r="AB2012">
        <f t="shared" si="188"/>
        <v>40</v>
      </c>
      <c r="AC2012" t="str">
        <f t="shared" si="189"/>
        <v>Medium</v>
      </c>
      <c r="AD2012" t="str">
        <f t="shared" si="190"/>
        <v>Nudge core feature adoption</v>
      </c>
      <c r="AE2012">
        <f t="shared" si="191"/>
        <v>84</v>
      </c>
    </row>
    <row r="2013" spans="1:31" x14ac:dyDescent="0.35">
      <c r="A2013" t="s">
        <v>2071</v>
      </c>
      <c r="B2013" s="4">
        <v>45287</v>
      </c>
      <c r="C2013" s="4">
        <v>46143</v>
      </c>
      <c r="D2013" t="s">
        <v>60</v>
      </c>
      <c r="E2013">
        <v>41</v>
      </c>
      <c r="F2013" t="s">
        <v>77</v>
      </c>
      <c r="G2013" t="s">
        <v>63</v>
      </c>
      <c r="H2013" t="s">
        <v>44</v>
      </c>
      <c r="I2013" t="s">
        <v>36</v>
      </c>
      <c r="J2013">
        <v>28</v>
      </c>
      <c r="K2013" s="5">
        <v>8266.2900000000009</v>
      </c>
      <c r="L2013" s="5">
        <v>2932.69</v>
      </c>
      <c r="M2013">
        <v>37</v>
      </c>
      <c r="N2013">
        <v>12</v>
      </c>
      <c r="O2013">
        <v>10</v>
      </c>
      <c r="P2013">
        <v>2</v>
      </c>
      <c r="Q2013">
        <v>24</v>
      </c>
      <c r="R2013">
        <v>3</v>
      </c>
      <c r="S2013">
        <v>1</v>
      </c>
      <c r="T2013">
        <v>0</v>
      </c>
      <c r="U2013">
        <v>0</v>
      </c>
      <c r="V2013">
        <v>1</v>
      </c>
      <c r="W2013" t="s">
        <v>50</v>
      </c>
      <c r="X2013">
        <v>1</v>
      </c>
      <c r="Y2013">
        <v>0</v>
      </c>
      <c r="Z2013">
        <f t="shared" si="186"/>
        <v>93</v>
      </c>
      <c r="AA2013">
        <f t="shared" si="187"/>
        <v>1.0517241379310345</v>
      </c>
      <c r="AB2013">
        <f t="shared" si="188"/>
        <v>4</v>
      </c>
      <c r="AC2013" t="str">
        <f t="shared" si="189"/>
        <v>Low</v>
      </c>
      <c r="AD2013" t="str">
        <f t="shared" si="190"/>
        <v>Upsell premium bundle</v>
      </c>
      <c r="AE2013">
        <f t="shared" si="191"/>
        <v>7</v>
      </c>
    </row>
    <row r="2014" spans="1:31" x14ac:dyDescent="0.35">
      <c r="A2014" t="s">
        <v>2072</v>
      </c>
      <c r="B2014" s="4">
        <v>44979</v>
      </c>
      <c r="C2014" s="4">
        <v>46143</v>
      </c>
      <c r="D2014" t="s">
        <v>32</v>
      </c>
      <c r="E2014">
        <v>20</v>
      </c>
      <c r="F2014" t="s">
        <v>57</v>
      </c>
      <c r="G2014" t="s">
        <v>63</v>
      </c>
      <c r="H2014" t="s">
        <v>41</v>
      </c>
      <c r="I2014" t="s">
        <v>54</v>
      </c>
      <c r="J2014">
        <v>38</v>
      </c>
      <c r="K2014" s="5">
        <v>1282.43</v>
      </c>
      <c r="L2014" s="5">
        <v>71.23</v>
      </c>
      <c r="M2014">
        <v>22</v>
      </c>
      <c r="N2014">
        <v>7</v>
      </c>
      <c r="O2014">
        <v>4</v>
      </c>
      <c r="P2014">
        <v>1</v>
      </c>
      <c r="Q2014">
        <v>13</v>
      </c>
      <c r="R2014">
        <v>0</v>
      </c>
      <c r="S2014">
        <v>2</v>
      </c>
      <c r="T2014">
        <v>1</v>
      </c>
      <c r="U2014">
        <v>0</v>
      </c>
      <c r="V2014">
        <v>0</v>
      </c>
      <c r="W2014" t="s">
        <v>50</v>
      </c>
      <c r="X2014">
        <v>13</v>
      </c>
      <c r="Y2014">
        <v>1</v>
      </c>
      <c r="Z2014">
        <f t="shared" si="186"/>
        <v>47</v>
      </c>
      <c r="AA2014">
        <f t="shared" si="187"/>
        <v>0.51470588235294112</v>
      </c>
      <c r="AB2014">
        <f t="shared" si="188"/>
        <v>65</v>
      </c>
      <c r="AC2014" t="str">
        <f t="shared" si="189"/>
        <v>Medium</v>
      </c>
      <c r="AD2014" t="str">
        <f t="shared" si="190"/>
        <v>Nudge core feature adoption</v>
      </c>
      <c r="AE2014">
        <f t="shared" si="191"/>
        <v>53</v>
      </c>
    </row>
    <row r="2015" spans="1:31" x14ac:dyDescent="0.35">
      <c r="A2015" t="s">
        <v>2073</v>
      </c>
      <c r="B2015" s="4">
        <v>45245</v>
      </c>
      <c r="C2015" s="4">
        <v>46143</v>
      </c>
      <c r="D2015" t="s">
        <v>60</v>
      </c>
      <c r="E2015">
        <v>72</v>
      </c>
      <c r="F2015" t="s">
        <v>57</v>
      </c>
      <c r="G2015" t="s">
        <v>40</v>
      </c>
      <c r="H2015" t="s">
        <v>41</v>
      </c>
      <c r="I2015" t="s">
        <v>36</v>
      </c>
      <c r="J2015">
        <v>29</v>
      </c>
      <c r="K2015" s="5">
        <v>947.39</v>
      </c>
      <c r="L2015" s="5">
        <v>1054.29</v>
      </c>
      <c r="M2015">
        <v>31</v>
      </c>
      <c r="N2015">
        <v>10</v>
      </c>
      <c r="O2015">
        <v>2</v>
      </c>
      <c r="P2015">
        <v>1</v>
      </c>
      <c r="Q2015">
        <v>24</v>
      </c>
      <c r="R2015">
        <v>1</v>
      </c>
      <c r="S2015">
        <v>0</v>
      </c>
      <c r="T2015">
        <v>1</v>
      </c>
      <c r="U2015">
        <v>0</v>
      </c>
      <c r="V2015">
        <v>0</v>
      </c>
      <c r="W2015" t="s">
        <v>50</v>
      </c>
      <c r="X2015">
        <v>20</v>
      </c>
      <c r="Y2015">
        <v>0</v>
      </c>
      <c r="Z2015">
        <f t="shared" si="186"/>
        <v>67</v>
      </c>
      <c r="AA2015">
        <f t="shared" si="187"/>
        <v>0.93220338983050843</v>
      </c>
      <c r="AB2015">
        <f t="shared" si="188"/>
        <v>20</v>
      </c>
      <c r="AC2015" t="str">
        <f t="shared" si="189"/>
        <v>Low</v>
      </c>
      <c r="AD2015" t="str">
        <f t="shared" si="190"/>
        <v>Upsell premium bundle</v>
      </c>
      <c r="AE2015">
        <f t="shared" si="191"/>
        <v>33</v>
      </c>
    </row>
    <row r="2016" spans="1:31" x14ac:dyDescent="0.35">
      <c r="A2016" t="s">
        <v>2074</v>
      </c>
      <c r="B2016" s="4">
        <v>45603</v>
      </c>
      <c r="C2016" s="4">
        <v>46143</v>
      </c>
      <c r="D2016" t="s">
        <v>47</v>
      </c>
      <c r="E2016">
        <v>71</v>
      </c>
      <c r="F2016" t="s">
        <v>33</v>
      </c>
      <c r="G2016" t="s">
        <v>85</v>
      </c>
      <c r="H2016" t="s">
        <v>41</v>
      </c>
      <c r="I2016" t="s">
        <v>36</v>
      </c>
      <c r="J2016">
        <v>18</v>
      </c>
      <c r="K2016" s="5">
        <v>1.56</v>
      </c>
      <c r="L2016" s="5">
        <v>340.35</v>
      </c>
      <c r="M2016">
        <v>33</v>
      </c>
      <c r="N2016">
        <v>9</v>
      </c>
      <c r="O2016">
        <v>4</v>
      </c>
      <c r="P2016">
        <v>7</v>
      </c>
      <c r="Q2016">
        <v>21</v>
      </c>
      <c r="R2016">
        <v>2</v>
      </c>
      <c r="S2016">
        <v>0</v>
      </c>
      <c r="T2016">
        <v>1</v>
      </c>
      <c r="U2016">
        <v>0</v>
      </c>
      <c r="V2016">
        <v>1</v>
      </c>
      <c r="W2016" t="s">
        <v>52</v>
      </c>
      <c r="X2016">
        <v>6</v>
      </c>
      <c r="Y2016">
        <v>0</v>
      </c>
      <c r="Z2016">
        <f t="shared" si="186"/>
        <v>83</v>
      </c>
      <c r="AA2016">
        <f t="shared" si="187"/>
        <v>1.125</v>
      </c>
      <c r="AB2016">
        <f t="shared" si="188"/>
        <v>19</v>
      </c>
      <c r="AC2016" t="str">
        <f t="shared" si="189"/>
        <v>Low</v>
      </c>
      <c r="AD2016" t="str">
        <f t="shared" si="190"/>
        <v>Upsell premium bundle</v>
      </c>
      <c r="AE2016">
        <f t="shared" si="191"/>
        <v>17</v>
      </c>
    </row>
    <row r="2017" spans="1:31" x14ac:dyDescent="0.35">
      <c r="A2017" t="s">
        <v>2075</v>
      </c>
      <c r="B2017" s="4">
        <v>45999</v>
      </c>
      <c r="C2017" s="4">
        <v>46143</v>
      </c>
      <c r="D2017" t="s">
        <v>32</v>
      </c>
      <c r="E2017">
        <v>60</v>
      </c>
      <c r="F2017" t="s">
        <v>43</v>
      </c>
      <c r="G2017" t="s">
        <v>34</v>
      </c>
      <c r="H2017" t="s">
        <v>41</v>
      </c>
      <c r="I2017" t="s">
        <v>36</v>
      </c>
      <c r="J2017">
        <v>4</v>
      </c>
      <c r="K2017" s="5">
        <v>96.19</v>
      </c>
      <c r="L2017" s="5">
        <v>30.77</v>
      </c>
      <c r="M2017">
        <v>10</v>
      </c>
      <c r="N2017">
        <v>2</v>
      </c>
      <c r="O2017">
        <v>2</v>
      </c>
      <c r="P2017">
        <v>1</v>
      </c>
      <c r="Q2017">
        <v>2</v>
      </c>
      <c r="R2017">
        <v>0</v>
      </c>
      <c r="S2017">
        <v>1</v>
      </c>
      <c r="T2017">
        <v>0</v>
      </c>
      <c r="U2017">
        <v>0</v>
      </c>
      <c r="V2017">
        <v>0</v>
      </c>
      <c r="W2017" t="s">
        <v>52</v>
      </c>
      <c r="X2017">
        <v>25</v>
      </c>
      <c r="Y2017">
        <v>1</v>
      </c>
      <c r="Z2017">
        <f t="shared" si="186"/>
        <v>18</v>
      </c>
      <c r="AA2017">
        <f t="shared" si="187"/>
        <v>0.35294117647058826</v>
      </c>
      <c r="AB2017">
        <f t="shared" si="188"/>
        <v>46</v>
      </c>
      <c r="AC2017" t="str">
        <f t="shared" si="189"/>
        <v>Medium</v>
      </c>
      <c r="AD2017" t="str">
        <f t="shared" si="190"/>
        <v>Nudge core feature adoption</v>
      </c>
      <c r="AE2017">
        <f t="shared" si="191"/>
        <v>82</v>
      </c>
    </row>
    <row r="2018" spans="1:31" x14ac:dyDescent="0.35">
      <c r="A2018" t="s">
        <v>2076</v>
      </c>
      <c r="B2018" s="4">
        <v>45158</v>
      </c>
      <c r="C2018" s="4">
        <v>46143</v>
      </c>
      <c r="D2018" t="s">
        <v>32</v>
      </c>
      <c r="E2018">
        <v>50</v>
      </c>
      <c r="F2018" t="s">
        <v>33</v>
      </c>
      <c r="G2018" t="s">
        <v>63</v>
      </c>
      <c r="H2018" t="s">
        <v>41</v>
      </c>
      <c r="I2018" t="s">
        <v>36</v>
      </c>
      <c r="J2018">
        <v>32</v>
      </c>
      <c r="K2018" s="5">
        <v>167.26</v>
      </c>
      <c r="L2018" s="5">
        <v>314.55</v>
      </c>
      <c r="M2018">
        <v>15</v>
      </c>
      <c r="N2018">
        <v>3</v>
      </c>
      <c r="O2018">
        <v>2</v>
      </c>
      <c r="P2018">
        <v>1</v>
      </c>
      <c r="Q2018">
        <v>8</v>
      </c>
      <c r="R2018">
        <v>0</v>
      </c>
      <c r="S2018">
        <v>1</v>
      </c>
      <c r="T2018">
        <v>0</v>
      </c>
      <c r="U2018">
        <v>0</v>
      </c>
      <c r="V2018">
        <v>1</v>
      </c>
      <c r="W2018" t="s">
        <v>55</v>
      </c>
      <c r="X2018">
        <v>33</v>
      </c>
      <c r="Y2018">
        <v>1</v>
      </c>
      <c r="Z2018">
        <f t="shared" si="186"/>
        <v>37</v>
      </c>
      <c r="AA2018">
        <f t="shared" si="187"/>
        <v>0.37096774193548387</v>
      </c>
      <c r="AB2018">
        <f t="shared" si="188"/>
        <v>35</v>
      </c>
      <c r="AC2018" t="str">
        <f t="shared" si="189"/>
        <v>Low</v>
      </c>
      <c r="AD2018" t="str">
        <f t="shared" si="190"/>
        <v>Upsell premium bundle</v>
      </c>
      <c r="AE2018">
        <f t="shared" si="191"/>
        <v>63</v>
      </c>
    </row>
    <row r="2019" spans="1:31" x14ac:dyDescent="0.35">
      <c r="A2019" t="s">
        <v>2077</v>
      </c>
      <c r="B2019" s="4">
        <v>45167</v>
      </c>
      <c r="C2019" s="4">
        <v>46143</v>
      </c>
      <c r="D2019" t="s">
        <v>72</v>
      </c>
      <c r="E2019">
        <v>30</v>
      </c>
      <c r="F2019" t="s">
        <v>33</v>
      </c>
      <c r="G2019" t="s">
        <v>48</v>
      </c>
      <c r="H2019" t="s">
        <v>41</v>
      </c>
      <c r="I2019" t="s">
        <v>36</v>
      </c>
      <c r="J2019">
        <v>32</v>
      </c>
      <c r="K2019" s="5">
        <v>344.18</v>
      </c>
      <c r="L2019" s="5">
        <v>193.96</v>
      </c>
      <c r="M2019">
        <v>26</v>
      </c>
      <c r="N2019">
        <v>8</v>
      </c>
      <c r="O2019">
        <v>1</v>
      </c>
      <c r="P2019">
        <v>4</v>
      </c>
      <c r="Q2019">
        <v>16</v>
      </c>
      <c r="R2019">
        <v>2</v>
      </c>
      <c r="S2019">
        <v>0</v>
      </c>
      <c r="T2019">
        <v>0</v>
      </c>
      <c r="U2019">
        <v>0</v>
      </c>
      <c r="V2019">
        <v>1</v>
      </c>
      <c r="W2019" t="s">
        <v>45</v>
      </c>
      <c r="X2019">
        <v>58</v>
      </c>
      <c r="Y2019">
        <v>0</v>
      </c>
      <c r="Z2019">
        <f t="shared" si="186"/>
        <v>62</v>
      </c>
      <c r="AA2019">
        <f t="shared" si="187"/>
        <v>0.67741935483870963</v>
      </c>
      <c r="AB2019">
        <f t="shared" si="188"/>
        <v>1</v>
      </c>
      <c r="AC2019" t="str">
        <f t="shared" si="189"/>
        <v>Low</v>
      </c>
      <c r="AD2019" t="str">
        <f t="shared" si="190"/>
        <v>Upsell premium bundle</v>
      </c>
      <c r="AE2019">
        <f t="shared" si="191"/>
        <v>38</v>
      </c>
    </row>
    <row r="2020" spans="1:31" x14ac:dyDescent="0.35">
      <c r="A2020" t="s">
        <v>2078</v>
      </c>
      <c r="B2020" s="4">
        <v>44767</v>
      </c>
      <c r="C2020" s="4">
        <v>46143</v>
      </c>
      <c r="D2020" t="s">
        <v>47</v>
      </c>
      <c r="E2020">
        <v>48</v>
      </c>
      <c r="F2020" t="s">
        <v>57</v>
      </c>
      <c r="G2020" t="s">
        <v>85</v>
      </c>
      <c r="H2020" t="s">
        <v>41</v>
      </c>
      <c r="I2020" t="s">
        <v>36</v>
      </c>
      <c r="J2020">
        <v>45</v>
      </c>
      <c r="K2020" s="5">
        <v>1311.25</v>
      </c>
      <c r="L2020" s="5">
        <v>735.15</v>
      </c>
      <c r="M2020">
        <v>20</v>
      </c>
      <c r="N2020">
        <v>11</v>
      </c>
      <c r="O2020">
        <v>1</v>
      </c>
      <c r="P2020">
        <v>0</v>
      </c>
      <c r="Q2020">
        <v>13</v>
      </c>
      <c r="R2020">
        <v>3</v>
      </c>
      <c r="S2020">
        <v>0</v>
      </c>
      <c r="T2020">
        <v>0</v>
      </c>
      <c r="U2020">
        <v>0</v>
      </c>
      <c r="V2020">
        <v>1</v>
      </c>
      <c r="W2020" t="s">
        <v>52</v>
      </c>
      <c r="X2020">
        <v>22</v>
      </c>
      <c r="Y2020">
        <v>0</v>
      </c>
      <c r="Z2020">
        <f t="shared" si="186"/>
        <v>50</v>
      </c>
      <c r="AA2020">
        <f t="shared" si="187"/>
        <v>0.44</v>
      </c>
      <c r="AB2020">
        <f t="shared" si="188"/>
        <v>23</v>
      </c>
      <c r="AC2020" t="str">
        <f t="shared" si="189"/>
        <v>Low</v>
      </c>
      <c r="AD2020" t="str">
        <f t="shared" si="190"/>
        <v>Upsell premium bundle</v>
      </c>
      <c r="AE2020">
        <f t="shared" si="191"/>
        <v>50</v>
      </c>
    </row>
    <row r="2021" spans="1:31" x14ac:dyDescent="0.35">
      <c r="A2021" t="s">
        <v>2079</v>
      </c>
      <c r="B2021" s="4">
        <v>45814</v>
      </c>
      <c r="C2021" s="4">
        <v>46143</v>
      </c>
      <c r="D2021" t="s">
        <v>39</v>
      </c>
      <c r="E2021">
        <v>44</v>
      </c>
      <c r="F2021" t="s">
        <v>33</v>
      </c>
      <c r="G2021" t="s">
        <v>34</v>
      </c>
      <c r="H2021" t="s">
        <v>35</v>
      </c>
      <c r="I2021" t="s">
        <v>36</v>
      </c>
      <c r="J2021">
        <v>10</v>
      </c>
      <c r="K2021" s="5">
        <v>0</v>
      </c>
      <c r="L2021" s="5">
        <v>301.93</v>
      </c>
      <c r="M2021">
        <v>18</v>
      </c>
      <c r="N2021">
        <v>12</v>
      </c>
      <c r="O2021">
        <v>4</v>
      </c>
      <c r="P2021">
        <v>1</v>
      </c>
      <c r="Q2021">
        <v>10</v>
      </c>
      <c r="R2021">
        <v>0</v>
      </c>
      <c r="S2021">
        <v>0</v>
      </c>
      <c r="T2021">
        <v>1</v>
      </c>
      <c r="U2021">
        <v>1</v>
      </c>
      <c r="V2021">
        <v>0</v>
      </c>
      <c r="W2021" t="s">
        <v>37</v>
      </c>
      <c r="X2021">
        <v>37</v>
      </c>
      <c r="Y2021">
        <v>0</v>
      </c>
      <c r="Z2021">
        <f t="shared" si="186"/>
        <v>51</v>
      </c>
      <c r="AA2021">
        <f t="shared" si="187"/>
        <v>0.7</v>
      </c>
      <c r="AB2021">
        <f t="shared" si="188"/>
        <v>9</v>
      </c>
      <c r="AC2021" t="str">
        <f t="shared" si="189"/>
        <v>Low</v>
      </c>
      <c r="AD2021" t="str">
        <f t="shared" si="190"/>
        <v>Upsell premium bundle</v>
      </c>
      <c r="AE2021">
        <f t="shared" si="191"/>
        <v>49</v>
      </c>
    </row>
    <row r="2022" spans="1:31" x14ac:dyDescent="0.35">
      <c r="A2022" t="s">
        <v>2080</v>
      </c>
      <c r="B2022" s="4">
        <v>45542</v>
      </c>
      <c r="C2022" s="4">
        <v>46143</v>
      </c>
      <c r="D2022" t="s">
        <v>39</v>
      </c>
      <c r="E2022">
        <v>72</v>
      </c>
      <c r="F2022" t="s">
        <v>57</v>
      </c>
      <c r="G2022" t="s">
        <v>34</v>
      </c>
      <c r="H2022" t="s">
        <v>58</v>
      </c>
      <c r="I2022" t="s">
        <v>36</v>
      </c>
      <c r="J2022">
        <v>20</v>
      </c>
      <c r="K2022" s="5">
        <v>870.49</v>
      </c>
      <c r="L2022" s="5">
        <v>437.25</v>
      </c>
      <c r="M2022">
        <v>7</v>
      </c>
      <c r="N2022">
        <v>4</v>
      </c>
      <c r="O2022">
        <v>0</v>
      </c>
      <c r="P2022">
        <v>1</v>
      </c>
      <c r="Q2022">
        <v>9</v>
      </c>
      <c r="R2022">
        <v>2</v>
      </c>
      <c r="S2022">
        <v>1</v>
      </c>
      <c r="T2022">
        <v>1</v>
      </c>
      <c r="U2022">
        <v>0</v>
      </c>
      <c r="V2022">
        <v>0</v>
      </c>
      <c r="W2022" t="s">
        <v>37</v>
      </c>
      <c r="X2022">
        <v>7</v>
      </c>
      <c r="Y2022">
        <v>1</v>
      </c>
      <c r="Z2022">
        <f t="shared" si="186"/>
        <v>20</v>
      </c>
      <c r="AA2022">
        <f t="shared" si="187"/>
        <v>0.32</v>
      </c>
      <c r="AB2022">
        <f t="shared" si="188"/>
        <v>42</v>
      </c>
      <c r="AC2022" t="str">
        <f t="shared" si="189"/>
        <v>Medium</v>
      </c>
      <c r="AD2022" t="str">
        <f t="shared" si="190"/>
        <v>Nudge core feature adoption</v>
      </c>
      <c r="AE2022">
        <f t="shared" si="191"/>
        <v>80</v>
      </c>
    </row>
    <row r="2023" spans="1:31" x14ac:dyDescent="0.35">
      <c r="A2023" t="s">
        <v>2081</v>
      </c>
      <c r="B2023" s="4">
        <v>45239</v>
      </c>
      <c r="C2023" s="4">
        <v>46143</v>
      </c>
      <c r="D2023" t="s">
        <v>39</v>
      </c>
      <c r="E2023">
        <v>29</v>
      </c>
      <c r="F2023" t="s">
        <v>77</v>
      </c>
      <c r="G2023" t="s">
        <v>40</v>
      </c>
      <c r="H2023" t="s">
        <v>41</v>
      </c>
      <c r="I2023" t="s">
        <v>36</v>
      </c>
      <c r="J2023">
        <v>30</v>
      </c>
      <c r="K2023" s="5">
        <v>797.3</v>
      </c>
      <c r="L2023" s="5">
        <v>14030.35</v>
      </c>
      <c r="M2023">
        <v>41</v>
      </c>
      <c r="N2023">
        <v>23</v>
      </c>
      <c r="O2023">
        <v>9</v>
      </c>
      <c r="P2023">
        <v>8</v>
      </c>
      <c r="Q2023">
        <v>23</v>
      </c>
      <c r="R2023">
        <v>0</v>
      </c>
      <c r="S2023">
        <v>1</v>
      </c>
      <c r="T2023">
        <v>0</v>
      </c>
      <c r="U2023">
        <v>0</v>
      </c>
      <c r="V2023">
        <v>0</v>
      </c>
      <c r="W2023" t="s">
        <v>55</v>
      </c>
      <c r="X2023">
        <v>-28</v>
      </c>
      <c r="Y2023">
        <v>0</v>
      </c>
      <c r="Z2023">
        <f t="shared" si="186"/>
        <v>100</v>
      </c>
      <c r="AA2023">
        <f t="shared" si="187"/>
        <v>1.0666666666666667</v>
      </c>
      <c r="AB2023">
        <f t="shared" si="188"/>
        <v>30</v>
      </c>
      <c r="AC2023" t="str">
        <f t="shared" si="189"/>
        <v>Low</v>
      </c>
      <c r="AD2023" t="str">
        <f t="shared" si="190"/>
        <v>Upsell premium bundle</v>
      </c>
      <c r="AE2023">
        <f t="shared" si="191"/>
        <v>0</v>
      </c>
    </row>
    <row r="2024" spans="1:31" x14ac:dyDescent="0.35">
      <c r="A2024" t="s">
        <v>2082</v>
      </c>
      <c r="B2024" s="4">
        <v>46022</v>
      </c>
      <c r="C2024" s="4">
        <v>46143</v>
      </c>
      <c r="D2024" t="s">
        <v>39</v>
      </c>
      <c r="E2024">
        <v>53</v>
      </c>
      <c r="F2024" t="s">
        <v>43</v>
      </c>
      <c r="G2024" t="s">
        <v>63</v>
      </c>
      <c r="H2024" t="s">
        <v>58</v>
      </c>
      <c r="I2024" t="s">
        <v>36</v>
      </c>
      <c r="J2024">
        <v>4</v>
      </c>
      <c r="K2024" s="5">
        <v>116.55</v>
      </c>
      <c r="L2024" s="5">
        <v>51.14</v>
      </c>
      <c r="M2024">
        <v>27</v>
      </c>
      <c r="N2024">
        <v>9</v>
      </c>
      <c r="O2024">
        <v>6</v>
      </c>
      <c r="P2024">
        <v>5</v>
      </c>
      <c r="Q2024">
        <v>31</v>
      </c>
      <c r="R2024">
        <v>4</v>
      </c>
      <c r="S2024">
        <v>0</v>
      </c>
      <c r="T2024">
        <v>0</v>
      </c>
      <c r="U2024">
        <v>0</v>
      </c>
      <c r="V2024">
        <v>0</v>
      </c>
      <c r="W2024" t="s">
        <v>45</v>
      </c>
      <c r="X2024">
        <v>31</v>
      </c>
      <c r="Y2024">
        <v>0</v>
      </c>
      <c r="Z2024">
        <f t="shared" si="186"/>
        <v>78</v>
      </c>
      <c r="AA2024">
        <f t="shared" si="187"/>
        <v>1.7058823529411764</v>
      </c>
      <c r="AB2024">
        <f t="shared" si="188"/>
        <v>0</v>
      </c>
      <c r="AC2024" t="str">
        <f t="shared" si="189"/>
        <v>Low</v>
      </c>
      <c r="AD2024" t="str">
        <f t="shared" si="190"/>
        <v>Upsell premium bundle</v>
      </c>
      <c r="AE2024">
        <f t="shared" si="191"/>
        <v>22</v>
      </c>
    </row>
    <row r="2025" spans="1:31" x14ac:dyDescent="0.35">
      <c r="A2025" t="s">
        <v>2083</v>
      </c>
      <c r="B2025" s="4">
        <v>44991</v>
      </c>
      <c r="C2025" s="4">
        <v>46143</v>
      </c>
      <c r="D2025" t="s">
        <v>66</v>
      </c>
      <c r="E2025">
        <v>64</v>
      </c>
      <c r="F2025" t="s">
        <v>77</v>
      </c>
      <c r="G2025" t="s">
        <v>48</v>
      </c>
      <c r="H2025" t="s">
        <v>41</v>
      </c>
      <c r="I2025" t="s">
        <v>36</v>
      </c>
      <c r="J2025">
        <v>38</v>
      </c>
      <c r="K2025" s="5">
        <v>20572.78</v>
      </c>
      <c r="L2025" s="5">
        <v>4926.1400000000003</v>
      </c>
      <c r="M2025">
        <v>29</v>
      </c>
      <c r="N2025">
        <v>12</v>
      </c>
      <c r="O2025">
        <v>7</v>
      </c>
      <c r="P2025">
        <v>4</v>
      </c>
      <c r="Q2025">
        <v>29</v>
      </c>
      <c r="R2025">
        <v>1</v>
      </c>
      <c r="S2025">
        <v>0</v>
      </c>
      <c r="T2025">
        <v>1</v>
      </c>
      <c r="U2025">
        <v>1</v>
      </c>
      <c r="V2025">
        <v>0</v>
      </c>
      <c r="W2025" t="s">
        <v>50</v>
      </c>
      <c r="X2025">
        <v>26</v>
      </c>
      <c r="Y2025">
        <v>0</v>
      </c>
      <c r="Z2025">
        <f t="shared" si="186"/>
        <v>88</v>
      </c>
      <c r="AA2025">
        <f t="shared" si="187"/>
        <v>0.8529411764705882</v>
      </c>
      <c r="AB2025">
        <f t="shared" si="188"/>
        <v>0</v>
      </c>
      <c r="AC2025" t="str">
        <f t="shared" si="189"/>
        <v>Low</v>
      </c>
      <c r="AD2025" t="str">
        <f t="shared" si="190"/>
        <v>Upsell premium bundle</v>
      </c>
      <c r="AE2025">
        <f t="shared" si="191"/>
        <v>12</v>
      </c>
    </row>
    <row r="2026" spans="1:31" x14ac:dyDescent="0.35">
      <c r="A2026" t="s">
        <v>2084</v>
      </c>
      <c r="B2026" s="4">
        <v>45927</v>
      </c>
      <c r="C2026" s="4">
        <v>46143</v>
      </c>
      <c r="D2026" t="s">
        <v>39</v>
      </c>
      <c r="E2026">
        <v>67</v>
      </c>
      <c r="F2026" t="s">
        <v>57</v>
      </c>
      <c r="G2026" t="s">
        <v>34</v>
      </c>
      <c r="H2026" t="s">
        <v>58</v>
      </c>
      <c r="I2026" t="s">
        <v>49</v>
      </c>
      <c r="J2026">
        <v>7</v>
      </c>
      <c r="K2026" s="5">
        <v>890.88</v>
      </c>
      <c r="L2026" s="5">
        <v>641.04999999999995</v>
      </c>
      <c r="M2026">
        <v>25</v>
      </c>
      <c r="N2026">
        <v>14</v>
      </c>
      <c r="O2026">
        <v>4</v>
      </c>
      <c r="P2026">
        <v>2</v>
      </c>
      <c r="Q2026">
        <v>21</v>
      </c>
      <c r="R2026">
        <v>0</v>
      </c>
      <c r="S2026">
        <v>0</v>
      </c>
      <c r="T2026">
        <v>0</v>
      </c>
      <c r="U2026">
        <v>0</v>
      </c>
      <c r="V2026">
        <v>1</v>
      </c>
      <c r="W2026" t="s">
        <v>50</v>
      </c>
      <c r="X2026">
        <v>59</v>
      </c>
      <c r="Y2026">
        <v>1</v>
      </c>
      <c r="Z2026">
        <f t="shared" si="186"/>
        <v>71</v>
      </c>
      <c r="AA2026">
        <f t="shared" si="187"/>
        <v>1.2432432432432432</v>
      </c>
      <c r="AB2026">
        <f t="shared" si="188"/>
        <v>6</v>
      </c>
      <c r="AC2026" t="str">
        <f t="shared" si="189"/>
        <v>Low</v>
      </c>
      <c r="AD2026" t="str">
        <f t="shared" si="190"/>
        <v>Upsell premium bundle</v>
      </c>
      <c r="AE2026">
        <f t="shared" si="191"/>
        <v>29</v>
      </c>
    </row>
    <row r="2027" spans="1:31" x14ac:dyDescent="0.35">
      <c r="A2027" t="s">
        <v>2085</v>
      </c>
      <c r="B2027" s="4">
        <v>44798</v>
      </c>
      <c r="C2027" s="4">
        <v>46143</v>
      </c>
      <c r="D2027" t="s">
        <v>39</v>
      </c>
      <c r="E2027">
        <v>58</v>
      </c>
      <c r="F2027" t="s">
        <v>43</v>
      </c>
      <c r="G2027" t="s">
        <v>40</v>
      </c>
      <c r="H2027" t="s">
        <v>41</v>
      </c>
      <c r="I2027" t="s">
        <v>36</v>
      </c>
      <c r="J2027">
        <v>44</v>
      </c>
      <c r="K2027" s="5">
        <v>103.74</v>
      </c>
      <c r="L2027" s="5">
        <v>61.14</v>
      </c>
      <c r="M2027">
        <v>20</v>
      </c>
      <c r="N2027">
        <v>13</v>
      </c>
      <c r="O2027">
        <v>4</v>
      </c>
      <c r="P2027">
        <v>1</v>
      </c>
      <c r="Q2027">
        <v>11</v>
      </c>
      <c r="R2027">
        <v>0</v>
      </c>
      <c r="S2027">
        <v>0</v>
      </c>
      <c r="T2027">
        <v>1</v>
      </c>
      <c r="U2027">
        <v>0</v>
      </c>
      <c r="V2027">
        <v>1</v>
      </c>
      <c r="W2027" t="s">
        <v>37</v>
      </c>
      <c r="X2027">
        <v>24</v>
      </c>
      <c r="Y2027">
        <v>0</v>
      </c>
      <c r="Z2027">
        <f t="shared" si="186"/>
        <v>54</v>
      </c>
      <c r="AA2027">
        <f t="shared" si="187"/>
        <v>0.41891891891891891</v>
      </c>
      <c r="AB2027">
        <f t="shared" si="188"/>
        <v>24</v>
      </c>
      <c r="AC2027" t="str">
        <f t="shared" si="189"/>
        <v>Low</v>
      </c>
      <c r="AD2027" t="str">
        <f t="shared" si="190"/>
        <v>Upsell premium bundle</v>
      </c>
      <c r="AE2027">
        <f t="shared" si="191"/>
        <v>46</v>
      </c>
    </row>
    <row r="2028" spans="1:31" x14ac:dyDescent="0.35">
      <c r="A2028" t="s">
        <v>2086</v>
      </c>
      <c r="B2028" s="4">
        <v>45210</v>
      </c>
      <c r="C2028" s="4">
        <v>46143</v>
      </c>
      <c r="D2028" t="s">
        <v>47</v>
      </c>
      <c r="E2028">
        <v>52</v>
      </c>
      <c r="F2028" t="s">
        <v>33</v>
      </c>
      <c r="G2028" t="s">
        <v>48</v>
      </c>
      <c r="H2028" t="s">
        <v>58</v>
      </c>
      <c r="I2028" t="s">
        <v>49</v>
      </c>
      <c r="J2028">
        <v>31</v>
      </c>
      <c r="K2028" s="5">
        <v>334.28</v>
      </c>
      <c r="L2028" s="5">
        <v>261.75</v>
      </c>
      <c r="M2028">
        <v>13</v>
      </c>
      <c r="N2028">
        <v>8</v>
      </c>
      <c r="O2028">
        <v>1</v>
      </c>
      <c r="P2028">
        <v>0</v>
      </c>
      <c r="Q2028">
        <v>11</v>
      </c>
      <c r="R2028">
        <v>0</v>
      </c>
      <c r="S2028">
        <v>0</v>
      </c>
      <c r="T2028">
        <v>1</v>
      </c>
      <c r="U2028">
        <v>0</v>
      </c>
      <c r="V2028">
        <v>0</v>
      </c>
      <c r="W2028" t="s">
        <v>55</v>
      </c>
      <c r="X2028">
        <v>41</v>
      </c>
      <c r="Y2028">
        <v>1</v>
      </c>
      <c r="Z2028">
        <f t="shared" si="186"/>
        <v>31</v>
      </c>
      <c r="AA2028">
        <f t="shared" si="187"/>
        <v>0.39344262295081966</v>
      </c>
      <c r="AB2028">
        <f t="shared" si="188"/>
        <v>31</v>
      </c>
      <c r="AC2028" t="str">
        <f t="shared" si="189"/>
        <v>Low</v>
      </c>
      <c r="AD2028" t="str">
        <f t="shared" si="190"/>
        <v>Upsell premium bundle</v>
      </c>
      <c r="AE2028">
        <f t="shared" si="191"/>
        <v>69</v>
      </c>
    </row>
    <row r="2029" spans="1:31" x14ac:dyDescent="0.35">
      <c r="A2029" t="s">
        <v>2087</v>
      </c>
      <c r="B2029" s="4">
        <v>45603</v>
      </c>
      <c r="C2029" s="4">
        <v>46143</v>
      </c>
      <c r="D2029" t="s">
        <v>72</v>
      </c>
      <c r="E2029">
        <v>45</v>
      </c>
      <c r="F2029" t="s">
        <v>77</v>
      </c>
      <c r="G2029" t="s">
        <v>34</v>
      </c>
      <c r="H2029" t="s">
        <v>58</v>
      </c>
      <c r="I2029" t="s">
        <v>36</v>
      </c>
      <c r="J2029">
        <v>18</v>
      </c>
      <c r="K2029" s="5">
        <v>13107.26</v>
      </c>
      <c r="L2029" s="5">
        <v>6932.4</v>
      </c>
      <c r="M2029">
        <v>28</v>
      </c>
      <c r="N2029">
        <v>16</v>
      </c>
      <c r="O2029">
        <v>4</v>
      </c>
      <c r="P2029">
        <v>1</v>
      </c>
      <c r="Q2029">
        <v>20</v>
      </c>
      <c r="R2029">
        <v>1</v>
      </c>
      <c r="S2029">
        <v>0</v>
      </c>
      <c r="T2029">
        <v>0</v>
      </c>
      <c r="U2029">
        <v>0</v>
      </c>
      <c r="V2029">
        <v>0</v>
      </c>
      <c r="W2029" t="s">
        <v>52</v>
      </c>
      <c r="X2029">
        <v>39</v>
      </c>
      <c r="Y2029">
        <v>0</v>
      </c>
      <c r="Z2029">
        <f t="shared" si="186"/>
        <v>66</v>
      </c>
      <c r="AA2029">
        <f t="shared" si="187"/>
        <v>1</v>
      </c>
      <c r="AB2029">
        <f t="shared" si="188"/>
        <v>0</v>
      </c>
      <c r="AC2029" t="str">
        <f t="shared" si="189"/>
        <v>Low</v>
      </c>
      <c r="AD2029" t="str">
        <f t="shared" si="190"/>
        <v>Upsell premium bundle</v>
      </c>
      <c r="AE2029">
        <f t="shared" si="191"/>
        <v>34</v>
      </c>
    </row>
    <row r="2030" spans="1:31" x14ac:dyDescent="0.35">
      <c r="A2030" t="s">
        <v>2088</v>
      </c>
      <c r="B2030" s="4">
        <v>45508</v>
      </c>
      <c r="C2030" s="4">
        <v>46143</v>
      </c>
      <c r="D2030" t="s">
        <v>66</v>
      </c>
      <c r="E2030">
        <v>48</v>
      </c>
      <c r="F2030" t="s">
        <v>43</v>
      </c>
      <c r="G2030" t="s">
        <v>85</v>
      </c>
      <c r="H2030" t="s">
        <v>41</v>
      </c>
      <c r="I2030" t="s">
        <v>36</v>
      </c>
      <c r="J2030">
        <v>21</v>
      </c>
      <c r="K2030" s="5">
        <v>1.86</v>
      </c>
      <c r="L2030" s="5">
        <v>37.92</v>
      </c>
      <c r="M2030">
        <v>3</v>
      </c>
      <c r="N2030">
        <v>0</v>
      </c>
      <c r="O2030">
        <v>0</v>
      </c>
      <c r="P2030">
        <v>0</v>
      </c>
      <c r="Q2030">
        <v>8</v>
      </c>
      <c r="R2030">
        <v>0</v>
      </c>
      <c r="S2030">
        <v>2</v>
      </c>
      <c r="T2030">
        <v>1</v>
      </c>
      <c r="U2030">
        <v>0</v>
      </c>
      <c r="V2030">
        <v>1</v>
      </c>
      <c r="W2030" t="s">
        <v>52</v>
      </c>
      <c r="X2030">
        <v>-17</v>
      </c>
      <c r="Y2030">
        <v>1</v>
      </c>
      <c r="Z2030">
        <f t="shared" si="186"/>
        <v>18</v>
      </c>
      <c r="AA2030">
        <f t="shared" si="187"/>
        <v>0.21568627450980393</v>
      </c>
      <c r="AB2030">
        <f t="shared" si="188"/>
        <v>75</v>
      </c>
      <c r="AC2030" t="str">
        <f t="shared" si="189"/>
        <v>High</v>
      </c>
      <c r="AD2030" t="str">
        <f t="shared" si="190"/>
        <v>Deposit incentive</v>
      </c>
      <c r="AE2030">
        <f t="shared" si="191"/>
        <v>82</v>
      </c>
    </row>
    <row r="2031" spans="1:31" x14ac:dyDescent="0.35">
      <c r="A2031" t="s">
        <v>2089</v>
      </c>
      <c r="B2031" s="4">
        <v>45013</v>
      </c>
      <c r="C2031" s="4">
        <v>46143</v>
      </c>
      <c r="D2031" t="s">
        <v>47</v>
      </c>
      <c r="E2031">
        <v>56</v>
      </c>
      <c r="F2031" t="s">
        <v>57</v>
      </c>
      <c r="G2031" t="s">
        <v>34</v>
      </c>
      <c r="H2031" t="s">
        <v>58</v>
      </c>
      <c r="I2031" t="s">
        <v>36</v>
      </c>
      <c r="J2031">
        <v>37</v>
      </c>
      <c r="K2031" s="5">
        <v>1052.06</v>
      </c>
      <c r="L2031" s="5">
        <v>0</v>
      </c>
      <c r="M2031">
        <v>38</v>
      </c>
      <c r="N2031">
        <v>21</v>
      </c>
      <c r="O2031">
        <v>8</v>
      </c>
      <c r="P2031">
        <v>7</v>
      </c>
      <c r="Q2031">
        <v>19</v>
      </c>
      <c r="R2031">
        <v>3</v>
      </c>
      <c r="S2031">
        <v>0</v>
      </c>
      <c r="T2031">
        <v>1</v>
      </c>
      <c r="U2031">
        <v>1</v>
      </c>
      <c r="V2031">
        <v>1</v>
      </c>
      <c r="W2031" t="s">
        <v>55</v>
      </c>
      <c r="X2031">
        <v>-1</v>
      </c>
      <c r="Y2031">
        <v>0</v>
      </c>
      <c r="Z2031">
        <f t="shared" si="186"/>
        <v>100</v>
      </c>
      <c r="AA2031">
        <f t="shared" si="187"/>
        <v>0.85074626865671643</v>
      </c>
      <c r="AB2031">
        <f t="shared" si="188"/>
        <v>4</v>
      </c>
      <c r="AC2031" t="str">
        <f t="shared" si="189"/>
        <v>Low</v>
      </c>
      <c r="AD2031" t="str">
        <f t="shared" si="190"/>
        <v>Upsell premium bundle</v>
      </c>
      <c r="AE2031">
        <f t="shared" si="191"/>
        <v>0</v>
      </c>
    </row>
    <row r="2032" spans="1:31" x14ac:dyDescent="0.35">
      <c r="A2032" t="s">
        <v>2090</v>
      </c>
      <c r="B2032" s="4">
        <v>45390</v>
      </c>
      <c r="C2032" s="4">
        <v>46143</v>
      </c>
      <c r="D2032" t="s">
        <v>66</v>
      </c>
      <c r="E2032">
        <v>59</v>
      </c>
      <c r="F2032" t="s">
        <v>43</v>
      </c>
      <c r="G2032" t="s">
        <v>34</v>
      </c>
      <c r="H2032" t="s">
        <v>44</v>
      </c>
      <c r="I2032" t="s">
        <v>36</v>
      </c>
      <c r="J2032">
        <v>25</v>
      </c>
      <c r="K2032" s="5">
        <v>178.73</v>
      </c>
      <c r="L2032" s="5">
        <v>80.37</v>
      </c>
      <c r="M2032">
        <v>32</v>
      </c>
      <c r="N2032">
        <v>17</v>
      </c>
      <c r="O2032">
        <v>2</v>
      </c>
      <c r="P2032">
        <v>2</v>
      </c>
      <c r="Q2032">
        <v>35</v>
      </c>
      <c r="R2032">
        <v>0</v>
      </c>
      <c r="S2032">
        <v>1</v>
      </c>
      <c r="T2032">
        <v>0</v>
      </c>
      <c r="U2032">
        <v>1</v>
      </c>
      <c r="V2032">
        <v>1</v>
      </c>
      <c r="W2032" t="s">
        <v>55</v>
      </c>
      <c r="X2032">
        <v>56</v>
      </c>
      <c r="Y2032">
        <v>0</v>
      </c>
      <c r="Z2032">
        <f t="shared" si="186"/>
        <v>99</v>
      </c>
      <c r="AA2032">
        <f t="shared" si="187"/>
        <v>1.2181818181818183</v>
      </c>
      <c r="AB2032">
        <f t="shared" si="188"/>
        <v>0</v>
      </c>
      <c r="AC2032" t="str">
        <f t="shared" si="189"/>
        <v>Low</v>
      </c>
      <c r="AD2032" t="str">
        <f t="shared" si="190"/>
        <v>Upsell premium bundle</v>
      </c>
      <c r="AE2032">
        <f t="shared" si="191"/>
        <v>1</v>
      </c>
    </row>
    <row r="2033" spans="1:31" x14ac:dyDescent="0.35">
      <c r="A2033" t="s">
        <v>2091</v>
      </c>
      <c r="B2033" s="4">
        <v>45370</v>
      </c>
      <c r="C2033" s="4">
        <v>46143</v>
      </c>
      <c r="D2033" t="s">
        <v>32</v>
      </c>
      <c r="E2033">
        <v>52</v>
      </c>
      <c r="F2033" t="s">
        <v>61</v>
      </c>
      <c r="G2033" t="s">
        <v>48</v>
      </c>
      <c r="H2033" t="s">
        <v>41</v>
      </c>
      <c r="I2033" t="s">
        <v>36</v>
      </c>
      <c r="J2033">
        <v>25</v>
      </c>
      <c r="K2033" s="5">
        <v>3132.65</v>
      </c>
      <c r="L2033" s="5">
        <v>5434.53</v>
      </c>
      <c r="M2033">
        <v>33</v>
      </c>
      <c r="N2033">
        <v>19</v>
      </c>
      <c r="O2033">
        <v>8</v>
      </c>
      <c r="P2033">
        <v>6</v>
      </c>
      <c r="Q2033">
        <v>22</v>
      </c>
      <c r="R2033">
        <v>1</v>
      </c>
      <c r="S2033">
        <v>0</v>
      </c>
      <c r="T2033">
        <v>1</v>
      </c>
      <c r="U2033">
        <v>0</v>
      </c>
      <c r="V2033">
        <v>0</v>
      </c>
      <c r="W2033" t="s">
        <v>37</v>
      </c>
      <c r="X2033">
        <v>-5</v>
      </c>
      <c r="Y2033">
        <v>0</v>
      </c>
      <c r="Z2033">
        <f t="shared" si="186"/>
        <v>87</v>
      </c>
      <c r="AA2033">
        <f t="shared" si="187"/>
        <v>1</v>
      </c>
      <c r="AB2033">
        <f t="shared" si="188"/>
        <v>14</v>
      </c>
      <c r="AC2033" t="str">
        <f t="shared" si="189"/>
        <v>Low</v>
      </c>
      <c r="AD2033" t="str">
        <f t="shared" si="190"/>
        <v>Upsell premium bundle</v>
      </c>
      <c r="AE2033">
        <f t="shared" si="191"/>
        <v>13</v>
      </c>
    </row>
    <row r="2034" spans="1:31" x14ac:dyDescent="0.35">
      <c r="A2034" t="s">
        <v>2092</v>
      </c>
      <c r="B2034" s="4">
        <v>45126</v>
      </c>
      <c r="C2034" s="4">
        <v>46143</v>
      </c>
      <c r="D2034" t="s">
        <v>39</v>
      </c>
      <c r="E2034">
        <v>36</v>
      </c>
      <c r="F2034" t="s">
        <v>57</v>
      </c>
      <c r="G2034" t="s">
        <v>40</v>
      </c>
      <c r="H2034" t="s">
        <v>41</v>
      </c>
      <c r="I2034" t="s">
        <v>36</v>
      </c>
      <c r="J2034">
        <v>33</v>
      </c>
      <c r="K2034" s="5">
        <v>191.34</v>
      </c>
      <c r="L2034" s="5">
        <v>1263.83</v>
      </c>
      <c r="M2034">
        <v>22</v>
      </c>
      <c r="N2034">
        <v>11</v>
      </c>
      <c r="O2034">
        <v>2</v>
      </c>
      <c r="P2034">
        <v>4</v>
      </c>
      <c r="Q2034">
        <v>17</v>
      </c>
      <c r="R2034">
        <v>0</v>
      </c>
      <c r="S2034">
        <v>0</v>
      </c>
      <c r="T2034">
        <v>0</v>
      </c>
      <c r="U2034">
        <v>0</v>
      </c>
      <c r="V2034">
        <v>1</v>
      </c>
      <c r="W2034" t="s">
        <v>50</v>
      </c>
      <c r="X2034">
        <v>4</v>
      </c>
      <c r="Y2034">
        <v>1</v>
      </c>
      <c r="Z2034">
        <f t="shared" si="186"/>
        <v>62</v>
      </c>
      <c r="AA2034">
        <f t="shared" si="187"/>
        <v>0.61904761904761907</v>
      </c>
      <c r="AB2034">
        <f t="shared" si="188"/>
        <v>31</v>
      </c>
      <c r="AC2034" t="str">
        <f t="shared" si="189"/>
        <v>Low</v>
      </c>
      <c r="AD2034" t="str">
        <f t="shared" si="190"/>
        <v>Upsell premium bundle</v>
      </c>
      <c r="AE2034">
        <f t="shared" si="191"/>
        <v>38</v>
      </c>
    </row>
    <row r="2035" spans="1:31" x14ac:dyDescent="0.35">
      <c r="A2035" t="s">
        <v>2093</v>
      </c>
      <c r="B2035" s="4">
        <v>45537</v>
      </c>
      <c r="C2035" s="4">
        <v>46143</v>
      </c>
      <c r="D2035" t="s">
        <v>60</v>
      </c>
      <c r="E2035">
        <v>41</v>
      </c>
      <c r="F2035" t="s">
        <v>43</v>
      </c>
      <c r="G2035" t="s">
        <v>34</v>
      </c>
      <c r="H2035" t="s">
        <v>41</v>
      </c>
      <c r="I2035" t="s">
        <v>36</v>
      </c>
      <c r="J2035">
        <v>20</v>
      </c>
      <c r="K2035" s="5">
        <v>128.26</v>
      </c>
      <c r="L2035" s="5">
        <v>0</v>
      </c>
      <c r="M2035">
        <v>28</v>
      </c>
      <c r="N2035">
        <v>20</v>
      </c>
      <c r="O2035">
        <v>6</v>
      </c>
      <c r="P2035">
        <v>1</v>
      </c>
      <c r="Q2035">
        <v>18</v>
      </c>
      <c r="R2035">
        <v>1</v>
      </c>
      <c r="S2035">
        <v>0</v>
      </c>
      <c r="T2035">
        <v>1</v>
      </c>
      <c r="U2035">
        <v>0</v>
      </c>
      <c r="V2035">
        <v>0</v>
      </c>
      <c r="W2035" t="s">
        <v>37</v>
      </c>
      <c r="X2035">
        <v>64</v>
      </c>
      <c r="Y2035">
        <v>0</v>
      </c>
      <c r="Z2035">
        <f t="shared" si="186"/>
        <v>70</v>
      </c>
      <c r="AA2035">
        <f t="shared" si="187"/>
        <v>0.92</v>
      </c>
      <c r="AB2035">
        <f t="shared" si="188"/>
        <v>0</v>
      </c>
      <c r="AC2035" t="str">
        <f t="shared" si="189"/>
        <v>Low</v>
      </c>
      <c r="AD2035" t="str">
        <f t="shared" si="190"/>
        <v>Upsell premium bundle</v>
      </c>
      <c r="AE2035">
        <f t="shared" si="191"/>
        <v>30</v>
      </c>
    </row>
    <row r="2036" spans="1:31" x14ac:dyDescent="0.35">
      <c r="A2036" t="s">
        <v>2094</v>
      </c>
      <c r="B2036" s="4">
        <v>45806</v>
      </c>
      <c r="C2036" s="4">
        <v>46143</v>
      </c>
      <c r="D2036" t="s">
        <v>47</v>
      </c>
      <c r="E2036">
        <v>59</v>
      </c>
      <c r="F2036" t="s">
        <v>33</v>
      </c>
      <c r="G2036" t="s">
        <v>85</v>
      </c>
      <c r="H2036" t="s">
        <v>41</v>
      </c>
      <c r="I2036" t="s">
        <v>36</v>
      </c>
      <c r="J2036">
        <v>11</v>
      </c>
      <c r="K2036" s="5">
        <v>269.81</v>
      </c>
      <c r="L2036" s="5">
        <v>119.65</v>
      </c>
      <c r="M2036">
        <v>0</v>
      </c>
      <c r="N2036">
        <v>0</v>
      </c>
      <c r="O2036">
        <v>0</v>
      </c>
      <c r="P2036">
        <v>0</v>
      </c>
      <c r="Q2036">
        <v>4</v>
      </c>
      <c r="R2036">
        <v>4</v>
      </c>
      <c r="S2036">
        <v>0</v>
      </c>
      <c r="T2036">
        <v>0</v>
      </c>
      <c r="U2036">
        <v>0</v>
      </c>
      <c r="V2036">
        <v>0</v>
      </c>
      <c r="W2036" t="s">
        <v>50</v>
      </c>
      <c r="X2036">
        <v>-57</v>
      </c>
      <c r="Y2036">
        <v>1</v>
      </c>
      <c r="Z2036">
        <f t="shared" si="186"/>
        <v>4</v>
      </c>
      <c r="AA2036">
        <f t="shared" si="187"/>
        <v>9.7560975609756101E-2</v>
      </c>
      <c r="AB2036">
        <f t="shared" si="188"/>
        <v>79</v>
      </c>
      <c r="AC2036" t="str">
        <f t="shared" si="189"/>
        <v>High</v>
      </c>
      <c r="AD2036" t="str">
        <f t="shared" si="190"/>
        <v>Re-engage with app usage offer</v>
      </c>
      <c r="AE2036">
        <f t="shared" si="191"/>
        <v>96</v>
      </c>
    </row>
    <row r="2037" spans="1:31" x14ac:dyDescent="0.35">
      <c r="A2037" t="s">
        <v>2095</v>
      </c>
      <c r="B2037" s="4">
        <v>44828</v>
      </c>
      <c r="C2037" s="4">
        <v>46143</v>
      </c>
      <c r="D2037" t="s">
        <v>39</v>
      </c>
      <c r="E2037">
        <v>22</v>
      </c>
      <c r="F2037" t="s">
        <v>33</v>
      </c>
      <c r="G2037" t="s">
        <v>85</v>
      </c>
      <c r="H2037" t="s">
        <v>44</v>
      </c>
      <c r="I2037" t="s">
        <v>36</v>
      </c>
      <c r="J2037">
        <v>43</v>
      </c>
      <c r="K2037" s="5">
        <v>688.92</v>
      </c>
      <c r="L2037" s="5">
        <v>601.80999999999995</v>
      </c>
      <c r="M2037">
        <v>29</v>
      </c>
      <c r="N2037">
        <v>14</v>
      </c>
      <c r="O2037">
        <v>7</v>
      </c>
      <c r="P2037">
        <v>1</v>
      </c>
      <c r="Q2037">
        <v>27</v>
      </c>
      <c r="R2037">
        <v>0</v>
      </c>
      <c r="S2037">
        <v>0</v>
      </c>
      <c r="T2037">
        <v>1</v>
      </c>
      <c r="U2037">
        <v>1</v>
      </c>
      <c r="V2037">
        <v>1</v>
      </c>
      <c r="W2037" t="s">
        <v>37</v>
      </c>
      <c r="X2037">
        <v>-28</v>
      </c>
      <c r="Y2037">
        <v>0</v>
      </c>
      <c r="Z2037">
        <f t="shared" si="186"/>
        <v>91</v>
      </c>
      <c r="AA2037">
        <f t="shared" si="187"/>
        <v>0.76712328767123283</v>
      </c>
      <c r="AB2037">
        <f t="shared" si="188"/>
        <v>26</v>
      </c>
      <c r="AC2037" t="str">
        <f t="shared" si="189"/>
        <v>Low</v>
      </c>
      <c r="AD2037" t="str">
        <f t="shared" si="190"/>
        <v>Upsell premium bundle</v>
      </c>
      <c r="AE2037">
        <f t="shared" si="191"/>
        <v>9</v>
      </c>
    </row>
    <row r="2038" spans="1:31" x14ac:dyDescent="0.35">
      <c r="A2038" t="s">
        <v>2096</v>
      </c>
      <c r="B2038" s="4">
        <v>45402</v>
      </c>
      <c r="C2038" s="4">
        <v>46143</v>
      </c>
      <c r="D2038" t="s">
        <v>32</v>
      </c>
      <c r="E2038">
        <v>24</v>
      </c>
      <c r="F2038" t="s">
        <v>57</v>
      </c>
      <c r="G2038" t="s">
        <v>34</v>
      </c>
      <c r="H2038" t="s">
        <v>41</v>
      </c>
      <c r="I2038" t="s">
        <v>36</v>
      </c>
      <c r="J2038">
        <v>24</v>
      </c>
      <c r="K2038" s="5">
        <v>690.81</v>
      </c>
      <c r="L2038" s="5">
        <v>724.18</v>
      </c>
      <c r="M2038">
        <v>26</v>
      </c>
      <c r="N2038">
        <v>6</v>
      </c>
      <c r="O2038">
        <v>4</v>
      </c>
      <c r="P2038">
        <v>3</v>
      </c>
      <c r="Q2038">
        <v>21</v>
      </c>
      <c r="R2038">
        <v>2</v>
      </c>
      <c r="S2038">
        <v>0</v>
      </c>
      <c r="T2038">
        <v>0</v>
      </c>
      <c r="U2038">
        <v>1</v>
      </c>
      <c r="V2038">
        <v>1</v>
      </c>
      <c r="W2038" t="s">
        <v>52</v>
      </c>
      <c r="X2038">
        <v>39</v>
      </c>
      <c r="Y2038">
        <v>0</v>
      </c>
      <c r="Z2038">
        <f t="shared" si="186"/>
        <v>76</v>
      </c>
      <c r="AA2038">
        <f t="shared" si="187"/>
        <v>0.87037037037037035</v>
      </c>
      <c r="AB2038">
        <f t="shared" si="188"/>
        <v>5</v>
      </c>
      <c r="AC2038" t="str">
        <f t="shared" si="189"/>
        <v>Low</v>
      </c>
      <c r="AD2038" t="str">
        <f t="shared" si="190"/>
        <v>Upsell premium bundle</v>
      </c>
      <c r="AE2038">
        <f t="shared" si="191"/>
        <v>24</v>
      </c>
    </row>
    <row r="2039" spans="1:31" x14ac:dyDescent="0.35">
      <c r="A2039" t="s">
        <v>2097</v>
      </c>
      <c r="B2039" s="4">
        <v>45056</v>
      </c>
      <c r="C2039" s="4">
        <v>46143</v>
      </c>
      <c r="D2039" t="s">
        <v>60</v>
      </c>
      <c r="E2039">
        <v>49</v>
      </c>
      <c r="F2039" t="s">
        <v>61</v>
      </c>
      <c r="G2039" t="s">
        <v>40</v>
      </c>
      <c r="H2039" t="s">
        <v>41</v>
      </c>
      <c r="I2039" t="s">
        <v>36</v>
      </c>
      <c r="J2039">
        <v>36</v>
      </c>
      <c r="K2039" s="5">
        <v>2052.54</v>
      </c>
      <c r="L2039" s="5">
        <v>731.63</v>
      </c>
      <c r="M2039">
        <v>10</v>
      </c>
      <c r="N2039">
        <v>5</v>
      </c>
      <c r="O2039">
        <v>2</v>
      </c>
      <c r="P2039">
        <v>2</v>
      </c>
      <c r="Q2039">
        <v>11</v>
      </c>
      <c r="R2039">
        <v>1</v>
      </c>
      <c r="S2039">
        <v>0</v>
      </c>
      <c r="T2039">
        <v>0</v>
      </c>
      <c r="U2039">
        <v>1</v>
      </c>
      <c r="V2039">
        <v>0</v>
      </c>
      <c r="W2039" t="s">
        <v>52</v>
      </c>
      <c r="X2039">
        <v>-8</v>
      </c>
      <c r="Y2039">
        <v>1</v>
      </c>
      <c r="Z2039">
        <f t="shared" si="186"/>
        <v>38</v>
      </c>
      <c r="AA2039">
        <f t="shared" si="187"/>
        <v>0.31818181818181818</v>
      </c>
      <c r="AB2039">
        <f t="shared" si="188"/>
        <v>45</v>
      </c>
      <c r="AC2039" t="str">
        <f t="shared" si="189"/>
        <v>Medium</v>
      </c>
      <c r="AD2039" t="str">
        <f t="shared" si="190"/>
        <v>Nudge core feature adoption</v>
      </c>
      <c r="AE2039">
        <f t="shared" si="191"/>
        <v>62</v>
      </c>
    </row>
    <row r="2040" spans="1:31" x14ac:dyDescent="0.35">
      <c r="A2040" t="s">
        <v>2098</v>
      </c>
      <c r="B2040" s="4">
        <v>45493</v>
      </c>
      <c r="C2040" s="4">
        <v>46143</v>
      </c>
      <c r="D2040" t="s">
        <v>39</v>
      </c>
      <c r="E2040">
        <v>26</v>
      </c>
      <c r="F2040" t="s">
        <v>57</v>
      </c>
      <c r="G2040" t="s">
        <v>85</v>
      </c>
      <c r="H2040" t="s">
        <v>35</v>
      </c>
      <c r="I2040" t="s">
        <v>49</v>
      </c>
      <c r="J2040">
        <v>21</v>
      </c>
      <c r="K2040" s="5">
        <v>1483.63</v>
      </c>
      <c r="L2040" s="5">
        <v>835.29</v>
      </c>
      <c r="M2040">
        <v>15</v>
      </c>
      <c r="N2040">
        <v>4</v>
      </c>
      <c r="O2040">
        <v>1</v>
      </c>
      <c r="P2040">
        <v>2</v>
      </c>
      <c r="Q2040">
        <v>14</v>
      </c>
      <c r="R2040">
        <v>2</v>
      </c>
      <c r="S2040">
        <v>0</v>
      </c>
      <c r="T2040">
        <v>1</v>
      </c>
      <c r="U2040">
        <v>1</v>
      </c>
      <c r="V2040">
        <v>0</v>
      </c>
      <c r="W2040" t="s">
        <v>45</v>
      </c>
      <c r="X2040">
        <v>-10</v>
      </c>
      <c r="Y2040">
        <v>1</v>
      </c>
      <c r="Z2040">
        <f t="shared" si="186"/>
        <v>44</v>
      </c>
      <c r="AA2040">
        <f t="shared" si="187"/>
        <v>0.56862745098039214</v>
      </c>
      <c r="AB2040">
        <f t="shared" si="188"/>
        <v>48</v>
      </c>
      <c r="AC2040" t="str">
        <f t="shared" si="189"/>
        <v>Medium</v>
      </c>
      <c r="AD2040" t="str">
        <f t="shared" si="190"/>
        <v>Nudge core feature adoption</v>
      </c>
      <c r="AE2040">
        <f t="shared" si="191"/>
        <v>56</v>
      </c>
    </row>
    <row r="2041" spans="1:31" x14ac:dyDescent="0.35">
      <c r="A2041" t="s">
        <v>2099</v>
      </c>
      <c r="B2041" s="4">
        <v>45544</v>
      </c>
      <c r="C2041" s="4">
        <v>46143</v>
      </c>
      <c r="D2041" t="s">
        <v>32</v>
      </c>
      <c r="E2041">
        <v>66</v>
      </c>
      <c r="F2041" t="s">
        <v>61</v>
      </c>
      <c r="G2041" t="s">
        <v>40</v>
      </c>
      <c r="H2041" t="s">
        <v>58</v>
      </c>
      <c r="I2041" t="s">
        <v>36</v>
      </c>
      <c r="J2041">
        <v>19</v>
      </c>
      <c r="K2041" s="5">
        <v>1852.02</v>
      </c>
      <c r="L2041" s="5">
        <v>1896.78</v>
      </c>
      <c r="M2041">
        <v>34</v>
      </c>
      <c r="N2041">
        <v>21</v>
      </c>
      <c r="O2041">
        <v>5</v>
      </c>
      <c r="P2041">
        <v>0</v>
      </c>
      <c r="Q2041">
        <v>29</v>
      </c>
      <c r="R2041">
        <v>0</v>
      </c>
      <c r="S2041">
        <v>0</v>
      </c>
      <c r="T2041">
        <v>1</v>
      </c>
      <c r="U2041">
        <v>0</v>
      </c>
      <c r="V2041">
        <v>0</v>
      </c>
      <c r="W2041" t="s">
        <v>37</v>
      </c>
      <c r="X2041">
        <v>29</v>
      </c>
      <c r="Y2041">
        <v>0</v>
      </c>
      <c r="Z2041">
        <f t="shared" si="186"/>
        <v>84</v>
      </c>
      <c r="AA2041">
        <f t="shared" si="187"/>
        <v>1.2857142857142858</v>
      </c>
      <c r="AB2041">
        <f t="shared" si="188"/>
        <v>0</v>
      </c>
      <c r="AC2041" t="str">
        <f t="shared" si="189"/>
        <v>Low</v>
      </c>
      <c r="AD2041" t="str">
        <f t="shared" si="190"/>
        <v>Upsell premium bundle</v>
      </c>
      <c r="AE2041">
        <f t="shared" si="191"/>
        <v>16</v>
      </c>
    </row>
    <row r="2042" spans="1:31" x14ac:dyDescent="0.35">
      <c r="A2042" t="s">
        <v>2100</v>
      </c>
      <c r="B2042" s="4">
        <v>45698</v>
      </c>
      <c r="C2042" s="4">
        <v>46143</v>
      </c>
      <c r="D2042" t="s">
        <v>39</v>
      </c>
      <c r="E2042">
        <v>40</v>
      </c>
      <c r="F2042" t="s">
        <v>57</v>
      </c>
      <c r="G2042" t="s">
        <v>48</v>
      </c>
      <c r="H2042" t="s">
        <v>44</v>
      </c>
      <c r="I2042" t="s">
        <v>36</v>
      </c>
      <c r="J2042">
        <v>14</v>
      </c>
      <c r="K2042" s="5">
        <v>497.62</v>
      </c>
      <c r="L2042" s="5">
        <v>198.64</v>
      </c>
      <c r="M2042">
        <v>18</v>
      </c>
      <c r="N2042">
        <v>11</v>
      </c>
      <c r="O2042">
        <v>3</v>
      </c>
      <c r="P2042">
        <v>1</v>
      </c>
      <c r="Q2042">
        <v>3</v>
      </c>
      <c r="R2042">
        <v>2</v>
      </c>
      <c r="S2042">
        <v>0</v>
      </c>
      <c r="T2042">
        <v>1</v>
      </c>
      <c r="U2042">
        <v>0</v>
      </c>
      <c r="V2042">
        <v>1</v>
      </c>
      <c r="W2042" t="s">
        <v>55</v>
      </c>
      <c r="X2042">
        <v>-20</v>
      </c>
      <c r="Y2042">
        <v>1</v>
      </c>
      <c r="Z2042">
        <f t="shared" si="186"/>
        <v>42</v>
      </c>
      <c r="AA2042">
        <f t="shared" si="187"/>
        <v>0.47727272727272729</v>
      </c>
      <c r="AB2042">
        <f t="shared" si="188"/>
        <v>38</v>
      </c>
      <c r="AC2042" t="str">
        <f t="shared" si="189"/>
        <v>Low</v>
      </c>
      <c r="AD2042" t="str">
        <f t="shared" si="190"/>
        <v>Upsell premium bundle</v>
      </c>
      <c r="AE2042">
        <f t="shared" si="191"/>
        <v>58</v>
      </c>
    </row>
    <row r="2043" spans="1:31" x14ac:dyDescent="0.35">
      <c r="A2043" t="s">
        <v>2101</v>
      </c>
      <c r="B2043" s="4">
        <v>44896</v>
      </c>
      <c r="C2043" s="4">
        <v>46143</v>
      </c>
      <c r="D2043" t="s">
        <v>32</v>
      </c>
      <c r="E2043">
        <v>58</v>
      </c>
      <c r="F2043" t="s">
        <v>57</v>
      </c>
      <c r="G2043" t="s">
        <v>85</v>
      </c>
      <c r="H2043" t="s">
        <v>58</v>
      </c>
      <c r="I2043" t="s">
        <v>36</v>
      </c>
      <c r="J2043">
        <v>41</v>
      </c>
      <c r="K2043" s="5">
        <v>1351.94</v>
      </c>
      <c r="L2043" s="5">
        <v>1182.8599999999999</v>
      </c>
      <c r="M2043">
        <v>30</v>
      </c>
      <c r="N2043">
        <v>15</v>
      </c>
      <c r="O2043">
        <v>2</v>
      </c>
      <c r="P2043">
        <v>4</v>
      </c>
      <c r="Q2043">
        <v>20</v>
      </c>
      <c r="R2043">
        <v>1</v>
      </c>
      <c r="S2043">
        <v>0</v>
      </c>
      <c r="T2043">
        <v>0</v>
      </c>
      <c r="U2043">
        <v>1</v>
      </c>
      <c r="V2043">
        <v>0</v>
      </c>
      <c r="W2043" t="s">
        <v>45</v>
      </c>
      <c r="X2043">
        <v>29</v>
      </c>
      <c r="Y2043">
        <v>0</v>
      </c>
      <c r="Z2043">
        <f t="shared" si="186"/>
        <v>78</v>
      </c>
      <c r="AA2043">
        <f t="shared" si="187"/>
        <v>0.70422535211267601</v>
      </c>
      <c r="AB2043">
        <f t="shared" si="188"/>
        <v>1</v>
      </c>
      <c r="AC2043" t="str">
        <f t="shared" si="189"/>
        <v>Low</v>
      </c>
      <c r="AD2043" t="str">
        <f t="shared" si="190"/>
        <v>Upsell premium bundle</v>
      </c>
      <c r="AE2043">
        <f t="shared" si="191"/>
        <v>22</v>
      </c>
    </row>
    <row r="2044" spans="1:31" x14ac:dyDescent="0.35">
      <c r="A2044" t="s">
        <v>2102</v>
      </c>
      <c r="B2044" s="4">
        <v>44707</v>
      </c>
      <c r="C2044" s="4">
        <v>46143</v>
      </c>
      <c r="D2044" t="s">
        <v>47</v>
      </c>
      <c r="E2044">
        <v>43</v>
      </c>
      <c r="F2044" t="s">
        <v>33</v>
      </c>
      <c r="G2044" t="s">
        <v>85</v>
      </c>
      <c r="H2044" t="s">
        <v>41</v>
      </c>
      <c r="I2044" t="s">
        <v>36</v>
      </c>
      <c r="J2044">
        <v>47</v>
      </c>
      <c r="K2044" s="5">
        <v>260.31</v>
      </c>
      <c r="L2044" s="5">
        <v>0</v>
      </c>
      <c r="M2044">
        <v>39</v>
      </c>
      <c r="N2044">
        <v>14</v>
      </c>
      <c r="O2044">
        <v>4</v>
      </c>
      <c r="P2044">
        <v>2</v>
      </c>
      <c r="Q2044">
        <v>32</v>
      </c>
      <c r="R2044">
        <v>2</v>
      </c>
      <c r="S2044">
        <v>0</v>
      </c>
      <c r="T2044">
        <v>1</v>
      </c>
      <c r="U2044">
        <v>0</v>
      </c>
      <c r="V2044">
        <v>0</v>
      </c>
      <c r="W2044" t="s">
        <v>45</v>
      </c>
      <c r="X2044">
        <v>-6</v>
      </c>
      <c r="Y2044">
        <v>1</v>
      </c>
      <c r="Z2044">
        <f t="shared" si="186"/>
        <v>89</v>
      </c>
      <c r="AA2044">
        <f t="shared" si="187"/>
        <v>0.92207792207792205</v>
      </c>
      <c r="AB2044">
        <f t="shared" si="188"/>
        <v>22</v>
      </c>
      <c r="AC2044" t="str">
        <f t="shared" si="189"/>
        <v>Low</v>
      </c>
      <c r="AD2044" t="str">
        <f t="shared" si="190"/>
        <v>Upsell premium bundle</v>
      </c>
      <c r="AE2044">
        <f t="shared" si="191"/>
        <v>11</v>
      </c>
    </row>
    <row r="2045" spans="1:31" x14ac:dyDescent="0.35">
      <c r="A2045" t="s">
        <v>2103</v>
      </c>
      <c r="B2045" s="4">
        <v>45112</v>
      </c>
      <c r="C2045" s="4">
        <v>46143</v>
      </c>
      <c r="D2045" t="s">
        <v>32</v>
      </c>
      <c r="E2045">
        <v>42</v>
      </c>
      <c r="F2045" t="s">
        <v>57</v>
      </c>
      <c r="G2045" t="s">
        <v>67</v>
      </c>
      <c r="H2045" t="s">
        <v>41</v>
      </c>
      <c r="I2045" t="s">
        <v>36</v>
      </c>
      <c r="J2045">
        <v>34</v>
      </c>
      <c r="K2045" s="5">
        <v>383.24</v>
      </c>
      <c r="L2045" s="5">
        <v>0</v>
      </c>
      <c r="M2045">
        <v>36</v>
      </c>
      <c r="N2045">
        <v>16</v>
      </c>
      <c r="O2045">
        <v>10</v>
      </c>
      <c r="P2045">
        <v>6</v>
      </c>
      <c r="Q2045">
        <v>10</v>
      </c>
      <c r="R2045">
        <v>2</v>
      </c>
      <c r="S2045">
        <v>0</v>
      </c>
      <c r="T2045">
        <v>0</v>
      </c>
      <c r="U2045">
        <v>0</v>
      </c>
      <c r="V2045">
        <v>0</v>
      </c>
      <c r="W2045" t="s">
        <v>55</v>
      </c>
      <c r="X2045">
        <v>20</v>
      </c>
      <c r="Y2045">
        <v>0</v>
      </c>
      <c r="Z2045">
        <f t="shared" si="186"/>
        <v>80</v>
      </c>
      <c r="AA2045">
        <f t="shared" si="187"/>
        <v>0.71875</v>
      </c>
      <c r="AB2045">
        <f t="shared" si="188"/>
        <v>13</v>
      </c>
      <c r="AC2045" t="str">
        <f t="shared" si="189"/>
        <v>Low</v>
      </c>
      <c r="AD2045" t="str">
        <f t="shared" si="190"/>
        <v>Upsell premium bundle</v>
      </c>
      <c r="AE2045">
        <f t="shared" si="191"/>
        <v>20</v>
      </c>
    </row>
    <row r="2046" spans="1:31" x14ac:dyDescent="0.35">
      <c r="A2046" t="s">
        <v>2104</v>
      </c>
      <c r="B2046" s="4">
        <v>45451</v>
      </c>
      <c r="C2046" s="4">
        <v>46143</v>
      </c>
      <c r="D2046" t="s">
        <v>32</v>
      </c>
      <c r="E2046">
        <v>24</v>
      </c>
      <c r="F2046" t="s">
        <v>33</v>
      </c>
      <c r="G2046" t="s">
        <v>85</v>
      </c>
      <c r="H2046" t="s">
        <v>41</v>
      </c>
      <c r="I2046" t="s">
        <v>36</v>
      </c>
      <c r="J2046">
        <v>23</v>
      </c>
      <c r="K2046" s="5">
        <v>427.25</v>
      </c>
      <c r="L2046" s="5">
        <v>94.53</v>
      </c>
      <c r="M2046">
        <v>13</v>
      </c>
      <c r="N2046">
        <v>6</v>
      </c>
      <c r="O2046">
        <v>1</v>
      </c>
      <c r="P2046">
        <v>2</v>
      </c>
      <c r="Q2046">
        <v>11</v>
      </c>
      <c r="R2046">
        <v>1</v>
      </c>
      <c r="S2046">
        <v>1</v>
      </c>
      <c r="T2046">
        <v>1</v>
      </c>
      <c r="U2046">
        <v>0</v>
      </c>
      <c r="V2046">
        <v>1</v>
      </c>
      <c r="W2046" t="s">
        <v>52</v>
      </c>
      <c r="X2046">
        <v>15</v>
      </c>
      <c r="Y2046">
        <v>1</v>
      </c>
      <c r="Z2046">
        <f t="shared" si="186"/>
        <v>39</v>
      </c>
      <c r="AA2046">
        <f t="shared" si="187"/>
        <v>0.45283018867924529</v>
      </c>
      <c r="AB2046">
        <f t="shared" si="188"/>
        <v>41</v>
      </c>
      <c r="AC2046" t="str">
        <f t="shared" si="189"/>
        <v>Medium</v>
      </c>
      <c r="AD2046" t="str">
        <f t="shared" si="190"/>
        <v>Nudge core feature adoption</v>
      </c>
      <c r="AE2046">
        <f t="shared" si="191"/>
        <v>61</v>
      </c>
    </row>
    <row r="2047" spans="1:31" x14ac:dyDescent="0.35">
      <c r="A2047" t="s">
        <v>2105</v>
      </c>
      <c r="B2047" s="4">
        <v>45568</v>
      </c>
      <c r="C2047" s="4">
        <v>46143</v>
      </c>
      <c r="D2047" t="s">
        <v>60</v>
      </c>
      <c r="E2047">
        <v>68</v>
      </c>
      <c r="F2047" t="s">
        <v>57</v>
      </c>
      <c r="G2047" t="s">
        <v>40</v>
      </c>
      <c r="H2047" t="s">
        <v>41</v>
      </c>
      <c r="I2047" t="s">
        <v>36</v>
      </c>
      <c r="J2047">
        <v>19</v>
      </c>
      <c r="K2047" s="5">
        <v>91.12</v>
      </c>
      <c r="L2047" s="5">
        <v>720.45</v>
      </c>
      <c r="M2047">
        <v>19</v>
      </c>
      <c r="N2047">
        <v>7</v>
      </c>
      <c r="O2047">
        <v>2</v>
      </c>
      <c r="P2047">
        <v>3</v>
      </c>
      <c r="Q2047">
        <v>10</v>
      </c>
      <c r="R2047">
        <v>0</v>
      </c>
      <c r="S2047">
        <v>0</v>
      </c>
      <c r="T2047">
        <v>1</v>
      </c>
      <c r="U2047">
        <v>1</v>
      </c>
      <c r="V2047">
        <v>0</v>
      </c>
      <c r="W2047" t="s">
        <v>45</v>
      </c>
      <c r="X2047">
        <v>-23</v>
      </c>
      <c r="Y2047">
        <v>0</v>
      </c>
      <c r="Z2047">
        <f t="shared" si="186"/>
        <v>49</v>
      </c>
      <c r="AA2047">
        <f t="shared" si="187"/>
        <v>0.59183673469387754</v>
      </c>
      <c r="AB2047">
        <f t="shared" si="188"/>
        <v>50</v>
      </c>
      <c r="AC2047" t="str">
        <f t="shared" si="189"/>
        <v>Medium</v>
      </c>
      <c r="AD2047" t="str">
        <f t="shared" si="190"/>
        <v>Nudge core feature adoption</v>
      </c>
      <c r="AE2047">
        <f t="shared" si="191"/>
        <v>51</v>
      </c>
    </row>
    <row r="2048" spans="1:31" x14ac:dyDescent="0.35">
      <c r="A2048" t="s">
        <v>2106</v>
      </c>
      <c r="B2048" s="4">
        <v>45897</v>
      </c>
      <c r="C2048" s="4">
        <v>46143</v>
      </c>
      <c r="D2048" t="s">
        <v>39</v>
      </c>
      <c r="E2048">
        <v>54</v>
      </c>
      <c r="F2048" t="s">
        <v>57</v>
      </c>
      <c r="G2048" t="s">
        <v>67</v>
      </c>
      <c r="H2048" t="s">
        <v>44</v>
      </c>
      <c r="I2048" t="s">
        <v>36</v>
      </c>
      <c r="J2048">
        <v>8</v>
      </c>
      <c r="K2048" s="5">
        <v>31.08</v>
      </c>
      <c r="L2048" s="5">
        <v>333.01</v>
      </c>
      <c r="M2048">
        <v>32</v>
      </c>
      <c r="N2048">
        <v>18</v>
      </c>
      <c r="O2048">
        <v>5</v>
      </c>
      <c r="P2048">
        <v>3</v>
      </c>
      <c r="Q2048">
        <v>16</v>
      </c>
      <c r="R2048">
        <v>0</v>
      </c>
      <c r="S2048">
        <v>0</v>
      </c>
      <c r="T2048">
        <v>0</v>
      </c>
      <c r="U2048">
        <v>1</v>
      </c>
      <c r="V2048">
        <v>0</v>
      </c>
      <c r="W2048" t="s">
        <v>52</v>
      </c>
      <c r="X2048">
        <v>11</v>
      </c>
      <c r="Y2048">
        <v>0</v>
      </c>
      <c r="Z2048">
        <f t="shared" si="186"/>
        <v>80</v>
      </c>
      <c r="AA2048">
        <f t="shared" si="187"/>
        <v>1.263157894736842</v>
      </c>
      <c r="AB2048">
        <f t="shared" si="188"/>
        <v>11</v>
      </c>
      <c r="AC2048" t="str">
        <f t="shared" si="189"/>
        <v>Low</v>
      </c>
      <c r="AD2048" t="str">
        <f t="shared" si="190"/>
        <v>Upsell premium bundle</v>
      </c>
      <c r="AE2048">
        <f t="shared" si="191"/>
        <v>20</v>
      </c>
    </row>
    <row r="2049" spans="1:31" x14ac:dyDescent="0.35">
      <c r="A2049" t="s">
        <v>2107</v>
      </c>
      <c r="B2049" s="4">
        <v>44780</v>
      </c>
      <c r="C2049" s="4">
        <v>46143</v>
      </c>
      <c r="D2049" t="s">
        <v>47</v>
      </c>
      <c r="E2049">
        <v>71</v>
      </c>
      <c r="F2049" t="s">
        <v>57</v>
      </c>
      <c r="G2049" t="s">
        <v>63</v>
      </c>
      <c r="H2049" t="s">
        <v>44</v>
      </c>
      <c r="I2049" t="s">
        <v>49</v>
      </c>
      <c r="J2049">
        <v>45</v>
      </c>
      <c r="K2049" s="5">
        <v>2309.02</v>
      </c>
      <c r="L2049" s="5">
        <v>575.11</v>
      </c>
      <c r="M2049">
        <v>55</v>
      </c>
      <c r="N2049">
        <v>15</v>
      </c>
      <c r="O2049">
        <v>12</v>
      </c>
      <c r="P2049">
        <v>0</v>
      </c>
      <c r="Q2049">
        <v>36</v>
      </c>
      <c r="R2049">
        <v>1</v>
      </c>
      <c r="S2049">
        <v>0</v>
      </c>
      <c r="T2049">
        <v>0</v>
      </c>
      <c r="U2049">
        <v>1</v>
      </c>
      <c r="V2049">
        <v>0</v>
      </c>
      <c r="W2049" t="s">
        <v>52</v>
      </c>
      <c r="X2049">
        <v>47</v>
      </c>
      <c r="Y2049">
        <v>0</v>
      </c>
      <c r="Z2049">
        <f t="shared" si="186"/>
        <v>100</v>
      </c>
      <c r="AA2049">
        <f t="shared" si="187"/>
        <v>1.2133333333333334</v>
      </c>
      <c r="AB2049">
        <f t="shared" si="188"/>
        <v>0</v>
      </c>
      <c r="AC2049" t="str">
        <f t="shared" si="189"/>
        <v>Low</v>
      </c>
      <c r="AD2049" t="str">
        <f t="shared" si="190"/>
        <v>Upsell premium bundle</v>
      </c>
      <c r="AE2049">
        <f t="shared" si="191"/>
        <v>0</v>
      </c>
    </row>
    <row r="2050" spans="1:31" x14ac:dyDescent="0.35">
      <c r="A2050" t="s">
        <v>2108</v>
      </c>
      <c r="B2050" s="4">
        <v>45654</v>
      </c>
      <c r="C2050" s="4">
        <v>46143</v>
      </c>
      <c r="D2050" t="s">
        <v>72</v>
      </c>
      <c r="E2050">
        <v>26</v>
      </c>
      <c r="F2050" t="s">
        <v>43</v>
      </c>
      <c r="G2050" t="s">
        <v>34</v>
      </c>
      <c r="H2050" t="s">
        <v>41</v>
      </c>
      <c r="I2050" t="s">
        <v>36</v>
      </c>
      <c r="J2050">
        <v>16</v>
      </c>
      <c r="K2050" s="5">
        <v>70.22</v>
      </c>
      <c r="L2050" s="5">
        <v>38.520000000000003</v>
      </c>
      <c r="M2050">
        <v>52</v>
      </c>
      <c r="N2050">
        <v>31</v>
      </c>
      <c r="O2050">
        <v>8</v>
      </c>
      <c r="P2050">
        <v>2</v>
      </c>
      <c r="Q2050">
        <v>21</v>
      </c>
      <c r="R2050">
        <v>1</v>
      </c>
      <c r="S2050">
        <v>1</v>
      </c>
      <c r="T2050">
        <v>0</v>
      </c>
      <c r="U2050">
        <v>0</v>
      </c>
      <c r="V2050">
        <v>0</v>
      </c>
      <c r="W2050" t="s">
        <v>45</v>
      </c>
      <c r="X2050">
        <v>71</v>
      </c>
      <c r="Y2050">
        <v>0</v>
      </c>
      <c r="Z2050">
        <f t="shared" si="186"/>
        <v>100</v>
      </c>
      <c r="AA2050">
        <f t="shared" si="187"/>
        <v>1.5869565217391304</v>
      </c>
      <c r="AB2050">
        <f t="shared" si="188"/>
        <v>0</v>
      </c>
      <c r="AC2050" t="str">
        <f t="shared" ref="AC2050:AC2113" si="192">IF(AB2050&gt;=70,"High",IF(AB2050&gt;=40,"Medium","Low"))</f>
        <v>Low</v>
      </c>
      <c r="AD2050" t="str">
        <f t="shared" ref="AD2050:AD2113" si="193">IF(AC2050="High",IF(Q2050&lt;5,"Re-engage with app usage offer",IF(K2050&lt;100,"Deposit incentive","Retention call")),IF(AC2050="Medium","Nudge core feature adoption","Upsell premium bundle"))</f>
        <v>Upsell premium bundle</v>
      </c>
      <c r="AE2050">
        <f t="shared" si="191"/>
        <v>0</v>
      </c>
    </row>
    <row r="2051" spans="1:31" x14ac:dyDescent="0.35">
      <c r="A2051" t="s">
        <v>2109</v>
      </c>
      <c r="B2051" s="4">
        <v>45309</v>
      </c>
      <c r="C2051" s="4">
        <v>46143</v>
      </c>
      <c r="D2051" t="s">
        <v>39</v>
      </c>
      <c r="E2051">
        <v>60</v>
      </c>
      <c r="F2051" t="s">
        <v>33</v>
      </c>
      <c r="G2051" t="s">
        <v>40</v>
      </c>
      <c r="H2051" t="s">
        <v>41</v>
      </c>
      <c r="I2051" t="s">
        <v>36</v>
      </c>
      <c r="J2051">
        <v>27</v>
      </c>
      <c r="K2051" s="5">
        <v>216.93</v>
      </c>
      <c r="L2051" s="5">
        <v>156.32</v>
      </c>
      <c r="M2051">
        <v>45</v>
      </c>
      <c r="N2051">
        <v>13</v>
      </c>
      <c r="O2051">
        <v>3</v>
      </c>
      <c r="P2051">
        <v>8</v>
      </c>
      <c r="Q2051">
        <v>34</v>
      </c>
      <c r="R2051">
        <v>2</v>
      </c>
      <c r="S2051">
        <v>0</v>
      </c>
      <c r="T2051">
        <v>1</v>
      </c>
      <c r="U2051">
        <v>0</v>
      </c>
      <c r="V2051">
        <v>0</v>
      </c>
      <c r="W2051" t="s">
        <v>52</v>
      </c>
      <c r="X2051">
        <v>18</v>
      </c>
      <c r="Y2051">
        <v>0</v>
      </c>
      <c r="Z2051">
        <f t="shared" si="186"/>
        <v>100</v>
      </c>
      <c r="AA2051">
        <f t="shared" si="187"/>
        <v>1.3859649122807018</v>
      </c>
      <c r="AB2051">
        <f t="shared" si="188"/>
        <v>6</v>
      </c>
      <c r="AC2051" t="str">
        <f t="shared" si="192"/>
        <v>Low</v>
      </c>
      <c r="AD2051" t="str">
        <f t="shared" si="193"/>
        <v>Upsell premium bundle</v>
      </c>
      <c r="AE2051">
        <f t="shared" si="191"/>
        <v>0</v>
      </c>
    </row>
  </sheetData>
  <autoFilter ref="A1:AE2051" xr:uid="{00000000-0009-0000-0000-000001000000}"/>
  <conditionalFormatting sqref="Z2:Z2051">
    <cfRule type="dataBar" priority="2">
      <dataBar>
        <cfvo type="min"/>
        <cfvo type="max"/>
        <color rgb="FF22C55E"/>
      </dataBar>
    </cfRule>
  </conditionalFormatting>
  <conditionalFormatting sqref="AB2:AB20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H1"/>
    </sheetView>
  </sheetViews>
  <sheetFormatPr defaultRowHeight="14.5" x14ac:dyDescent="0.35"/>
  <cols>
    <col min="1" max="6" width="20.7265625" customWidth="1"/>
    <col min="7" max="14" width="16.7265625" customWidth="1"/>
  </cols>
  <sheetData>
    <row r="1" spans="1:8" ht="21" x14ac:dyDescent="0.35">
      <c r="A1" s="8" t="s">
        <v>2110</v>
      </c>
      <c r="B1" s="8"/>
      <c r="C1" s="8"/>
      <c r="D1" s="8"/>
      <c r="E1" s="8"/>
      <c r="F1" s="8"/>
      <c r="G1" s="8"/>
      <c r="H1" s="8"/>
    </row>
    <row r="3" spans="1:8" x14ac:dyDescent="0.35">
      <c r="A3" s="3" t="s">
        <v>2111</v>
      </c>
      <c r="B3" s="3" t="s">
        <v>2112</v>
      </c>
    </row>
    <row r="4" spans="1:8" x14ac:dyDescent="0.35">
      <c r="A4" s="2" t="s">
        <v>2113</v>
      </c>
      <c r="B4">
        <f>COUNTA(Customer_Data!A2:A2051)</f>
        <v>2050</v>
      </c>
    </row>
    <row r="5" spans="1:8" x14ac:dyDescent="0.35">
      <c r="A5" s="2" t="s">
        <v>2114</v>
      </c>
      <c r="B5">
        <f>SUM(Customer_Data!Y2:Y2051)</f>
        <v>668</v>
      </c>
    </row>
    <row r="6" spans="1:8" x14ac:dyDescent="0.35">
      <c r="A6" s="2" t="s">
        <v>2115</v>
      </c>
      <c r="B6">
        <f>AVERAGE(Customer_Data!Y2:Y2051)</f>
        <v>0.32585365853658538</v>
      </c>
    </row>
    <row r="7" spans="1:8" x14ac:dyDescent="0.35">
      <c r="A7" s="2" t="s">
        <v>2116</v>
      </c>
      <c r="B7">
        <f>AVERAGE(Customer_Data!AB2:AB2051)</f>
        <v>22.734146341463415</v>
      </c>
    </row>
    <row r="8" spans="1:8" x14ac:dyDescent="0.35">
      <c r="A8" s="2" t="s">
        <v>2117</v>
      </c>
      <c r="B8">
        <f>AVERAGE(Customer_Data!Z2:Z2051)</f>
        <v>66.263902439024392</v>
      </c>
    </row>
    <row r="9" spans="1:8" x14ac:dyDescent="0.35">
      <c r="A9" s="2" t="s">
        <v>2118</v>
      </c>
      <c r="B9">
        <f>AVERAGE(Customer_Data!Q2:Q2051)</f>
        <v>19.185853658536587</v>
      </c>
    </row>
    <row r="10" spans="1:8" x14ac:dyDescent="0.35">
      <c r="A10" s="2" t="s">
        <v>2119</v>
      </c>
      <c r="B10">
        <f>AVERAGE(Customer_Data!L2:L2051)</f>
        <v>1018.0644536585355</v>
      </c>
    </row>
    <row r="11" spans="1:8" x14ac:dyDescent="0.35">
      <c r="A11" s="2" t="s">
        <v>2120</v>
      </c>
      <c r="B11">
        <f>COUNTIF(Customer_Data!AC2:AC2051,"High")</f>
        <v>43</v>
      </c>
    </row>
    <row r="14" spans="1:8" x14ac:dyDescent="0.35">
      <c r="A14" s="3" t="s">
        <v>2121</v>
      </c>
      <c r="B14" s="3" t="s">
        <v>2113</v>
      </c>
      <c r="C14" s="3" t="s">
        <v>2115</v>
      </c>
      <c r="D14" s="3" t="s">
        <v>2122</v>
      </c>
      <c r="E14" s="3" t="s">
        <v>2123</v>
      </c>
    </row>
    <row r="15" spans="1:8" x14ac:dyDescent="0.35">
      <c r="A15" t="s">
        <v>77</v>
      </c>
      <c r="B15">
        <f>COUNTIF(Customer_Data!AC:AC,A15)</f>
        <v>43</v>
      </c>
      <c r="C15" s="6">
        <f>IFERROR(AVERAGEIF(Customer_Data!AC:AC,A15,Customer_Data!Y:Y),0)</f>
        <v>0.95348837209302328</v>
      </c>
      <c r="D15" s="7">
        <f>IFERROR(AVERAGEIF(Customer_Data!AC:AC,A15,Customer_Data!Z:Z),0)</f>
        <v>35.953488372093027</v>
      </c>
      <c r="E15" s="5">
        <f>IFERROR(AVERAGEIF(Customer_Data!AC:AC,A15,Customer_Data!K:K),0)</f>
        <v>1011.2118604651163</v>
      </c>
    </row>
    <row r="16" spans="1:8" x14ac:dyDescent="0.35">
      <c r="A16" t="s">
        <v>2124</v>
      </c>
      <c r="B16">
        <f>COUNTIF(Customer_Data!AC:AC,A16)</f>
        <v>397</v>
      </c>
      <c r="C16" s="6">
        <f>IFERROR(AVERAGEIF(Customer_Data!AC:AC,A16,Customer_Data!Y:Y),0)</f>
        <v>0.72040302267002521</v>
      </c>
      <c r="D16" s="7">
        <f>IFERROR(AVERAGEIF(Customer_Data!AC:AC,A16,Customer_Data!Z:Z),0)</f>
        <v>45.622166246851386</v>
      </c>
      <c r="E16" s="5">
        <f>IFERROR(AVERAGEIF(Customer_Data!AC:AC,A16,Customer_Data!K:K),0)</f>
        <v>1356.0573299748107</v>
      </c>
    </row>
    <row r="17" spans="1:6" x14ac:dyDescent="0.35">
      <c r="A17" t="s">
        <v>43</v>
      </c>
      <c r="B17">
        <f>COUNTIF(Customer_Data!AC:AC,A17)</f>
        <v>1610</v>
      </c>
      <c r="C17" s="6">
        <f>IFERROR(AVERAGEIF(Customer_Data!AC:AC,A17,Customer_Data!Y:Y),0)</f>
        <v>0.21180124223602484</v>
      </c>
      <c r="D17" s="7">
        <f>IFERROR(AVERAGEIF(Customer_Data!AC:AC,A17,Customer_Data!Z:Z),0)</f>
        <v>72.163354037267084</v>
      </c>
      <c r="E17" s="5">
        <f>IFERROR(AVERAGEIF(Customer_Data!AC:AC,A17,Customer_Data!K:K),0)</f>
        <v>1707.3164596273291</v>
      </c>
    </row>
    <row r="21" spans="1:6" x14ac:dyDescent="0.35">
      <c r="A21" s="3" t="s">
        <v>2125</v>
      </c>
      <c r="B21" s="3" t="s">
        <v>2113</v>
      </c>
      <c r="C21" s="3" t="s">
        <v>2115</v>
      </c>
      <c r="D21" s="3" t="s">
        <v>2126</v>
      </c>
      <c r="E21" s="3" t="s">
        <v>2127</v>
      </c>
      <c r="F21" s="3" t="s">
        <v>2128</v>
      </c>
    </row>
    <row r="22" spans="1:6" x14ac:dyDescent="0.35">
      <c r="A22" t="s">
        <v>41</v>
      </c>
      <c r="B22">
        <f>COUNTIF(Customer_Data!H:H,A22)</f>
        <v>1152</v>
      </c>
      <c r="C22" s="6">
        <f>IFERROR(AVERAGEIF(Customer_Data!H:H,A22,Customer_Data!Y:Y),0)</f>
        <v>0.44878472222222221</v>
      </c>
      <c r="D22" s="7">
        <f>IFERROR(AVERAGEIF(Customer_Data!H:H,A22,Customer_Data!Q:Q),0)</f>
        <v>15.776041666666666</v>
      </c>
      <c r="E22" s="7">
        <f>IFERROR(AVERAGEIF(Customer_Data!H:H,A22,Customer_Data!AB:AB),0)</f>
        <v>29.832465277777779</v>
      </c>
      <c r="F22" s="5">
        <f>IFERROR(AVERAGEIF(Customer_Data!H:H,A22,Customer_Data!L:L),0)</f>
        <v>1026.5105989583326</v>
      </c>
    </row>
    <row r="23" spans="1:6" x14ac:dyDescent="0.35">
      <c r="A23" t="s">
        <v>58</v>
      </c>
      <c r="B23">
        <f>COUNTIF(Customer_Data!H:H,A23)</f>
        <v>501</v>
      </c>
      <c r="C23" s="6">
        <f>IFERROR(AVERAGEIF(Customer_Data!H:H,A23,Customer_Data!Y:Y),0)</f>
        <v>0.18363273453093812</v>
      </c>
      <c r="D23" s="7">
        <f>IFERROR(AVERAGEIF(Customer_Data!H:H,A23,Customer_Data!Q:Q),0)</f>
        <v>23.660678642714572</v>
      </c>
      <c r="E23" s="7">
        <f>IFERROR(AVERAGEIF(Customer_Data!H:H,A23,Customer_Data!AB:AB),0)</f>
        <v>14.702594810379242</v>
      </c>
      <c r="F23" s="5">
        <f>IFERROR(AVERAGEIF(Customer_Data!H:H,A23,Customer_Data!L:L),0)</f>
        <v>980.54215568862276</v>
      </c>
    </row>
    <row r="24" spans="1:6" x14ac:dyDescent="0.35">
      <c r="A24" t="s">
        <v>44</v>
      </c>
      <c r="B24">
        <f>COUNTIF(Customer_Data!H:H,A24)</f>
        <v>283</v>
      </c>
      <c r="C24" s="6">
        <f>IFERROR(AVERAGEIF(Customer_Data!H:H,A24,Customer_Data!Y:Y),0)</f>
        <v>0.12720848056537101</v>
      </c>
      <c r="D24" s="7">
        <f>IFERROR(AVERAGEIF(Customer_Data!H:H,A24,Customer_Data!Q:Q),0)</f>
        <v>24.070671378091873</v>
      </c>
      <c r="E24" s="7">
        <f>IFERROR(AVERAGEIF(Customer_Data!H:H,A24,Customer_Data!AB:AB),0)</f>
        <v>11.1660777385159</v>
      </c>
      <c r="F24" s="5">
        <f>IFERROR(AVERAGEIF(Customer_Data!H:H,A24,Customer_Data!L:L),0)</f>
        <v>1052.6855830388693</v>
      </c>
    </row>
    <row r="25" spans="1:6" x14ac:dyDescent="0.35">
      <c r="A25" t="s">
        <v>35</v>
      </c>
      <c r="B25">
        <f>COUNTIF(Customer_Data!H:H,A25)</f>
        <v>114</v>
      </c>
      <c r="C25" s="6">
        <f>IFERROR(AVERAGEIF(Customer_Data!H:H,A25,Customer_Data!Y:Y),0)</f>
        <v>0.20175438596491227</v>
      </c>
      <c r="D25" s="7">
        <f>IFERROR(AVERAGEIF(Customer_Data!H:H,A25,Customer_Data!Q:Q),0)</f>
        <v>21.850877192982455</v>
      </c>
      <c r="E25" s="7">
        <f>IFERROR(AVERAGEIF(Customer_Data!H:H,A25,Customer_Data!AB:AB),0)</f>
        <v>15.017543859649123</v>
      </c>
      <c r="F25" s="5">
        <f>IFERROR(AVERAGEIF(Customer_Data!H:H,A25,Customer_Data!L:L),0)</f>
        <v>1011.6691228070175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1" max="1" width="24.7265625" customWidth="1"/>
    <col min="2" max="5" width="38.7265625" style="1" customWidth="1"/>
  </cols>
  <sheetData>
    <row r="1" spans="1:4" x14ac:dyDescent="0.35">
      <c r="A1" s="3" t="s">
        <v>2129</v>
      </c>
      <c r="B1" s="3" t="s">
        <v>2130</v>
      </c>
      <c r="C1" s="3" t="s">
        <v>2131</v>
      </c>
      <c r="D1" s="3" t="s">
        <v>2132</v>
      </c>
    </row>
    <row r="2" spans="1:4" x14ac:dyDescent="0.35">
      <c r="A2" t="s">
        <v>0</v>
      </c>
      <c r="B2" s="1" t="s">
        <v>2133</v>
      </c>
      <c r="C2" s="1" t="s">
        <v>2134</v>
      </c>
      <c r="D2" s="1" t="s">
        <v>31</v>
      </c>
    </row>
    <row r="3" spans="1:4" x14ac:dyDescent="0.35">
      <c r="A3" t="s">
        <v>1</v>
      </c>
      <c r="B3" s="1" t="s">
        <v>2135</v>
      </c>
      <c r="C3" s="1" t="s">
        <v>2136</v>
      </c>
      <c r="D3" s="1" t="s">
        <v>2137</v>
      </c>
    </row>
    <row r="4" spans="1:4" x14ac:dyDescent="0.35">
      <c r="A4" t="s">
        <v>12</v>
      </c>
      <c r="B4" s="1" t="s">
        <v>2138</v>
      </c>
      <c r="C4" s="1" t="s">
        <v>2139</v>
      </c>
      <c r="D4" s="1" t="s">
        <v>2140</v>
      </c>
    </row>
    <row r="5" spans="1:4" x14ac:dyDescent="0.35">
      <c r="A5" t="s">
        <v>16</v>
      </c>
      <c r="B5" s="1" t="s">
        <v>2141</v>
      </c>
      <c r="C5" s="1" t="s">
        <v>2139</v>
      </c>
      <c r="D5" s="1" t="s">
        <v>2142</v>
      </c>
    </row>
    <row r="6" spans="1:4" x14ac:dyDescent="0.35">
      <c r="A6" t="s">
        <v>24</v>
      </c>
      <c r="B6" s="1" t="s">
        <v>2143</v>
      </c>
      <c r="C6" s="1" t="s">
        <v>2144</v>
      </c>
      <c r="D6" s="1" t="s">
        <v>2145</v>
      </c>
    </row>
    <row r="7" spans="1:4" x14ac:dyDescent="0.35">
      <c r="A7" t="s">
        <v>25</v>
      </c>
      <c r="B7" s="1" t="s">
        <v>2146</v>
      </c>
      <c r="C7" s="1" t="s">
        <v>2147</v>
      </c>
      <c r="D7" s="1" t="s">
        <v>2148</v>
      </c>
    </row>
    <row r="8" spans="1:4" x14ac:dyDescent="0.35">
      <c r="A8" t="s">
        <v>27</v>
      </c>
      <c r="B8" s="1" t="s">
        <v>2149</v>
      </c>
      <c r="C8" s="1" t="s">
        <v>2147</v>
      </c>
      <c r="D8" s="1" t="s">
        <v>2150</v>
      </c>
    </row>
    <row r="9" spans="1:4" x14ac:dyDescent="0.35">
      <c r="A9" t="s">
        <v>28</v>
      </c>
      <c r="B9" s="1" t="s">
        <v>2151</v>
      </c>
      <c r="C9" s="1" t="s">
        <v>2147</v>
      </c>
      <c r="D9" s="1" t="s">
        <v>2152</v>
      </c>
    </row>
    <row r="10" spans="1:4" x14ac:dyDescent="0.35">
      <c r="A10" t="s">
        <v>29</v>
      </c>
      <c r="B10" s="1" t="s">
        <v>2153</v>
      </c>
      <c r="C10" s="1" t="s">
        <v>2147</v>
      </c>
      <c r="D10" s="1" t="s">
        <v>2154</v>
      </c>
    </row>
    <row r="11" spans="1:4" x14ac:dyDescent="0.35">
      <c r="A11" t="s">
        <v>30</v>
      </c>
      <c r="B11" s="1" t="s">
        <v>2155</v>
      </c>
      <c r="C11" s="1" t="s">
        <v>2147</v>
      </c>
      <c r="D11" s="1" t="s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Dashboard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Arslan Jamil</cp:lastModifiedBy>
  <dcterms:created xsi:type="dcterms:W3CDTF">2026-06-18T15:34:12Z</dcterms:created>
  <dcterms:modified xsi:type="dcterms:W3CDTF">2026-07-11T10:21:56Z</dcterms:modified>
</cp:coreProperties>
</file>